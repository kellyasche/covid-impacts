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TaxRes\Private\TaxRes Users\MSchroeder\Main File Repository\Local SUT\CY2020 through June\"/>
    </mc:Choice>
  </mc:AlternateContent>
  <xr:revisionPtr revIDLastSave="0" documentId="13_ncr:1_{0E4E5DEF-8141-43AA-B49A-EF3301C3878B}" xr6:coauthVersionLast="45" xr6:coauthVersionMax="45" xr10:uidLastSave="{00000000-0000-0000-0000-000000000000}"/>
  <bookViews>
    <workbookView xWindow="-28920" yWindow="-120" windowWidth="29040" windowHeight="15990" xr2:uid="{00000000-000D-0000-FFFF-FFFF00000000}"/>
  </bookViews>
  <sheets>
    <sheet name="Local SUT" sheetId="1" r:id="rId1"/>
    <sheet name="Albert Lea" sheetId="2" state="hidden" r:id="rId2"/>
    <sheet name="Austin" sheetId="3" state="hidden" r:id="rId3"/>
    <sheet name="Baxter" sheetId="8" state="hidden" r:id="rId4"/>
    <sheet name="Bemidji" sheetId="7" state="hidden" r:id="rId5"/>
    <sheet name="Brainerd" sheetId="6" state="hidden" r:id="rId6"/>
    <sheet name="Clearwater" sheetId="5" state="hidden" r:id="rId7"/>
    <sheet name="Cloquet" sheetId="30" state="hidden" r:id="rId8"/>
    <sheet name="Detroit Lakes" sheetId="40" state="hidden" r:id="rId9"/>
    <sheet name="Duluth" sheetId="13" state="hidden" r:id="rId10"/>
    <sheet name="East Grand Forks" sheetId="37" state="hidden" r:id="rId11"/>
    <sheet name="Fairmont" sheetId="33" state="hidden" r:id="rId12"/>
    <sheet name="Fergus Falls" sheetId="12" state="hidden" r:id="rId13"/>
    <sheet name="GKWMLL Sanitary" sheetId="39" state="hidden" r:id="rId14"/>
    <sheet name="Hermantown" sheetId="10" state="hidden" r:id="rId15"/>
    <sheet name="Hutchinson" sheetId="9" state="hidden" r:id="rId16"/>
    <sheet name="Lanesboro" sheetId="22" state="hidden" r:id="rId17"/>
    <sheet name="Mankato" sheetId="21" state="hidden" r:id="rId18"/>
    <sheet name="Marshall" sheetId="31" state="hidden" r:id="rId19"/>
    <sheet name="Medford" sheetId="32" state="hidden" r:id="rId20"/>
    <sheet name="Minneapolis" sheetId="19" state="hidden" r:id="rId21"/>
    <sheet name="Moose Lake" sheetId="34" state="hidden" r:id="rId22"/>
    <sheet name="New London" sheetId="35" state="hidden" r:id="rId23"/>
    <sheet name="New Ulm" sheetId="18" state="hidden" r:id="rId24"/>
    <sheet name="North Mankato" sheetId="17" state="hidden" r:id="rId25"/>
    <sheet name="Owatonna" sheetId="16" state="hidden" r:id="rId26"/>
    <sheet name="Proctor" sheetId="28" state="hidden" r:id="rId27"/>
    <sheet name="Rochester" sheetId="27" state="hidden" r:id="rId28"/>
    <sheet name="Spicer" sheetId="36" state="hidden" r:id="rId29"/>
    <sheet name="St. Cloud Area" sheetId="26" state="hidden" r:id="rId30"/>
    <sheet name="St. Paul" sheetId="24" state="hidden" r:id="rId31"/>
    <sheet name="Two Harbors" sheetId="23" state="hidden" r:id="rId32"/>
    <sheet name="Walker" sheetId="38" state="hidden" r:id="rId33"/>
    <sheet name="Willmar" sheetId="4" state="hidden" r:id="rId34"/>
    <sheet name="Worthington" sheetId="29" state="hidden" r:id="rId35"/>
    <sheet name="Avon" sheetId="41" state="hidden" r:id="rId36"/>
    <sheet name="Blue Earth" sheetId="42" state="hidden" r:id="rId37"/>
    <sheet name="Cambridge" sheetId="43" state="hidden" r:id="rId38"/>
    <sheet name="Elk River" sheetId="44" state="hidden" r:id="rId39"/>
    <sheet name="Excelsior" sheetId="45" state="hidden" r:id="rId40"/>
    <sheet name="Int. Falls" sheetId="46" state="hidden" r:id="rId41"/>
    <sheet name="Rogers" sheetId="47" state="hidden" r:id="rId42"/>
    <sheet name="Glenwood" sheetId="49" state="hidden" r:id="rId43"/>
    <sheet name="Perham" sheetId="50" state="hidden" r:id="rId44"/>
    <sheet name="Virginia" sheetId="51" state="hidden" r:id="rId45"/>
    <sheet name="West St. Paul" sheetId="52" state="hidden" r:id="rId46"/>
    <sheet name="Sauk Centre" sheetId="53" state="hidden" r:id="rId47"/>
    <sheet name="Scanlon" sheetId="54" state="hidden" r:id="rId48"/>
  </sheets>
  <definedNames>
    <definedName name="_xlnm.Print_Area" localSheetId="7">Cloquet!$A$1:$P$53</definedName>
    <definedName name="_xlnm.Print_Area" localSheetId="8">'Detroit Lakes'!$A$1:$P$53</definedName>
    <definedName name="_xlnm.Print_Area" localSheetId="0">'Local SUT'!$A$1:$R$61</definedName>
    <definedName name="_xlnm.Print_Area" localSheetId="20">Minneapolis!$A$1:$P$53</definedName>
    <definedName name="_xlnm.Print_Area" localSheetId="27">Rochester!$A$1:$P$54</definedName>
    <definedName name="_xlnm.Print_Area" localSheetId="30">'St. Paul'!$A$1:$P$68</definedName>
    <definedName name="_xlnm.Print_Titles" localSheetId="17">Mankato!$1:$2</definedName>
    <definedName name="_xlnm.Print_Titles" localSheetId="18">Marshall!$1:$2</definedName>
    <definedName name="_xlnm.Print_Titles" localSheetId="19">Medford!$1:$2</definedName>
    <definedName name="_xlnm.Print_Titles" localSheetId="20">Minneapolis!$1:$2</definedName>
    <definedName name="_xlnm.Print_Titles" localSheetId="27">Rochester!$1:$2</definedName>
    <definedName name="_xlnm.Print_Titles" localSheetId="30">'St. Paul'!$1:$2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17" i="5" l="1"/>
  <c r="S53" i="1" l="1"/>
  <c r="T12" i="1"/>
  <c r="S40" i="1"/>
  <c r="S26" i="1"/>
  <c r="S19" i="1"/>
  <c r="S18" i="1"/>
  <c r="S12" i="1"/>
  <c r="S10" i="1"/>
  <c r="S7" i="1"/>
  <c r="A52" i="54"/>
  <c r="R49" i="54"/>
  <c r="Q49" i="54"/>
  <c r="P49" i="54"/>
  <c r="O49" i="54"/>
  <c r="N49" i="54"/>
  <c r="M49" i="54"/>
  <c r="L49" i="54"/>
  <c r="K49" i="54"/>
  <c r="J49" i="54"/>
  <c r="I49" i="54"/>
  <c r="H49" i="54"/>
  <c r="G49" i="54"/>
  <c r="R33" i="54"/>
  <c r="Q33" i="54"/>
  <c r="P33" i="54"/>
  <c r="O33" i="54"/>
  <c r="N33" i="54"/>
  <c r="M33" i="54"/>
  <c r="L33" i="54"/>
  <c r="K33" i="54"/>
  <c r="J33" i="54"/>
  <c r="I33" i="54"/>
  <c r="H33" i="54"/>
  <c r="G33" i="54"/>
  <c r="R17" i="54"/>
  <c r="Q17" i="54"/>
  <c r="P17" i="54"/>
  <c r="O17" i="54"/>
  <c r="N17" i="54"/>
  <c r="M17" i="54"/>
  <c r="L17" i="54"/>
  <c r="K17" i="54"/>
  <c r="J17" i="54"/>
  <c r="I17" i="54"/>
  <c r="H17" i="54"/>
  <c r="G17" i="54"/>
  <c r="A2" i="54"/>
  <c r="A52" i="53"/>
  <c r="R49" i="53"/>
  <c r="Q49" i="53"/>
  <c r="P49" i="53"/>
  <c r="O49" i="53"/>
  <c r="N49" i="53"/>
  <c r="M49" i="53"/>
  <c r="L49" i="53"/>
  <c r="K49" i="53"/>
  <c r="J49" i="53"/>
  <c r="I49" i="53"/>
  <c r="H49" i="53"/>
  <c r="G49" i="53"/>
  <c r="R33" i="53"/>
  <c r="Q33" i="53"/>
  <c r="P33" i="53"/>
  <c r="O33" i="53"/>
  <c r="N33" i="53"/>
  <c r="M33" i="53"/>
  <c r="L33" i="53"/>
  <c r="K33" i="53"/>
  <c r="J33" i="53"/>
  <c r="I33" i="53"/>
  <c r="H33" i="53"/>
  <c r="G33" i="53"/>
  <c r="R17" i="53"/>
  <c r="Q17" i="53"/>
  <c r="P17" i="53"/>
  <c r="O17" i="53"/>
  <c r="N17" i="53"/>
  <c r="M17" i="53"/>
  <c r="L17" i="53"/>
  <c r="K17" i="53"/>
  <c r="J17" i="53"/>
  <c r="I17" i="53"/>
  <c r="H17" i="53"/>
  <c r="G17" i="53"/>
  <c r="A2" i="53"/>
  <c r="A52" i="52"/>
  <c r="R49" i="52"/>
  <c r="Q49" i="52"/>
  <c r="P49" i="52"/>
  <c r="O49" i="52"/>
  <c r="N49" i="52"/>
  <c r="M49" i="52"/>
  <c r="L49" i="52"/>
  <c r="K49" i="52"/>
  <c r="J49" i="52"/>
  <c r="I49" i="52"/>
  <c r="H49" i="52"/>
  <c r="G49" i="52"/>
  <c r="R33" i="52"/>
  <c r="Q33" i="52"/>
  <c r="P33" i="52"/>
  <c r="O33" i="52"/>
  <c r="N33" i="52"/>
  <c r="M33" i="52"/>
  <c r="L33" i="52"/>
  <c r="K33" i="52"/>
  <c r="J33" i="52"/>
  <c r="I33" i="52"/>
  <c r="H33" i="52"/>
  <c r="G33" i="52"/>
  <c r="R17" i="52"/>
  <c r="T48" i="1" s="1"/>
  <c r="Q17" i="52"/>
  <c r="P17" i="52"/>
  <c r="O17" i="52"/>
  <c r="N17" i="52"/>
  <c r="M17" i="52"/>
  <c r="L17" i="52"/>
  <c r="K17" i="52"/>
  <c r="J17" i="52"/>
  <c r="I17" i="52"/>
  <c r="H17" i="52"/>
  <c r="G17" i="52"/>
  <c r="A2" i="52"/>
  <c r="A52" i="51"/>
  <c r="R49" i="51"/>
  <c r="Q49" i="51"/>
  <c r="P49" i="51"/>
  <c r="O49" i="51"/>
  <c r="N49" i="51"/>
  <c r="M49" i="51"/>
  <c r="L49" i="51"/>
  <c r="K49" i="51"/>
  <c r="J49" i="51"/>
  <c r="I49" i="51"/>
  <c r="H49" i="51"/>
  <c r="G49" i="51"/>
  <c r="R33" i="51"/>
  <c r="Q33" i="51"/>
  <c r="P33" i="51"/>
  <c r="O33" i="51"/>
  <c r="N33" i="51"/>
  <c r="M33" i="51"/>
  <c r="L33" i="51"/>
  <c r="K33" i="51"/>
  <c r="J33" i="51"/>
  <c r="I33" i="51"/>
  <c r="H33" i="51"/>
  <c r="G33" i="51"/>
  <c r="R17" i="51"/>
  <c r="Q17" i="51"/>
  <c r="P17" i="51"/>
  <c r="O17" i="51"/>
  <c r="N17" i="51"/>
  <c r="M17" i="51"/>
  <c r="L17" i="51"/>
  <c r="K17" i="51"/>
  <c r="J17" i="51"/>
  <c r="I17" i="51"/>
  <c r="H17" i="51"/>
  <c r="G17" i="51"/>
  <c r="A2" i="51"/>
  <c r="A52" i="50"/>
  <c r="R49" i="50"/>
  <c r="Q49" i="50"/>
  <c r="P49" i="50"/>
  <c r="O49" i="50"/>
  <c r="N49" i="50"/>
  <c r="M49" i="50"/>
  <c r="L49" i="50"/>
  <c r="K49" i="50"/>
  <c r="J49" i="50"/>
  <c r="I49" i="50"/>
  <c r="H49" i="50"/>
  <c r="G49" i="50"/>
  <c r="R33" i="50"/>
  <c r="Q33" i="50"/>
  <c r="P33" i="50"/>
  <c r="O33" i="50"/>
  <c r="N33" i="50"/>
  <c r="M33" i="50"/>
  <c r="L33" i="50"/>
  <c r="K33" i="50"/>
  <c r="J33" i="50"/>
  <c r="I33" i="50"/>
  <c r="H33" i="50"/>
  <c r="G33" i="50"/>
  <c r="R17" i="50"/>
  <c r="T37" i="1" s="1"/>
  <c r="Q17" i="50"/>
  <c r="P17" i="50"/>
  <c r="O17" i="50"/>
  <c r="N17" i="50"/>
  <c r="M17" i="50"/>
  <c r="L17" i="50"/>
  <c r="K17" i="50"/>
  <c r="J17" i="50"/>
  <c r="I17" i="50"/>
  <c r="H17" i="50"/>
  <c r="G17" i="50"/>
  <c r="A2" i="50"/>
  <c r="A52" i="49"/>
  <c r="R49" i="49"/>
  <c r="Q49" i="49"/>
  <c r="P49" i="49"/>
  <c r="O49" i="49"/>
  <c r="N49" i="49"/>
  <c r="M49" i="49"/>
  <c r="L49" i="49"/>
  <c r="K49" i="49"/>
  <c r="J49" i="49"/>
  <c r="I49" i="49"/>
  <c r="H49" i="49"/>
  <c r="G49" i="49"/>
  <c r="R33" i="49"/>
  <c r="Q33" i="49"/>
  <c r="P33" i="49"/>
  <c r="O33" i="49"/>
  <c r="N33" i="49"/>
  <c r="M33" i="49"/>
  <c r="L33" i="49"/>
  <c r="K33" i="49"/>
  <c r="J33" i="49"/>
  <c r="I33" i="49"/>
  <c r="H33" i="49"/>
  <c r="G33" i="49"/>
  <c r="R17" i="49"/>
  <c r="T22" i="1" s="1"/>
  <c r="Q17" i="49"/>
  <c r="P17" i="49"/>
  <c r="O17" i="49"/>
  <c r="N17" i="49"/>
  <c r="M17" i="49"/>
  <c r="L17" i="49"/>
  <c r="K17" i="49"/>
  <c r="J17" i="49"/>
  <c r="I17" i="49"/>
  <c r="H17" i="49"/>
  <c r="G17" i="49"/>
  <c r="A2" i="49"/>
  <c r="A52" i="47"/>
  <c r="R49" i="47"/>
  <c r="Q49" i="47"/>
  <c r="P49" i="47"/>
  <c r="O49" i="47"/>
  <c r="N49" i="47"/>
  <c r="M49" i="47"/>
  <c r="L49" i="47"/>
  <c r="K49" i="47"/>
  <c r="J49" i="47"/>
  <c r="I49" i="47"/>
  <c r="H49" i="47"/>
  <c r="G49" i="47"/>
  <c r="R33" i="47"/>
  <c r="T40" i="1" s="1"/>
  <c r="Q33" i="47"/>
  <c r="P33" i="47"/>
  <c r="O33" i="47"/>
  <c r="N33" i="47"/>
  <c r="M33" i="47"/>
  <c r="L33" i="47"/>
  <c r="K33" i="47"/>
  <c r="J33" i="47"/>
  <c r="I33" i="47"/>
  <c r="H33" i="47"/>
  <c r="G33" i="47"/>
  <c r="R17" i="47"/>
  <c r="Q17" i="47"/>
  <c r="P17" i="47"/>
  <c r="O17" i="47"/>
  <c r="N17" i="47"/>
  <c r="M17" i="47"/>
  <c r="L17" i="47"/>
  <c r="K17" i="47"/>
  <c r="J17" i="47"/>
  <c r="I17" i="47"/>
  <c r="H17" i="47"/>
  <c r="G17" i="47"/>
  <c r="A2" i="47"/>
  <c r="A52" i="46"/>
  <c r="R49" i="46"/>
  <c r="Q49" i="46"/>
  <c r="P49" i="46"/>
  <c r="O49" i="46"/>
  <c r="N49" i="46"/>
  <c r="M49" i="46"/>
  <c r="L49" i="46"/>
  <c r="K49" i="46"/>
  <c r="J49" i="46"/>
  <c r="I49" i="46"/>
  <c r="H49" i="46"/>
  <c r="G49" i="46"/>
  <c r="R33" i="46"/>
  <c r="T26" i="1" s="1"/>
  <c r="Q33" i="46"/>
  <c r="P33" i="46"/>
  <c r="O33" i="46"/>
  <c r="N33" i="46"/>
  <c r="M33" i="46"/>
  <c r="L33" i="46"/>
  <c r="K33" i="46"/>
  <c r="J33" i="46"/>
  <c r="I33" i="46"/>
  <c r="H33" i="46"/>
  <c r="G33" i="46"/>
  <c r="R17" i="46"/>
  <c r="Q17" i="46"/>
  <c r="P17" i="46"/>
  <c r="O17" i="46"/>
  <c r="N17" i="46"/>
  <c r="M17" i="46"/>
  <c r="L17" i="46"/>
  <c r="K17" i="46"/>
  <c r="J17" i="46"/>
  <c r="I17" i="46"/>
  <c r="H17" i="46"/>
  <c r="G17" i="46"/>
  <c r="A2" i="46"/>
  <c r="A52" i="45"/>
  <c r="R49" i="45"/>
  <c r="Q49" i="45"/>
  <c r="P49" i="45"/>
  <c r="O49" i="45"/>
  <c r="N49" i="45"/>
  <c r="M49" i="45"/>
  <c r="L49" i="45"/>
  <c r="K49" i="45"/>
  <c r="J49" i="45"/>
  <c r="I49" i="45"/>
  <c r="H49" i="45"/>
  <c r="G49" i="45"/>
  <c r="R33" i="45"/>
  <c r="Q33" i="45"/>
  <c r="P33" i="45"/>
  <c r="O33" i="45"/>
  <c r="N33" i="45"/>
  <c r="M33" i="45"/>
  <c r="L33" i="45"/>
  <c r="K33" i="45"/>
  <c r="J33" i="45"/>
  <c r="I33" i="45"/>
  <c r="H33" i="45"/>
  <c r="G33" i="45"/>
  <c r="R17" i="45"/>
  <c r="Q17" i="45"/>
  <c r="P17" i="45"/>
  <c r="O17" i="45"/>
  <c r="N17" i="45"/>
  <c r="M17" i="45"/>
  <c r="L17" i="45"/>
  <c r="K17" i="45"/>
  <c r="J17" i="45"/>
  <c r="I17" i="45"/>
  <c r="H17" i="45"/>
  <c r="G17" i="45"/>
  <c r="A2" i="45"/>
  <c r="A52" i="44"/>
  <c r="R49" i="44"/>
  <c r="Q49" i="44"/>
  <c r="P49" i="44"/>
  <c r="O49" i="44"/>
  <c r="N49" i="44"/>
  <c r="M49" i="44"/>
  <c r="L49" i="44"/>
  <c r="K49" i="44"/>
  <c r="J49" i="44"/>
  <c r="I49" i="44"/>
  <c r="H49" i="44"/>
  <c r="G49" i="44"/>
  <c r="R33" i="44"/>
  <c r="Q33" i="44"/>
  <c r="P33" i="44"/>
  <c r="O33" i="44"/>
  <c r="N33" i="44"/>
  <c r="M33" i="44"/>
  <c r="L33" i="44"/>
  <c r="K33" i="44"/>
  <c r="J33" i="44"/>
  <c r="I33" i="44"/>
  <c r="H33" i="44"/>
  <c r="G33" i="44"/>
  <c r="R17" i="44"/>
  <c r="Q17" i="44"/>
  <c r="P17" i="44"/>
  <c r="O17" i="44"/>
  <c r="N17" i="44"/>
  <c r="M17" i="44"/>
  <c r="L17" i="44"/>
  <c r="K17" i="44"/>
  <c r="J17" i="44"/>
  <c r="I17" i="44"/>
  <c r="H17" i="44"/>
  <c r="G17" i="44"/>
  <c r="A2" i="44"/>
  <c r="A52" i="43"/>
  <c r="R49" i="43"/>
  <c r="Q49" i="43"/>
  <c r="P49" i="43"/>
  <c r="O49" i="43"/>
  <c r="N49" i="43"/>
  <c r="M49" i="43"/>
  <c r="L49" i="43"/>
  <c r="K49" i="43"/>
  <c r="J49" i="43"/>
  <c r="I49" i="43"/>
  <c r="H49" i="43"/>
  <c r="G49" i="43"/>
  <c r="R33" i="43"/>
  <c r="Q33" i="43"/>
  <c r="P33" i="43"/>
  <c r="O33" i="43"/>
  <c r="N33" i="43"/>
  <c r="M33" i="43"/>
  <c r="L33" i="43"/>
  <c r="K33" i="43"/>
  <c r="J33" i="43"/>
  <c r="I33" i="43"/>
  <c r="H33" i="43"/>
  <c r="G33" i="43"/>
  <c r="R17" i="43"/>
  <c r="Q17" i="43"/>
  <c r="P17" i="43"/>
  <c r="O17" i="43"/>
  <c r="N17" i="43"/>
  <c r="M17" i="43"/>
  <c r="L17" i="43"/>
  <c r="K17" i="43"/>
  <c r="J17" i="43"/>
  <c r="I17" i="43"/>
  <c r="H17" i="43"/>
  <c r="G17" i="43"/>
  <c r="A2" i="43"/>
  <c r="A52" i="42"/>
  <c r="R49" i="42"/>
  <c r="Q49" i="42"/>
  <c r="P49" i="42"/>
  <c r="O49" i="42"/>
  <c r="N49" i="42"/>
  <c r="M49" i="42"/>
  <c r="L49" i="42"/>
  <c r="K49" i="42"/>
  <c r="J49" i="42"/>
  <c r="I49" i="42"/>
  <c r="H49" i="42"/>
  <c r="G49" i="42"/>
  <c r="R33" i="42"/>
  <c r="Q33" i="42"/>
  <c r="P33" i="42"/>
  <c r="O33" i="42"/>
  <c r="N33" i="42"/>
  <c r="M33" i="42"/>
  <c r="L33" i="42"/>
  <c r="K33" i="42"/>
  <c r="J33" i="42"/>
  <c r="I33" i="42"/>
  <c r="H33" i="42"/>
  <c r="G33" i="42"/>
  <c r="R17" i="42"/>
  <c r="T10" i="1" s="1"/>
  <c r="Q17" i="42"/>
  <c r="P17" i="42"/>
  <c r="O17" i="42"/>
  <c r="N17" i="42"/>
  <c r="M17" i="42"/>
  <c r="L17" i="42"/>
  <c r="K17" i="42"/>
  <c r="J17" i="42"/>
  <c r="I17" i="42"/>
  <c r="H17" i="42"/>
  <c r="G17" i="42"/>
  <c r="A2" i="42"/>
  <c r="A52" i="41"/>
  <c r="R49" i="41"/>
  <c r="Q49" i="41"/>
  <c r="P49" i="41"/>
  <c r="O49" i="41"/>
  <c r="N49" i="41"/>
  <c r="M49" i="41"/>
  <c r="L49" i="41"/>
  <c r="K49" i="41"/>
  <c r="J49" i="41"/>
  <c r="I49" i="41"/>
  <c r="H49" i="41"/>
  <c r="G49" i="41"/>
  <c r="R33" i="41"/>
  <c r="Q33" i="41"/>
  <c r="P33" i="41"/>
  <c r="O33" i="41"/>
  <c r="N33" i="41"/>
  <c r="M33" i="41"/>
  <c r="L33" i="41"/>
  <c r="K33" i="41"/>
  <c r="J33" i="41"/>
  <c r="I33" i="41"/>
  <c r="H33" i="41"/>
  <c r="G33" i="41"/>
  <c r="R17" i="41"/>
  <c r="Q17" i="41"/>
  <c r="P17" i="41"/>
  <c r="O17" i="41"/>
  <c r="N17" i="41"/>
  <c r="M17" i="41"/>
  <c r="L17" i="41"/>
  <c r="K17" i="41"/>
  <c r="J17" i="41"/>
  <c r="I17" i="41"/>
  <c r="H17" i="41"/>
  <c r="G17" i="41"/>
  <c r="A2" i="41"/>
  <c r="S50" i="1"/>
  <c r="R50" i="1"/>
  <c r="Q50" i="1"/>
  <c r="P50" i="1"/>
  <c r="O50" i="1"/>
  <c r="N50" i="1"/>
  <c r="M50" i="1"/>
  <c r="L50" i="1"/>
  <c r="K50" i="1"/>
  <c r="J50" i="1"/>
  <c r="I50" i="1"/>
  <c r="R53" i="1"/>
  <c r="Q53" i="1"/>
  <c r="P53" i="1"/>
  <c r="O53" i="1"/>
  <c r="N53" i="1"/>
  <c r="M53" i="1"/>
  <c r="L53" i="1"/>
  <c r="K53" i="1"/>
  <c r="J53" i="1"/>
  <c r="I53" i="1"/>
  <c r="H53" i="1"/>
  <c r="T51" i="1" l="1"/>
  <c r="T42" i="1"/>
  <c r="T41" i="1"/>
  <c r="T19" i="1"/>
  <c r="T18" i="1"/>
  <c r="T7" i="1"/>
  <c r="S15" i="1"/>
  <c r="R15" i="1"/>
  <c r="R16" i="1"/>
  <c r="A52" i="40"/>
  <c r="R49" i="40"/>
  <c r="Q49" i="40"/>
  <c r="P49" i="40"/>
  <c r="O49" i="40"/>
  <c r="N49" i="40"/>
  <c r="M49" i="40"/>
  <c r="L49" i="40"/>
  <c r="K49" i="40"/>
  <c r="R33" i="40"/>
  <c r="Q33" i="40"/>
  <c r="P33" i="40"/>
  <c r="O33" i="40"/>
  <c r="N33" i="40"/>
  <c r="M33" i="40"/>
  <c r="L33" i="40"/>
  <c r="K33" i="40"/>
  <c r="R17" i="40"/>
  <c r="Q17" i="40"/>
  <c r="P17" i="40"/>
  <c r="O17" i="40"/>
  <c r="N17" i="40"/>
  <c r="M17" i="40"/>
  <c r="L17" i="40"/>
  <c r="K17" i="40"/>
  <c r="A2" i="40"/>
  <c r="T15" i="1" l="1"/>
  <c r="R17" i="17"/>
  <c r="Q17" i="16"/>
  <c r="R49" i="29" l="1"/>
  <c r="R33" i="29"/>
  <c r="R17" i="29"/>
  <c r="R49" i="4"/>
  <c r="R33" i="4"/>
  <c r="R17" i="4"/>
  <c r="R49" i="38"/>
  <c r="R33" i="38"/>
  <c r="R17" i="38"/>
  <c r="R49" i="23"/>
  <c r="R33" i="23"/>
  <c r="R17" i="23"/>
  <c r="R49" i="24"/>
  <c r="R33" i="24"/>
  <c r="R17" i="24"/>
  <c r="R49" i="26"/>
  <c r="R33" i="26"/>
  <c r="R17" i="26"/>
  <c r="R49" i="36"/>
  <c r="R33" i="36"/>
  <c r="R17" i="36"/>
  <c r="R49" i="27"/>
  <c r="R33" i="27"/>
  <c r="R17" i="27"/>
  <c r="R49" i="28"/>
  <c r="R33" i="28"/>
  <c r="R17" i="28"/>
  <c r="R49" i="16"/>
  <c r="R33" i="16"/>
  <c r="R17" i="16"/>
  <c r="R49" i="17"/>
  <c r="R33" i="17"/>
  <c r="R49" i="18"/>
  <c r="R33" i="18"/>
  <c r="R17" i="18"/>
  <c r="R49" i="35"/>
  <c r="R33" i="35"/>
  <c r="R17" i="35"/>
  <c r="R49" i="34"/>
  <c r="R33" i="34"/>
  <c r="R17" i="34"/>
  <c r="R49" i="19"/>
  <c r="R33" i="19"/>
  <c r="R17" i="19"/>
  <c r="R49" i="32"/>
  <c r="R33" i="32"/>
  <c r="R17" i="32"/>
  <c r="R49" i="31"/>
  <c r="R33" i="31"/>
  <c r="R17" i="31"/>
  <c r="T50" i="1" l="1"/>
  <c r="R49" i="21"/>
  <c r="R33" i="21"/>
  <c r="R17" i="21"/>
  <c r="R49" i="22"/>
  <c r="R33" i="22"/>
  <c r="R17" i="22"/>
  <c r="R49" i="9"/>
  <c r="R33" i="9"/>
  <c r="R17" i="9"/>
  <c r="R49" i="10"/>
  <c r="R33" i="10"/>
  <c r="R17" i="10"/>
  <c r="R49" i="39"/>
  <c r="R33" i="39"/>
  <c r="R17" i="39"/>
  <c r="R49" i="12"/>
  <c r="R33" i="12"/>
  <c r="R17" i="12"/>
  <c r="R49" i="33"/>
  <c r="R33" i="33"/>
  <c r="R17" i="33"/>
  <c r="R49" i="37"/>
  <c r="R33" i="37"/>
  <c r="R17" i="37"/>
  <c r="R49" i="13"/>
  <c r="R33" i="13"/>
  <c r="R17" i="13"/>
  <c r="R49" i="30"/>
  <c r="R33" i="30"/>
  <c r="R17" i="30"/>
  <c r="R49" i="5"/>
  <c r="R33" i="5"/>
  <c r="R49" i="2"/>
  <c r="R33" i="2"/>
  <c r="R17" i="2"/>
  <c r="R49" i="3"/>
  <c r="R33" i="3"/>
  <c r="R17" i="3"/>
  <c r="R49" i="8"/>
  <c r="R33" i="8"/>
  <c r="R17" i="8"/>
  <c r="R49" i="7"/>
  <c r="R33" i="7"/>
  <c r="R17" i="7"/>
  <c r="T31" i="1" l="1"/>
  <c r="T30" i="1"/>
  <c r="T29" i="1"/>
  <c r="T28" i="1"/>
  <c r="T24" i="1"/>
  <c r="T23" i="1"/>
  <c r="T20" i="1"/>
  <c r="T17" i="1"/>
  <c r="T16" i="1"/>
  <c r="T13" i="1"/>
  <c r="R49" i="6"/>
  <c r="T53" i="1" s="1"/>
  <c r="R33" i="6"/>
  <c r="R17" i="6"/>
  <c r="T49" i="1"/>
  <c r="T47" i="1"/>
  <c r="T46" i="1"/>
  <c r="T45" i="1"/>
  <c r="T44" i="1"/>
  <c r="T43" i="1"/>
  <c r="T39" i="1"/>
  <c r="T38" i="1"/>
  <c r="T36" i="1"/>
  <c r="T35" i="1"/>
  <c r="T34" i="1"/>
  <c r="T33" i="1"/>
  <c r="T32" i="1"/>
  <c r="T9" i="1" l="1"/>
  <c r="T8" i="1"/>
  <c r="T5" i="1"/>
  <c r="T27" i="1"/>
  <c r="T25" i="1"/>
  <c r="T21" i="1"/>
  <c r="T14" i="1"/>
  <c r="T11" i="1"/>
  <c r="T6" i="1"/>
  <c r="A2" i="29"/>
  <c r="A2" i="4"/>
  <c r="A2" i="38"/>
  <c r="A2" i="23"/>
  <c r="A2" i="24"/>
  <c r="A2" i="26"/>
  <c r="A2" i="36"/>
  <c r="A2" i="28"/>
  <c r="A2" i="16"/>
  <c r="A2" i="17"/>
  <c r="A2" i="18"/>
  <c r="A2" i="35"/>
  <c r="A2" i="34"/>
  <c r="A2" i="19"/>
  <c r="A2" i="32"/>
  <c r="A2" i="31"/>
  <c r="A2" i="21"/>
  <c r="A2" i="22"/>
  <c r="A2" i="9"/>
  <c r="A2" i="10"/>
  <c r="A2" i="39"/>
  <c r="A2" i="12"/>
  <c r="A2" i="33"/>
  <c r="A2" i="37"/>
  <c r="A2" i="13"/>
  <c r="A2" i="2"/>
  <c r="A2" i="3"/>
  <c r="A2" i="7"/>
  <c r="A2" i="6"/>
  <c r="A2" i="5"/>
  <c r="A2" i="30"/>
  <c r="A2" i="8"/>
  <c r="A2" i="27"/>
  <c r="T52" i="1" l="1"/>
  <c r="Q49" i="34"/>
  <c r="Q33" i="34"/>
  <c r="Q17" i="34"/>
  <c r="Q49" i="33"/>
  <c r="Q33" i="33"/>
  <c r="Q17" i="33"/>
  <c r="S32" i="1" l="1"/>
  <c r="S20" i="1"/>
  <c r="Q49" i="29"/>
  <c r="Q33" i="29"/>
  <c r="Q17" i="29"/>
  <c r="Q49" i="4"/>
  <c r="Q33" i="4"/>
  <c r="Q17" i="4"/>
  <c r="Q49" i="38"/>
  <c r="Q33" i="38"/>
  <c r="Q17" i="38"/>
  <c r="Q49" i="23"/>
  <c r="Q33" i="23"/>
  <c r="Q17" i="23"/>
  <c r="Q49" i="24"/>
  <c r="Q33" i="24"/>
  <c r="Q17" i="24"/>
  <c r="Q49" i="26"/>
  <c r="Q33" i="26"/>
  <c r="Q17" i="26"/>
  <c r="Q49" i="36"/>
  <c r="Q33" i="36"/>
  <c r="Q17" i="36"/>
  <c r="Q49" i="27"/>
  <c r="Q33" i="27"/>
  <c r="Q17" i="27"/>
  <c r="Q49" i="28"/>
  <c r="Q33" i="28"/>
  <c r="Q17" i="28"/>
  <c r="Q49" i="16"/>
  <c r="Q33" i="16"/>
  <c r="Q49" i="17"/>
  <c r="Q33" i="17"/>
  <c r="Q17" i="17"/>
  <c r="Q49" i="18"/>
  <c r="Q33" i="18"/>
  <c r="Q17" i="18"/>
  <c r="Q49" i="35"/>
  <c r="Q33" i="35"/>
  <c r="Q17" i="35"/>
  <c r="Q49" i="19"/>
  <c r="Q33" i="19"/>
  <c r="Q17" i="19"/>
  <c r="Q49" i="32"/>
  <c r="Q33" i="32"/>
  <c r="Q17" i="32"/>
  <c r="Q49" i="31"/>
  <c r="Q33" i="31"/>
  <c r="Q17" i="31"/>
  <c r="Q49" i="21"/>
  <c r="Q33" i="21"/>
  <c r="Q17" i="21"/>
  <c r="Q49" i="22"/>
  <c r="Q33" i="22"/>
  <c r="Q17" i="22"/>
  <c r="Q49" i="9"/>
  <c r="Q33" i="9"/>
  <c r="Q17" i="9"/>
  <c r="Q49" i="10"/>
  <c r="Q33" i="10"/>
  <c r="Q17" i="10"/>
  <c r="Q49" i="39"/>
  <c r="Q33" i="39"/>
  <c r="Q17" i="39"/>
  <c r="Q49" i="12"/>
  <c r="Q33" i="12"/>
  <c r="Q17" i="12"/>
  <c r="Q49" i="37"/>
  <c r="Q33" i="37"/>
  <c r="Q17" i="37"/>
  <c r="Q49" i="13"/>
  <c r="Q33" i="13"/>
  <c r="Q17" i="13"/>
  <c r="Q49" i="30"/>
  <c r="Q33" i="30"/>
  <c r="Q17" i="30"/>
  <c r="Q49" i="5"/>
  <c r="Q33" i="5"/>
  <c r="Q17" i="5"/>
  <c r="Q49" i="6"/>
  <c r="Q33" i="6"/>
  <c r="Q17" i="6"/>
  <c r="Q49" i="7"/>
  <c r="Q33" i="7"/>
  <c r="Q17" i="7"/>
  <c r="Q49" i="8"/>
  <c r="Q33" i="8"/>
  <c r="Q17" i="8"/>
  <c r="Q49" i="3"/>
  <c r="Q33" i="3"/>
  <c r="Q17" i="3"/>
  <c r="Q49" i="2"/>
  <c r="Q33" i="2"/>
  <c r="Q17" i="2"/>
  <c r="S17" i="1" l="1"/>
  <c r="S5" i="1"/>
  <c r="S49" i="1"/>
  <c r="S47" i="1"/>
  <c r="S46" i="1"/>
  <c r="S45" i="1"/>
  <c r="S44" i="1"/>
  <c r="S43" i="1"/>
  <c r="S39" i="1"/>
  <c r="S38" i="1"/>
  <c r="S36" i="1"/>
  <c r="S35" i="1"/>
  <c r="S34" i="1"/>
  <c r="S33" i="1"/>
  <c r="S31" i="1"/>
  <c r="S30" i="1"/>
  <c r="S29" i="1"/>
  <c r="S28" i="1"/>
  <c r="S27" i="1"/>
  <c r="S25" i="1"/>
  <c r="S24" i="1"/>
  <c r="S23" i="1"/>
  <c r="S21" i="1"/>
  <c r="S16" i="1"/>
  <c r="S14" i="1"/>
  <c r="S13" i="1"/>
  <c r="S11" i="1"/>
  <c r="S9" i="1"/>
  <c r="S8" i="1"/>
  <c r="S6" i="1"/>
  <c r="A52" i="39"/>
  <c r="P49" i="39"/>
  <c r="P33" i="39"/>
  <c r="P17" i="39"/>
  <c r="S52" i="1" l="1"/>
  <c r="R23" i="1"/>
  <c r="P49" i="29"/>
  <c r="P33" i="29"/>
  <c r="P17" i="29"/>
  <c r="P49" i="4"/>
  <c r="P33" i="4"/>
  <c r="P17" i="4"/>
  <c r="P49" i="38"/>
  <c r="P33" i="38"/>
  <c r="P17" i="38"/>
  <c r="R47" i="1" s="1"/>
  <c r="P49" i="23"/>
  <c r="P33" i="23"/>
  <c r="P17" i="23"/>
  <c r="P49" i="24"/>
  <c r="P33" i="24"/>
  <c r="R45" i="1" s="1"/>
  <c r="P17" i="24"/>
  <c r="P49" i="26"/>
  <c r="P33" i="26"/>
  <c r="P17" i="26"/>
  <c r="P49" i="36"/>
  <c r="P33" i="36"/>
  <c r="P17" i="36"/>
  <c r="P49" i="27"/>
  <c r="P33" i="27"/>
  <c r="P17" i="27"/>
  <c r="P49" i="28"/>
  <c r="P33" i="28"/>
  <c r="P17" i="28"/>
  <c r="P49" i="16"/>
  <c r="P33" i="16"/>
  <c r="P17" i="16"/>
  <c r="R36" i="1" s="1"/>
  <c r="R49" i="1" l="1"/>
  <c r="R43" i="1"/>
  <c r="R38" i="1"/>
  <c r="R44" i="1"/>
  <c r="R46" i="1"/>
  <c r="R39" i="1"/>
  <c r="P49" i="17"/>
  <c r="P33" i="17"/>
  <c r="P17" i="17"/>
  <c r="P49" i="18"/>
  <c r="P33" i="18"/>
  <c r="P17" i="18"/>
  <c r="P49" i="35"/>
  <c r="P33" i="35"/>
  <c r="P17" i="35"/>
  <c r="R33" i="1" s="1"/>
  <c r="P49" i="34"/>
  <c r="P33" i="34"/>
  <c r="P17" i="34"/>
  <c r="P49" i="19"/>
  <c r="P33" i="19"/>
  <c r="P17" i="19"/>
  <c r="P49" i="32"/>
  <c r="P33" i="32"/>
  <c r="P17" i="32"/>
  <c r="R30" i="1" s="1"/>
  <c r="P49" i="31"/>
  <c r="P33" i="31"/>
  <c r="P17" i="31"/>
  <c r="R32" i="1" l="1"/>
  <c r="R31" i="1"/>
  <c r="R35" i="1"/>
  <c r="R34" i="1"/>
  <c r="R29" i="1"/>
  <c r="P49" i="21"/>
  <c r="P33" i="21"/>
  <c r="P17" i="21"/>
  <c r="R28" i="1" s="1"/>
  <c r="P49" i="22"/>
  <c r="P33" i="22"/>
  <c r="P17" i="22"/>
  <c r="R27" i="1" s="1"/>
  <c r="P49" i="9"/>
  <c r="P33" i="9"/>
  <c r="P17" i="9"/>
  <c r="P49" i="10"/>
  <c r="P33" i="10"/>
  <c r="P17" i="10"/>
  <c r="R24" i="1" s="1"/>
  <c r="P49" i="12"/>
  <c r="P33" i="12"/>
  <c r="R21" i="1" s="1"/>
  <c r="P17" i="12"/>
  <c r="P49" i="33"/>
  <c r="P33" i="33"/>
  <c r="P17" i="33"/>
  <c r="P49" i="37"/>
  <c r="P33" i="37"/>
  <c r="P17" i="37"/>
  <c r="R17" i="1" s="1"/>
  <c r="P49" i="13"/>
  <c r="P33" i="13"/>
  <c r="P17" i="13"/>
  <c r="P49" i="30"/>
  <c r="P33" i="30"/>
  <c r="P17" i="30"/>
  <c r="P49" i="5"/>
  <c r="P33" i="5"/>
  <c r="P17" i="5"/>
  <c r="P49" i="6"/>
  <c r="P33" i="6"/>
  <c r="P17" i="6"/>
  <c r="P49" i="7"/>
  <c r="P33" i="7"/>
  <c r="P17" i="7"/>
  <c r="P49" i="8"/>
  <c r="P33" i="8"/>
  <c r="P17" i="8"/>
  <c r="P17" i="3"/>
  <c r="P33" i="3"/>
  <c r="P49" i="3"/>
  <c r="R20" i="1" l="1"/>
  <c r="R8" i="1"/>
  <c r="R14" i="1"/>
  <c r="R13" i="1"/>
  <c r="R11" i="1"/>
  <c r="R9" i="1"/>
  <c r="R25" i="1"/>
  <c r="R6" i="1"/>
  <c r="P49" i="2"/>
  <c r="P33" i="2"/>
  <c r="P17" i="2"/>
  <c r="R5" i="1" l="1"/>
  <c r="A52" i="38"/>
  <c r="A52" i="37"/>
  <c r="R52" i="1" l="1"/>
  <c r="A52" i="36"/>
  <c r="O49" i="36"/>
  <c r="O33" i="36"/>
  <c r="O17" i="36"/>
  <c r="A52" i="35"/>
  <c r="O49" i="35"/>
  <c r="O33" i="35"/>
  <c r="O17" i="35"/>
  <c r="A52" i="34"/>
  <c r="O49" i="34"/>
  <c r="O33" i="34"/>
  <c r="O17" i="34"/>
  <c r="A52" i="33"/>
  <c r="O49" i="33"/>
  <c r="O33" i="33"/>
  <c r="O17" i="33"/>
  <c r="Q20" i="1" s="1"/>
  <c r="Q43" i="1" l="1"/>
  <c r="Q33" i="1"/>
  <c r="Q32" i="1"/>
  <c r="O49" i="32"/>
  <c r="O33" i="32"/>
  <c r="O17" i="32"/>
  <c r="O49" i="31"/>
  <c r="O33" i="31"/>
  <c r="O17" i="31"/>
  <c r="O49" i="30"/>
  <c r="O33" i="30"/>
  <c r="O17" i="30"/>
  <c r="O49" i="22"/>
  <c r="O33" i="22"/>
  <c r="O17" i="22"/>
  <c r="O49" i="9"/>
  <c r="O33" i="9"/>
  <c r="O17" i="9"/>
  <c r="O49" i="12"/>
  <c r="O33" i="12"/>
  <c r="O17" i="12"/>
  <c r="O49" i="29"/>
  <c r="O33" i="29"/>
  <c r="O17" i="29"/>
  <c r="O49" i="5"/>
  <c r="O33" i="5"/>
  <c r="O17" i="5"/>
  <c r="O49" i="17"/>
  <c r="O33" i="17"/>
  <c r="O17" i="17"/>
  <c r="O49" i="16"/>
  <c r="O33" i="16"/>
  <c r="O17" i="16"/>
  <c r="O49" i="6"/>
  <c r="O33" i="6"/>
  <c r="O17" i="6"/>
  <c r="Q14" i="1" l="1"/>
  <c r="Q13" i="1"/>
  <c r="Q36" i="1"/>
  <c r="Q35" i="1"/>
  <c r="Q30" i="1"/>
  <c r="Q29" i="1"/>
  <c r="Q27" i="1"/>
  <c r="Q25" i="1"/>
  <c r="Q21" i="1"/>
  <c r="Q11" i="1"/>
  <c r="O49" i="3"/>
  <c r="O33" i="3"/>
  <c r="O17" i="3"/>
  <c r="O49" i="8"/>
  <c r="O33" i="8"/>
  <c r="O17" i="8"/>
  <c r="O49" i="2"/>
  <c r="O33" i="2"/>
  <c r="O17" i="2"/>
  <c r="O49" i="13"/>
  <c r="O33" i="13"/>
  <c r="O17" i="13"/>
  <c r="O49" i="7"/>
  <c r="O33" i="7"/>
  <c r="O17" i="7"/>
  <c r="O49" i="26"/>
  <c r="O33" i="26"/>
  <c r="O17" i="26"/>
  <c r="O49" i="18"/>
  <c r="O33" i="18"/>
  <c r="O17" i="18"/>
  <c r="O49" i="28"/>
  <c r="O33" i="28"/>
  <c r="O17" i="28"/>
  <c r="O49" i="23"/>
  <c r="O33" i="23"/>
  <c r="O17" i="23"/>
  <c r="Q46" i="1" s="1"/>
  <c r="O49" i="4"/>
  <c r="O33" i="4"/>
  <c r="O17" i="4"/>
  <c r="O49" i="10"/>
  <c r="O33" i="10"/>
  <c r="O17" i="10"/>
  <c r="Q24" i="1" l="1"/>
  <c r="Q38" i="1"/>
  <c r="Q16" i="1"/>
  <c r="Q6" i="1"/>
  <c r="Q5" i="1"/>
  <c r="Q49" i="1"/>
  <c r="Q44" i="1"/>
  <c r="Q34" i="1"/>
  <c r="Q9" i="1"/>
  <c r="Q8" i="1"/>
  <c r="O49" i="21"/>
  <c r="O33" i="21"/>
  <c r="O17" i="21"/>
  <c r="Q28" i="1" s="1"/>
  <c r="O49" i="27"/>
  <c r="O33" i="27"/>
  <c r="O17" i="27"/>
  <c r="O49" i="24"/>
  <c r="O33" i="24"/>
  <c r="O17" i="24"/>
  <c r="Q45" i="1" s="1"/>
  <c r="Q39" i="1" l="1"/>
  <c r="O49" i="19"/>
  <c r="O33" i="19"/>
  <c r="O17" i="19"/>
  <c r="Q31" i="1" l="1"/>
  <c r="N49" i="29"/>
  <c r="M49" i="29"/>
  <c r="L49" i="29"/>
  <c r="K49" i="29"/>
  <c r="J49" i="29"/>
  <c r="I49" i="29"/>
  <c r="H49" i="29"/>
  <c r="G49" i="29"/>
  <c r="N49" i="4"/>
  <c r="M49" i="4"/>
  <c r="L49" i="4"/>
  <c r="K49" i="4"/>
  <c r="J49" i="4"/>
  <c r="I49" i="4"/>
  <c r="H49" i="4"/>
  <c r="G49" i="4"/>
  <c r="F49" i="4"/>
  <c r="N49" i="23"/>
  <c r="M49" i="23"/>
  <c r="L49" i="23"/>
  <c r="K49" i="23"/>
  <c r="J49" i="23"/>
  <c r="I49" i="23"/>
  <c r="H49" i="23"/>
  <c r="G49" i="23"/>
  <c r="N49" i="24"/>
  <c r="M49" i="24"/>
  <c r="L49" i="24"/>
  <c r="K49" i="24"/>
  <c r="J49" i="24"/>
  <c r="I49" i="24"/>
  <c r="H49" i="24"/>
  <c r="G49" i="24"/>
  <c r="N49" i="26"/>
  <c r="M49" i="26"/>
  <c r="L49" i="26"/>
  <c r="K49" i="26"/>
  <c r="J49" i="26"/>
  <c r="I49" i="26"/>
  <c r="H49" i="26"/>
  <c r="G49" i="26"/>
  <c r="F49" i="26"/>
  <c r="N49" i="27"/>
  <c r="M49" i="27"/>
  <c r="L49" i="27"/>
  <c r="K49" i="27"/>
  <c r="J49" i="27"/>
  <c r="I49" i="27"/>
  <c r="H49" i="27"/>
  <c r="G49" i="27"/>
  <c r="F49" i="27"/>
  <c r="N49" i="28"/>
  <c r="M49" i="28"/>
  <c r="L49" i="28"/>
  <c r="K49" i="28"/>
  <c r="J49" i="28"/>
  <c r="I49" i="28"/>
  <c r="H49" i="28"/>
  <c r="G49" i="28"/>
  <c r="N49" i="16"/>
  <c r="M49" i="16"/>
  <c r="L49" i="16"/>
  <c r="K49" i="16"/>
  <c r="J49" i="16"/>
  <c r="I49" i="16"/>
  <c r="H49" i="16"/>
  <c r="G49" i="16"/>
  <c r="F49" i="16"/>
  <c r="N49" i="17"/>
  <c r="M49" i="17"/>
  <c r="L49" i="17"/>
  <c r="K49" i="17"/>
  <c r="J49" i="17"/>
  <c r="I49" i="17"/>
  <c r="H49" i="17"/>
  <c r="G49" i="17"/>
  <c r="N49" i="18"/>
  <c r="M49" i="18"/>
  <c r="L49" i="18"/>
  <c r="K49" i="18"/>
  <c r="J49" i="18"/>
  <c r="I49" i="18"/>
  <c r="H49" i="18"/>
  <c r="G49" i="18"/>
  <c r="F49" i="18"/>
  <c r="N49" i="19"/>
  <c r="M49" i="19"/>
  <c r="L49" i="19"/>
  <c r="K49" i="19"/>
  <c r="J49" i="19"/>
  <c r="I49" i="19"/>
  <c r="H49" i="19"/>
  <c r="G49" i="19"/>
  <c r="F49" i="19"/>
  <c r="N49" i="32"/>
  <c r="M49" i="32"/>
  <c r="L49" i="32"/>
  <c r="K49" i="32"/>
  <c r="N49" i="31"/>
  <c r="M49" i="31"/>
  <c r="L49" i="31"/>
  <c r="K49" i="31"/>
  <c r="N49" i="21"/>
  <c r="M49" i="21"/>
  <c r="L49" i="21"/>
  <c r="K49" i="21"/>
  <c r="J49" i="21"/>
  <c r="I49" i="21"/>
  <c r="H49" i="21"/>
  <c r="G49" i="21"/>
  <c r="F49" i="21"/>
  <c r="N49" i="22"/>
  <c r="M49" i="22"/>
  <c r="L49" i="22"/>
  <c r="K49" i="22"/>
  <c r="J49" i="22"/>
  <c r="N49" i="9"/>
  <c r="M49" i="9"/>
  <c r="L49" i="9"/>
  <c r="K49" i="9"/>
  <c r="J49" i="9"/>
  <c r="N49" i="10"/>
  <c r="M49" i="10"/>
  <c r="L49" i="10"/>
  <c r="K49" i="10"/>
  <c r="J49" i="10"/>
  <c r="I49" i="10"/>
  <c r="H49" i="10"/>
  <c r="G49" i="10"/>
  <c r="F49" i="10"/>
  <c r="N49" i="12"/>
  <c r="M49" i="12"/>
  <c r="L49" i="12"/>
  <c r="K49" i="12"/>
  <c r="J49" i="12"/>
  <c r="N49" i="13"/>
  <c r="M49" i="13"/>
  <c r="L49" i="13"/>
  <c r="K49" i="13"/>
  <c r="J49" i="13"/>
  <c r="I49" i="13"/>
  <c r="H49" i="13"/>
  <c r="G49" i="13"/>
  <c r="F49" i="13"/>
  <c r="N49" i="30"/>
  <c r="M49" i="30"/>
  <c r="L49" i="30"/>
  <c r="K49" i="30"/>
  <c r="N49" i="5"/>
  <c r="M49" i="5"/>
  <c r="L49" i="5"/>
  <c r="K49" i="5"/>
  <c r="J49" i="5"/>
  <c r="I49" i="5"/>
  <c r="H49" i="5"/>
  <c r="G49" i="5"/>
  <c r="N49" i="6"/>
  <c r="M49" i="6"/>
  <c r="L49" i="6"/>
  <c r="K49" i="6"/>
  <c r="J49" i="6"/>
  <c r="I49" i="6"/>
  <c r="H49" i="6"/>
  <c r="G49" i="6"/>
  <c r="F49" i="6"/>
  <c r="G49" i="7"/>
  <c r="N49" i="7"/>
  <c r="M49" i="7"/>
  <c r="L49" i="7"/>
  <c r="K49" i="7"/>
  <c r="J49" i="7"/>
  <c r="I49" i="7"/>
  <c r="H49" i="7"/>
  <c r="F49" i="7"/>
  <c r="N49" i="8"/>
  <c r="M49" i="8"/>
  <c r="L49" i="8"/>
  <c r="K49" i="8"/>
  <c r="J49" i="8"/>
  <c r="I49" i="8"/>
  <c r="H49" i="8"/>
  <c r="G49" i="8"/>
  <c r="F49" i="8"/>
  <c r="N49" i="3"/>
  <c r="M49" i="3"/>
  <c r="L49" i="3"/>
  <c r="K49" i="3"/>
  <c r="J49" i="3"/>
  <c r="I49" i="3"/>
  <c r="H49" i="3"/>
  <c r="G49" i="3"/>
  <c r="F49" i="3"/>
  <c r="N49" i="2"/>
  <c r="M49" i="2"/>
  <c r="L49" i="2"/>
  <c r="K49" i="2"/>
  <c r="J49" i="2"/>
  <c r="I49" i="2"/>
  <c r="H49" i="2"/>
  <c r="G49" i="2"/>
  <c r="A52" i="24"/>
  <c r="A52" i="26"/>
  <c r="A52" i="27"/>
  <c r="A52" i="28"/>
  <c r="A52" i="19"/>
  <c r="B33" i="28"/>
  <c r="C33" i="28"/>
  <c r="D33" i="28"/>
  <c r="E33" i="28"/>
  <c r="F33" i="28"/>
  <c r="G33" i="28"/>
  <c r="H33" i="28"/>
  <c r="I33" i="28"/>
  <c r="J33" i="28"/>
  <c r="K33" i="28"/>
  <c r="L33" i="28"/>
  <c r="M33" i="28"/>
  <c r="N33" i="28"/>
  <c r="N33" i="29"/>
  <c r="N17" i="29"/>
  <c r="N33" i="4"/>
  <c r="N17" i="4"/>
  <c r="N33" i="23"/>
  <c r="N17" i="23"/>
  <c r="N33" i="24"/>
  <c r="N17" i="24"/>
  <c r="N33" i="26"/>
  <c r="N17" i="26"/>
  <c r="N33" i="27"/>
  <c r="N17" i="27"/>
  <c r="N17" i="28"/>
  <c r="N33" i="16"/>
  <c r="N17" i="16"/>
  <c r="P36" i="1" s="1"/>
  <c r="N33" i="17"/>
  <c r="N17" i="17"/>
  <c r="N33" i="18"/>
  <c r="N17" i="18"/>
  <c r="N33" i="19"/>
  <c r="N17" i="19"/>
  <c r="N33" i="32"/>
  <c r="N17" i="32"/>
  <c r="N33" i="31"/>
  <c r="N17" i="31"/>
  <c r="N33" i="21"/>
  <c r="N17" i="21"/>
  <c r="N33" i="22"/>
  <c r="N17" i="22"/>
  <c r="N33" i="9"/>
  <c r="N17" i="9"/>
  <c r="P25" i="1" s="1"/>
  <c r="N33" i="10"/>
  <c r="N17" i="10"/>
  <c r="N33" i="12"/>
  <c r="N17" i="12"/>
  <c r="N33" i="13"/>
  <c r="N17" i="13"/>
  <c r="N33" i="30"/>
  <c r="N17" i="30"/>
  <c r="P14" i="1" s="1"/>
  <c r="N33" i="5"/>
  <c r="N17" i="5"/>
  <c r="N33" i="6"/>
  <c r="N17" i="6"/>
  <c r="N33" i="7"/>
  <c r="N17" i="7"/>
  <c r="P9" i="1" s="1"/>
  <c r="N33" i="8"/>
  <c r="N17" i="8"/>
  <c r="N33" i="3"/>
  <c r="N17" i="3"/>
  <c r="N33" i="2"/>
  <c r="N17" i="2"/>
  <c r="B33" i="23"/>
  <c r="B17" i="23"/>
  <c r="D46" i="1" s="1"/>
  <c r="B33" i="24"/>
  <c r="B17" i="24"/>
  <c r="B33" i="26"/>
  <c r="B17" i="26"/>
  <c r="B33" i="27"/>
  <c r="B17" i="27"/>
  <c r="B17" i="28"/>
  <c r="B33" i="18"/>
  <c r="B17" i="18"/>
  <c r="B33" i="19"/>
  <c r="B17" i="19"/>
  <c r="B33" i="21"/>
  <c r="B17" i="21"/>
  <c r="B33" i="10"/>
  <c r="B17" i="10"/>
  <c r="M33" i="4"/>
  <c r="L33" i="4"/>
  <c r="K33" i="4"/>
  <c r="M17" i="4"/>
  <c r="L17" i="4"/>
  <c r="K17" i="4"/>
  <c r="M33" i="16"/>
  <c r="L33" i="16"/>
  <c r="K33" i="16"/>
  <c r="J33" i="16"/>
  <c r="M17" i="16"/>
  <c r="O36" i="1" s="1"/>
  <c r="L17" i="16"/>
  <c r="N36" i="1" s="1"/>
  <c r="K17" i="16"/>
  <c r="M36" i="1" s="1"/>
  <c r="J17" i="16"/>
  <c r="A54" i="4"/>
  <c r="A54" i="16"/>
  <c r="M33" i="29"/>
  <c r="M17" i="29"/>
  <c r="M33" i="23"/>
  <c r="M17" i="23"/>
  <c r="M33" i="24"/>
  <c r="M17" i="24"/>
  <c r="M33" i="26"/>
  <c r="M17" i="26"/>
  <c r="M33" i="27"/>
  <c r="M17" i="27"/>
  <c r="M17" i="28"/>
  <c r="M33" i="17"/>
  <c r="M17" i="17"/>
  <c r="M33" i="18"/>
  <c r="M17" i="18"/>
  <c r="M33" i="19"/>
  <c r="M17" i="19"/>
  <c r="M33" i="32"/>
  <c r="M17" i="32"/>
  <c r="M33" i="31"/>
  <c r="M17" i="31"/>
  <c r="M33" i="21"/>
  <c r="M17" i="21"/>
  <c r="M33" i="22"/>
  <c r="M17" i="22"/>
  <c r="M33" i="9"/>
  <c r="M17" i="9"/>
  <c r="M33" i="10"/>
  <c r="M17" i="10"/>
  <c r="M33" i="12"/>
  <c r="M17" i="12"/>
  <c r="M33" i="13"/>
  <c r="M17" i="13"/>
  <c r="M33" i="30"/>
  <c r="M17" i="30"/>
  <c r="M33" i="5"/>
  <c r="M17" i="5"/>
  <c r="M33" i="6"/>
  <c r="M17" i="6"/>
  <c r="M33" i="7"/>
  <c r="M17" i="7"/>
  <c r="M33" i="8"/>
  <c r="M17" i="8"/>
  <c r="O8" i="1"/>
  <c r="M33" i="2"/>
  <c r="M33" i="3"/>
  <c r="M17" i="3"/>
  <c r="E17" i="3"/>
  <c r="F17" i="3"/>
  <c r="G17" i="3"/>
  <c r="H17" i="3"/>
  <c r="I17" i="3"/>
  <c r="J17" i="3"/>
  <c r="K17" i="3"/>
  <c r="L17" i="3"/>
  <c r="M17" i="2"/>
  <c r="L33" i="29"/>
  <c r="L17" i="29"/>
  <c r="L33" i="23"/>
  <c r="L17" i="23"/>
  <c r="L33" i="24"/>
  <c r="L17" i="24"/>
  <c r="L33" i="26"/>
  <c r="L17" i="26"/>
  <c r="L33" i="27"/>
  <c r="L17" i="27"/>
  <c r="L17" i="28"/>
  <c r="N38" i="1" s="1"/>
  <c r="L33" i="17"/>
  <c r="L17" i="17"/>
  <c r="L33" i="18"/>
  <c r="L17" i="18"/>
  <c r="L33" i="19"/>
  <c r="L17" i="19"/>
  <c r="L33" i="32"/>
  <c r="L17" i="32"/>
  <c r="L33" i="31"/>
  <c r="L17" i="31"/>
  <c r="L33" i="21"/>
  <c r="L17" i="21"/>
  <c r="L33" i="22"/>
  <c r="L17" i="22"/>
  <c r="N27" i="1" s="1"/>
  <c r="L33" i="9"/>
  <c r="L17" i="9"/>
  <c r="L33" i="10"/>
  <c r="L17" i="10"/>
  <c r="L33" i="12"/>
  <c r="L17" i="12"/>
  <c r="L33" i="13"/>
  <c r="L17" i="13"/>
  <c r="N16" i="1" s="1"/>
  <c r="L33" i="30"/>
  <c r="L17" i="30"/>
  <c r="L33" i="5"/>
  <c r="L17" i="5"/>
  <c r="L33" i="6"/>
  <c r="L17" i="6"/>
  <c r="L33" i="7"/>
  <c r="L17" i="7"/>
  <c r="L33" i="8"/>
  <c r="L17" i="8"/>
  <c r="N8" i="1" s="1"/>
  <c r="L33" i="3"/>
  <c r="L33" i="2"/>
  <c r="L17" i="2"/>
  <c r="K17" i="32"/>
  <c r="K33" i="32"/>
  <c r="K33" i="31"/>
  <c r="K17" i="31"/>
  <c r="K33" i="30"/>
  <c r="K17" i="30"/>
  <c r="H33" i="8"/>
  <c r="G33" i="8"/>
  <c r="F33" i="8"/>
  <c r="E33" i="8"/>
  <c r="D33" i="8"/>
  <c r="I33" i="8"/>
  <c r="J33" i="8"/>
  <c r="K33" i="8"/>
  <c r="I33" i="26"/>
  <c r="H33" i="26"/>
  <c r="G33" i="26"/>
  <c r="F33" i="26"/>
  <c r="E33" i="26"/>
  <c r="D33" i="26"/>
  <c r="C33" i="26"/>
  <c r="J33" i="26"/>
  <c r="K33" i="26"/>
  <c r="I17" i="26"/>
  <c r="H17" i="26"/>
  <c r="G17" i="26"/>
  <c r="F17" i="26"/>
  <c r="H44" i="1" s="1"/>
  <c r="E17" i="26"/>
  <c r="D17" i="26"/>
  <c r="F44" i="1" s="1"/>
  <c r="C17" i="26"/>
  <c r="J17" i="26"/>
  <c r="K17" i="26"/>
  <c r="I33" i="4"/>
  <c r="H33" i="4"/>
  <c r="G33" i="4"/>
  <c r="F33" i="4"/>
  <c r="E33" i="4"/>
  <c r="D33" i="4"/>
  <c r="J33" i="4"/>
  <c r="I17" i="4"/>
  <c r="H17" i="4"/>
  <c r="G17" i="4"/>
  <c r="F17" i="4"/>
  <c r="E17" i="4"/>
  <c r="D17" i="4"/>
  <c r="J17" i="4"/>
  <c r="I33" i="29"/>
  <c r="H33" i="29"/>
  <c r="G33" i="29"/>
  <c r="J33" i="29"/>
  <c r="K33" i="29"/>
  <c r="I17" i="29"/>
  <c r="H17" i="29"/>
  <c r="G17" i="29"/>
  <c r="J17" i="29"/>
  <c r="K17" i="29"/>
  <c r="I33" i="23"/>
  <c r="H33" i="23"/>
  <c r="G33" i="23"/>
  <c r="F33" i="23"/>
  <c r="E33" i="23"/>
  <c r="D33" i="23"/>
  <c r="C33" i="23"/>
  <c r="J33" i="23"/>
  <c r="K33" i="23"/>
  <c r="I17" i="23"/>
  <c r="H17" i="23"/>
  <c r="G17" i="23"/>
  <c r="F17" i="23"/>
  <c r="E17" i="23"/>
  <c r="D17" i="23"/>
  <c r="C17" i="23"/>
  <c r="J17" i="23"/>
  <c r="K17" i="23"/>
  <c r="I17" i="24"/>
  <c r="H17" i="24"/>
  <c r="G17" i="24"/>
  <c r="D17" i="24"/>
  <c r="C17" i="24"/>
  <c r="J17" i="24"/>
  <c r="K17" i="24"/>
  <c r="I33" i="27"/>
  <c r="H33" i="27"/>
  <c r="G33" i="27"/>
  <c r="F33" i="27"/>
  <c r="E33" i="27"/>
  <c r="D33" i="27"/>
  <c r="C33" i="27"/>
  <c r="J33" i="27"/>
  <c r="K33" i="27"/>
  <c r="I17" i="27"/>
  <c r="H17" i="27"/>
  <c r="G17" i="27"/>
  <c r="I39" i="1" s="1"/>
  <c r="F17" i="27"/>
  <c r="E17" i="27"/>
  <c r="D17" i="27"/>
  <c r="C17" i="27"/>
  <c r="J17" i="27"/>
  <c r="K17" i="27"/>
  <c r="I17" i="28"/>
  <c r="H17" i="28"/>
  <c r="J38" i="1" s="1"/>
  <c r="G17" i="28"/>
  <c r="F17" i="28"/>
  <c r="E17" i="28"/>
  <c r="D17" i="28"/>
  <c r="C17" i="28"/>
  <c r="J17" i="28"/>
  <c r="K17" i="28"/>
  <c r="I33" i="16"/>
  <c r="H33" i="16"/>
  <c r="G33" i="16"/>
  <c r="F33" i="16"/>
  <c r="E33" i="16"/>
  <c r="I17" i="16"/>
  <c r="H17" i="16"/>
  <c r="G17" i="16"/>
  <c r="F17" i="16"/>
  <c r="E17" i="16"/>
  <c r="G36" i="1" s="1"/>
  <c r="I33" i="17"/>
  <c r="H33" i="17"/>
  <c r="G33" i="17"/>
  <c r="F33" i="17"/>
  <c r="J33" i="17"/>
  <c r="K33" i="17"/>
  <c r="I17" i="17"/>
  <c r="H17" i="17"/>
  <c r="G17" i="17"/>
  <c r="F17" i="17"/>
  <c r="J17" i="17"/>
  <c r="K17" i="17"/>
  <c r="I33" i="18"/>
  <c r="H33" i="18"/>
  <c r="G33" i="18"/>
  <c r="F33" i="18"/>
  <c r="E33" i="18"/>
  <c r="D33" i="18"/>
  <c r="C33" i="18"/>
  <c r="J33" i="18"/>
  <c r="K33" i="18"/>
  <c r="I17" i="18"/>
  <c r="H17" i="18"/>
  <c r="G17" i="18"/>
  <c r="I34" i="1" s="1"/>
  <c r="F17" i="18"/>
  <c r="E17" i="18"/>
  <c r="D17" i="18"/>
  <c r="C17" i="18"/>
  <c r="J17" i="18"/>
  <c r="L34" i="1" s="1"/>
  <c r="K17" i="18"/>
  <c r="I33" i="19"/>
  <c r="H33" i="19"/>
  <c r="G33" i="19"/>
  <c r="F33" i="19"/>
  <c r="E33" i="19"/>
  <c r="D33" i="19"/>
  <c r="C33" i="19"/>
  <c r="J33" i="19"/>
  <c r="K33" i="19"/>
  <c r="I17" i="19"/>
  <c r="H17" i="19"/>
  <c r="G17" i="19"/>
  <c r="F17" i="19"/>
  <c r="E17" i="19"/>
  <c r="D17" i="19"/>
  <c r="C17" i="19"/>
  <c r="J17" i="19"/>
  <c r="K17" i="19"/>
  <c r="I33" i="21"/>
  <c r="H33" i="21"/>
  <c r="G33" i="21"/>
  <c r="F33" i="21"/>
  <c r="E33" i="21"/>
  <c r="D33" i="21"/>
  <c r="C33" i="21"/>
  <c r="J33" i="21"/>
  <c r="K33" i="21"/>
  <c r="I17" i="21"/>
  <c r="H17" i="21"/>
  <c r="G17" i="21"/>
  <c r="F17" i="21"/>
  <c r="E17" i="21"/>
  <c r="D17" i="21"/>
  <c r="C17" i="21"/>
  <c r="J17" i="21"/>
  <c r="K17" i="21"/>
  <c r="J33" i="22"/>
  <c r="K33" i="22"/>
  <c r="J17" i="22"/>
  <c r="K17" i="22"/>
  <c r="J33" i="9"/>
  <c r="K33" i="9"/>
  <c r="J17" i="9"/>
  <c r="K17" i="9"/>
  <c r="I33" i="10"/>
  <c r="H33" i="10"/>
  <c r="G33" i="10"/>
  <c r="F33" i="10"/>
  <c r="E33" i="10"/>
  <c r="D33" i="10"/>
  <c r="C33" i="10"/>
  <c r="J33" i="10"/>
  <c r="K33" i="10"/>
  <c r="I17" i="10"/>
  <c r="K24" i="1" s="1"/>
  <c r="H17" i="10"/>
  <c r="J24" i="1" s="1"/>
  <c r="G17" i="10"/>
  <c r="F17" i="10"/>
  <c r="E17" i="10"/>
  <c r="D17" i="10"/>
  <c r="C17" i="10"/>
  <c r="J17" i="10"/>
  <c r="K17" i="10"/>
  <c r="J33" i="12"/>
  <c r="K33" i="12"/>
  <c r="J17" i="12"/>
  <c r="K17" i="12"/>
  <c r="I33" i="13"/>
  <c r="H33" i="13"/>
  <c r="G33" i="13"/>
  <c r="F33" i="13"/>
  <c r="E33" i="13"/>
  <c r="D33" i="13"/>
  <c r="J33" i="13"/>
  <c r="K33" i="13"/>
  <c r="I17" i="13"/>
  <c r="H17" i="13"/>
  <c r="J16" i="1" s="1"/>
  <c r="G17" i="13"/>
  <c r="I16" i="1" s="1"/>
  <c r="F17" i="13"/>
  <c r="E17" i="13"/>
  <c r="G16" i="1" s="1"/>
  <c r="D17" i="13"/>
  <c r="J17" i="13"/>
  <c r="L16" i="1" s="1"/>
  <c r="K17" i="13"/>
  <c r="M16" i="1" s="1"/>
  <c r="I33" i="5"/>
  <c r="H33" i="5"/>
  <c r="G33" i="5"/>
  <c r="F33" i="5"/>
  <c r="J33" i="5"/>
  <c r="K33" i="5"/>
  <c r="I17" i="5"/>
  <c r="H17" i="5"/>
  <c r="G17" i="5"/>
  <c r="F17" i="5"/>
  <c r="J17" i="5"/>
  <c r="K17" i="5"/>
  <c r="I33" i="6"/>
  <c r="H33" i="6"/>
  <c r="G33" i="6"/>
  <c r="F33" i="6"/>
  <c r="E33" i="6"/>
  <c r="J33" i="6"/>
  <c r="K33" i="6"/>
  <c r="I17" i="6"/>
  <c r="H17" i="6"/>
  <c r="G17" i="6"/>
  <c r="F17" i="6"/>
  <c r="E17" i="6"/>
  <c r="J17" i="6"/>
  <c r="K17" i="6"/>
  <c r="I33" i="7"/>
  <c r="H33" i="7"/>
  <c r="G33" i="7"/>
  <c r="F33" i="7"/>
  <c r="E33" i="7"/>
  <c r="D33" i="7"/>
  <c r="J33" i="7"/>
  <c r="K33" i="7"/>
  <c r="I17" i="7"/>
  <c r="K9" i="1" s="1"/>
  <c r="H17" i="7"/>
  <c r="J9" i="1" s="1"/>
  <c r="G17" i="7"/>
  <c r="I9" i="1" s="1"/>
  <c r="F17" i="7"/>
  <c r="H9" i="1" s="1"/>
  <c r="E17" i="7"/>
  <c r="G9" i="1" s="1"/>
  <c r="D17" i="7"/>
  <c r="J17" i="7"/>
  <c r="K17" i="7"/>
  <c r="I17" i="8"/>
  <c r="H17" i="8"/>
  <c r="G17" i="8"/>
  <c r="I8" i="1" s="1"/>
  <c r="F17" i="8"/>
  <c r="H8" i="1" s="1"/>
  <c r="E17" i="8"/>
  <c r="D17" i="8"/>
  <c r="J17" i="8"/>
  <c r="L8" i="1" s="1"/>
  <c r="K17" i="8"/>
  <c r="I33" i="3"/>
  <c r="H33" i="3"/>
  <c r="G33" i="3"/>
  <c r="I6" i="1" s="1"/>
  <c r="F33" i="3"/>
  <c r="E33" i="3"/>
  <c r="J33" i="3"/>
  <c r="K33" i="3"/>
  <c r="K33" i="24"/>
  <c r="M45" i="1" s="1"/>
  <c r="K33" i="2"/>
  <c r="K17" i="2"/>
  <c r="J33" i="24"/>
  <c r="I33" i="24"/>
  <c r="H33" i="24"/>
  <c r="G33" i="24"/>
  <c r="D33" i="24"/>
  <c r="C33" i="24"/>
  <c r="F30" i="24"/>
  <c r="E30" i="24"/>
  <c r="E26" i="24"/>
  <c r="F24" i="24"/>
  <c r="F22" i="24"/>
  <c r="E16" i="24"/>
  <c r="F14" i="24"/>
  <c r="E14" i="24"/>
  <c r="F13" i="24"/>
  <c r="F12" i="24"/>
  <c r="E11" i="24"/>
  <c r="F10" i="24"/>
  <c r="E10" i="24"/>
  <c r="F9" i="24"/>
  <c r="E9" i="24"/>
  <c r="F8" i="24"/>
  <c r="F7" i="24"/>
  <c r="E7" i="24"/>
  <c r="F6" i="24"/>
  <c r="E6" i="24"/>
  <c r="E5" i="24"/>
  <c r="J33" i="2"/>
  <c r="I33" i="2"/>
  <c r="H33" i="2"/>
  <c r="G33" i="2"/>
  <c r="E33" i="2"/>
  <c r="D33" i="2"/>
  <c r="F30" i="2"/>
  <c r="F33" i="2" s="1"/>
  <c r="J17" i="2"/>
  <c r="I17" i="2"/>
  <c r="H17" i="2"/>
  <c r="J5" i="1" s="1"/>
  <c r="G17" i="2"/>
  <c r="F14" i="2"/>
  <c r="F13" i="2"/>
  <c r="D13" i="2"/>
  <c r="D17" i="2" s="1"/>
  <c r="E11" i="2"/>
  <c r="F7" i="2"/>
  <c r="E5" i="2"/>
  <c r="E17" i="2" s="1"/>
  <c r="G5" i="1" s="1"/>
  <c r="A52" i="5"/>
  <c r="A52" i="32"/>
  <c r="A54" i="13"/>
  <c r="A53" i="7"/>
  <c r="A52" i="10"/>
  <c r="A53" i="3"/>
  <c r="A52" i="18"/>
  <c r="A53" i="6"/>
  <c r="A52" i="23"/>
  <c r="A53" i="8"/>
  <c r="A52" i="29"/>
  <c r="A53" i="17"/>
  <c r="A52" i="31"/>
  <c r="A52" i="22"/>
  <c r="A52" i="9"/>
  <c r="A52" i="30"/>
  <c r="A52" i="21"/>
  <c r="A53" i="12"/>
  <c r="A53" i="2"/>
  <c r="M24" i="1"/>
  <c r="F16" i="1"/>
  <c r="G8" i="1"/>
  <c r="I45" i="1"/>
  <c r="E34" i="1"/>
  <c r="F49" i="24"/>
  <c r="Q52" i="1" l="1"/>
  <c r="K45" i="1"/>
  <c r="G44" i="1"/>
  <c r="P46" i="1"/>
  <c r="J8" i="1"/>
  <c r="M13" i="1"/>
  <c r="O5" i="1"/>
  <c r="E33" i="24"/>
  <c r="M8" i="1"/>
  <c r="K8" i="1"/>
  <c r="J28" i="1"/>
  <c r="F38" i="1"/>
  <c r="E39" i="1"/>
  <c r="L46" i="1"/>
  <c r="K49" i="1"/>
  <c r="J44" i="1"/>
  <c r="N34" i="1"/>
  <c r="O6" i="1"/>
  <c r="O34" i="1"/>
  <c r="P34" i="1"/>
  <c r="K38" i="1"/>
  <c r="M25" i="1"/>
  <c r="M28" i="1"/>
  <c r="K28" i="1"/>
  <c r="G34" i="1"/>
  <c r="N45" i="1"/>
  <c r="N24" i="1"/>
  <c r="O13" i="1"/>
  <c r="O29" i="1"/>
  <c r="H11" i="1"/>
  <c r="P49" i="1"/>
  <c r="E45" i="1"/>
  <c r="D44" i="1"/>
  <c r="O39" i="1"/>
  <c r="G38" i="1"/>
  <c r="I36" i="1"/>
  <c r="K35" i="1"/>
  <c r="O31" i="1"/>
  <c r="O28" i="1"/>
  <c r="L28" i="1"/>
  <c r="G24" i="1"/>
  <c r="L13" i="1"/>
  <c r="K13" i="1"/>
  <c r="I11" i="1"/>
  <c r="I5" i="1"/>
  <c r="M5" i="1"/>
  <c r="M34" i="1"/>
  <c r="K34" i="1"/>
  <c r="D34" i="1"/>
  <c r="H49" i="1"/>
  <c r="L49" i="1"/>
  <c r="I49" i="1"/>
  <c r="F49" i="1"/>
  <c r="O49" i="1"/>
  <c r="J49" i="1"/>
  <c r="M49" i="1"/>
  <c r="N49" i="1"/>
  <c r="G49" i="1"/>
  <c r="F46" i="1"/>
  <c r="K46" i="1"/>
  <c r="E46" i="1"/>
  <c r="I46" i="1"/>
  <c r="G46" i="1"/>
  <c r="H46" i="1"/>
  <c r="M46" i="1"/>
  <c r="J46" i="1"/>
  <c r="O46" i="1"/>
  <c r="N46" i="1"/>
  <c r="F45" i="1"/>
  <c r="O45" i="1"/>
  <c r="F33" i="24"/>
  <c r="E17" i="24"/>
  <c r="G45" i="1" s="1"/>
  <c r="L45" i="1"/>
  <c r="J45" i="1"/>
  <c r="D45" i="1"/>
  <c r="P45" i="1"/>
  <c r="F17" i="24"/>
  <c r="M44" i="1"/>
  <c r="O44" i="1"/>
  <c r="E44" i="1"/>
  <c r="I44" i="1"/>
  <c r="N44" i="1"/>
  <c r="L44" i="1"/>
  <c r="K44" i="1"/>
  <c r="F39" i="1"/>
  <c r="G39" i="1"/>
  <c r="J39" i="1"/>
  <c r="K39" i="1"/>
  <c r="D39" i="1"/>
  <c r="P39" i="1"/>
  <c r="N39" i="1"/>
  <c r="M39" i="1"/>
  <c r="L39" i="1"/>
  <c r="H39" i="1"/>
  <c r="D38" i="1"/>
  <c r="L38" i="1"/>
  <c r="H38" i="1"/>
  <c r="O38" i="1"/>
  <c r="E38" i="1"/>
  <c r="I38" i="1"/>
  <c r="M38" i="1"/>
  <c r="H36" i="1"/>
  <c r="J36" i="1"/>
  <c r="K36" i="1"/>
  <c r="L36" i="1"/>
  <c r="H35" i="1"/>
  <c r="L35" i="1"/>
  <c r="O35" i="1"/>
  <c r="I35" i="1"/>
  <c r="M35" i="1"/>
  <c r="J35" i="1"/>
  <c r="N35" i="1"/>
  <c r="P35" i="1"/>
  <c r="H34" i="1"/>
  <c r="J34" i="1"/>
  <c r="F34" i="1"/>
  <c r="F31" i="1"/>
  <c r="J31" i="1"/>
  <c r="I31" i="1"/>
  <c r="L31" i="1"/>
  <c r="H31" i="1"/>
  <c r="P31" i="1"/>
  <c r="M31" i="1"/>
  <c r="G31" i="1"/>
  <c r="K31" i="1"/>
  <c r="D31" i="1"/>
  <c r="E31" i="1"/>
  <c r="N31" i="1"/>
  <c r="N30" i="1"/>
  <c r="P30" i="1"/>
  <c r="M30" i="1"/>
  <c r="O30" i="1"/>
  <c r="M29" i="1"/>
  <c r="N29" i="1"/>
  <c r="E28" i="1"/>
  <c r="I28" i="1"/>
  <c r="P28" i="1"/>
  <c r="G28" i="1"/>
  <c r="H28" i="1"/>
  <c r="F28" i="1"/>
  <c r="D28" i="1"/>
  <c r="N28" i="1"/>
  <c r="O27" i="1"/>
  <c r="L27" i="1"/>
  <c r="P27" i="1"/>
  <c r="M27" i="1"/>
  <c r="L25" i="1"/>
  <c r="O25" i="1"/>
  <c r="N25" i="1"/>
  <c r="L24" i="1"/>
  <c r="E24" i="1"/>
  <c r="F24" i="1"/>
  <c r="H24" i="1"/>
  <c r="P24" i="1"/>
  <c r="I24" i="1"/>
  <c r="O24" i="1"/>
  <c r="D24" i="1"/>
  <c r="M21" i="1"/>
  <c r="N21" i="1"/>
  <c r="L21" i="1"/>
  <c r="O21" i="1"/>
  <c r="K16" i="1"/>
  <c r="P16" i="1"/>
  <c r="H16" i="1"/>
  <c r="O16" i="1"/>
  <c r="M14" i="1"/>
  <c r="O14" i="1"/>
  <c r="N14" i="1"/>
  <c r="I13" i="1"/>
  <c r="J13" i="1"/>
  <c r="H13" i="1"/>
  <c r="N13" i="1"/>
  <c r="M11" i="1"/>
  <c r="N11" i="1"/>
  <c r="O11" i="1"/>
  <c r="P11" i="1"/>
  <c r="L11" i="1"/>
  <c r="J11" i="1"/>
  <c r="G11" i="1"/>
  <c r="K11" i="1"/>
  <c r="M9" i="1"/>
  <c r="O9" i="1"/>
  <c r="L9" i="1"/>
  <c r="N9" i="1"/>
  <c r="F9" i="1"/>
  <c r="F8" i="1"/>
  <c r="H6" i="1"/>
  <c r="P6" i="1"/>
  <c r="L6" i="1"/>
  <c r="J6" i="1"/>
  <c r="M6" i="1"/>
  <c r="N6" i="1"/>
  <c r="K6" i="1"/>
  <c r="G6" i="1"/>
  <c r="K5" i="1"/>
  <c r="L5" i="1"/>
  <c r="P5" i="1"/>
  <c r="F17" i="2"/>
  <c r="H5" i="1" s="1"/>
  <c r="N5" i="1"/>
  <c r="F5" i="1"/>
  <c r="P29" i="1"/>
  <c r="P21" i="1"/>
  <c r="P13" i="1"/>
  <c r="P8" i="1"/>
  <c r="P44" i="1"/>
  <c r="P38" i="1"/>
  <c r="I52" i="1" l="1"/>
  <c r="J52" i="1"/>
  <c r="G52" i="1"/>
  <c r="D52" i="1"/>
  <c r="K52" i="1"/>
  <c r="L52" i="1"/>
  <c r="O52" i="1"/>
  <c r="P52" i="1"/>
  <c r="F52" i="1"/>
  <c r="N52" i="1"/>
  <c r="E52" i="1"/>
  <c r="M52" i="1"/>
  <c r="H45" i="1"/>
  <c r="H52" i="1" s="1"/>
</calcChain>
</file>

<file path=xl/sharedStrings.xml><?xml version="1.0" encoding="utf-8"?>
<sst xmlns="http://schemas.openxmlformats.org/spreadsheetml/2006/main" count="19909" uniqueCount="298">
  <si>
    <t>Albert Lea</t>
  </si>
  <si>
    <t>Austin</t>
  </si>
  <si>
    <t>Baxter</t>
  </si>
  <si>
    <t>Bemidji</t>
  </si>
  <si>
    <t>Brainerd</t>
  </si>
  <si>
    <t>Clearwater</t>
  </si>
  <si>
    <t>Duluth</t>
  </si>
  <si>
    <t>Fergus Falls</t>
  </si>
  <si>
    <t>Hermantown</t>
  </si>
  <si>
    <t>Hutchinson</t>
  </si>
  <si>
    <t>Lanesboro</t>
  </si>
  <si>
    <t>Mankato</t>
  </si>
  <si>
    <t>Minneapolis</t>
  </si>
  <si>
    <t>New Ulm</t>
  </si>
  <si>
    <t>North Mankato</t>
  </si>
  <si>
    <t>Owatonna</t>
  </si>
  <si>
    <t>Proctor</t>
  </si>
  <si>
    <t>Rochester</t>
  </si>
  <si>
    <t>St. Cloud Area</t>
  </si>
  <si>
    <t>St. Paul</t>
  </si>
  <si>
    <t>Two Harbors</t>
  </si>
  <si>
    <t>Worthington</t>
  </si>
  <si>
    <t>Albert Lea Local Sales Tax (0.5%)</t>
  </si>
  <si>
    <t>Month</t>
  </si>
  <si>
    <t xml:space="preserve">January 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</si>
  <si>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</si>
  <si>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</si>
  <si>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</si>
  <si>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</si>
  <si>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</si>
  <si>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</si>
  <si>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</si>
  <si>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</si>
  <si>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</si>
  <si>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 xml:space="preserve">November </t>
  </si>
  <si>
    <t xml:space="preserve">*  </t>
  </si>
  <si>
    <t>December</t>
  </si>
  <si>
    <t>Total</t>
  </si>
  <si>
    <t>Albert Lea Local Use Tax (0.5%)</t>
  </si>
  <si>
    <t>*Collections for November 2008 are included in December totals due to a new processing system.</t>
  </si>
  <si>
    <t>Austin Local Sales Tax (0.5%)</t>
  </si>
  <si>
    <t>Austin Local Use Tax (0.5%)</t>
  </si>
  <si>
    <t>Baxter Local Sales Tax (0.5%)</t>
  </si>
  <si>
    <t>Baxter Local Use Tax (0.5%)</t>
  </si>
  <si>
    <t>Bemidji Local Sales Tax (0.5%)</t>
  </si>
  <si>
    <t>Bemidji Local Use Tax (0.5%)</t>
  </si>
  <si>
    <t>Brainerd Local Sales Tax (0.5%)</t>
  </si>
  <si>
    <t>Brainerd Local Use Tax (0.5%)</t>
  </si>
  <si>
    <t>Clearwater Local Sales Tax (0.5%)</t>
  </si>
  <si>
    <t>Clearwater Local Use Tax (0.5%)</t>
  </si>
  <si>
    <t>Duluth Local Sales Tax (1.0%)</t>
  </si>
  <si>
    <t>Duluth Local Use Tax (1.0%)</t>
  </si>
  <si>
    <t>Mankato Local Sales Tax (0.5%)</t>
  </si>
  <si>
    <t>Mankato Local Use Tax (0.5%)</t>
  </si>
  <si>
    <t>Minneapolis Local Sales Tax (0.5%)</t>
  </si>
  <si>
    <t>Minneapolis Local Use Tax (0.5%)</t>
  </si>
  <si>
    <t>New Ulm Local Sales Tax (0.5%)</t>
  </si>
  <si>
    <t>New Ulm Local Use Tax (0.5%)</t>
  </si>
  <si>
    <t>North Mankato Local Sales Tax (0.5%)</t>
  </si>
  <si>
    <t>North Mankato Local Use Tax (0.5%)</t>
  </si>
  <si>
    <t>*</t>
  </si>
  <si>
    <t>St. Cloud Local Sales Tax (0.5%)</t>
  </si>
  <si>
    <t>St. Cloud Local Use Tax (0.5%)</t>
  </si>
  <si>
    <t xml:space="preserve">  *  </t>
  </si>
  <si>
    <t>St. Paul Local Sales Tax (0.5%)</t>
  </si>
  <si>
    <t>St. Paul Local Use Tax (0.5%)</t>
  </si>
  <si>
    <t>Two Harbors Local Sales Tax (0.5%)</t>
  </si>
  <si>
    <t>Two Harbors Local Use Tax (0.5%)</t>
  </si>
  <si>
    <t>Willmar</t>
  </si>
  <si>
    <t>Cloquet</t>
  </si>
  <si>
    <t>Cloquet Local Sales Tax (0.5%)</t>
  </si>
  <si>
    <t>Cloquet Local Use Tax (0.5%)</t>
  </si>
  <si>
    <t>Marshall</t>
  </si>
  <si>
    <t>Marshall Local Sales Tax (0.5%)</t>
  </si>
  <si>
    <t>Marshall Local Use Tax (0.5%)</t>
  </si>
  <si>
    <t>Medford</t>
  </si>
  <si>
    <t>Medford Local Sales Tax (0.5%)</t>
  </si>
  <si>
    <t>Medford Local Use Tax (0.5%)</t>
  </si>
  <si>
    <t xml:space="preserve">2014
</t>
  </si>
  <si>
    <t>Year Imposed</t>
  </si>
  <si>
    <t xml:space="preserve">*Collections for November 2008 are included in December totals due to a new processing system. </t>
  </si>
  <si>
    <t>Tax Rate</t>
  </si>
  <si>
    <t>City</t>
  </si>
  <si>
    <t>0.50%/1.00%</t>
  </si>
  <si>
    <t>2000/2013</t>
  </si>
  <si>
    <t>0.50%/0.75%</t>
  </si>
  <si>
    <t>1993/2016</t>
  </si>
  <si>
    <t xml:space="preserve"> 2007-2011*</t>
  </si>
  <si>
    <t>2012-2016*</t>
  </si>
  <si>
    <t>Owatonna Local Sales Tax (0.5% from 2007-2011)</t>
  </si>
  <si>
    <t>Owatonna Local Use Tax (0.5% from 2007-2011)</t>
  </si>
  <si>
    <t>Willmar Local Sales Tax (0.5% from 2006-2012)</t>
  </si>
  <si>
    <t>Willmar Local Use Tax (0.5% from 2006-2012)</t>
  </si>
  <si>
    <t>Rochester Local Sales Tax (0.5% starting 1993; 0.75% since 1/1/16)</t>
  </si>
  <si>
    <t>Rochester Local Use Tax (0.5% starting 1993; 0.75% since 1/1/16)</t>
  </si>
  <si>
    <t>Hermantown Local Sales Tax ( 0.5% starting 2000; 1.0% since 4/1/13)</t>
  </si>
  <si>
    <t>Hermantown Local Use Tax ( 0.5% starting 2000; 1.0% since 4/1/13)</t>
  </si>
  <si>
    <t>2004**</t>
  </si>
  <si>
    <t>2005**</t>
  </si>
  <si>
    <t>**Totals for 2004-2005 exclude $11-$12 million in Duluth sales tax collections.</t>
  </si>
  <si>
    <t>Fergus Falls Local Sales Tax (0.5%)</t>
  </si>
  <si>
    <t>Fergus Falls Local Use Tax (0.5%)</t>
  </si>
  <si>
    <t>Hutchinson Local Sales Tax (0.5%)</t>
  </si>
  <si>
    <t>Hutchinson Local Use Tax (0.5%)</t>
  </si>
  <si>
    <t>Lanesboro Local Sales Tax (0.5%)</t>
  </si>
  <si>
    <t>Lanesboro Local Use Tax (0.5%)</t>
  </si>
  <si>
    <t>Albert Lea Refunds</t>
  </si>
  <si>
    <t>Austin Refunds</t>
  </si>
  <si>
    <t>Baxter Refunds</t>
  </si>
  <si>
    <t>Bemidji Refunds</t>
  </si>
  <si>
    <t>Brainerd Refunds</t>
  </si>
  <si>
    <t>Clearwater Refunds</t>
  </si>
  <si>
    <t>Cloquet Refunds</t>
  </si>
  <si>
    <t>Duluth Refunds</t>
  </si>
  <si>
    <t>Fergus Falls Refunds</t>
  </si>
  <si>
    <t>Hermantown Refunds</t>
  </si>
  <si>
    <t>Hutchinson Refunds</t>
  </si>
  <si>
    <t>Lanesboro Refunds</t>
  </si>
  <si>
    <t>Mankato Refunds</t>
  </si>
  <si>
    <t>Marshall Refunds</t>
  </si>
  <si>
    <t>Medford Refunds</t>
  </si>
  <si>
    <t>Minneapolis Refunds</t>
  </si>
  <si>
    <t>New Ulm Refunds</t>
  </si>
  <si>
    <t>North Mankato Refunds</t>
  </si>
  <si>
    <t>Owatonna Refunds</t>
  </si>
  <si>
    <t>Proctor Refunds</t>
  </si>
  <si>
    <t>Rochester Refunds</t>
  </si>
  <si>
    <t>St. Cloud Refunds</t>
  </si>
  <si>
    <t>St. Paul Refunds</t>
  </si>
  <si>
    <t>Two Harbors Refunds</t>
  </si>
  <si>
    <t>Willmar Refunds</t>
  </si>
  <si>
    <t>Worthington Refunds</t>
  </si>
  <si>
    <t>Fairmont</t>
  </si>
  <si>
    <t>Moose Lake</t>
  </si>
  <si>
    <t>New London</t>
  </si>
  <si>
    <t>Spicer</t>
  </si>
  <si>
    <t>Fairmont Local Sales Tax (0.5%)</t>
  </si>
  <si>
    <t>Fairmont Local Use Tax (0.5%)</t>
  </si>
  <si>
    <t>Fairmont Refunds</t>
  </si>
  <si>
    <t>Moose Lake Local Sales Tax (0.5%)</t>
  </si>
  <si>
    <t>Moose Lake Local Use Tax (0.5%)</t>
  </si>
  <si>
    <t>Moose Lake Refunds</t>
  </si>
  <si>
    <t>New London Local Sales Tax (0.5%)</t>
  </si>
  <si>
    <t>New London Local Use Tax (0.5%)</t>
  </si>
  <si>
    <t>New London Refunds</t>
  </si>
  <si>
    <t>Proctor Local Sales Tax (0.5% starting 2000; 1.0% since 10/1/17)</t>
  </si>
  <si>
    <t>Proctor Local Use Tax (0.5% starting 2000; 1.0% since 10/1/17)</t>
  </si>
  <si>
    <t>2000/2017</t>
  </si>
  <si>
    <t>Spicer Local Use Tax (0.5%)</t>
  </si>
  <si>
    <t>Spicer Refunds</t>
  </si>
  <si>
    <t>Spicer Local Sales Tax (0.5%)</t>
  </si>
  <si>
    <t>end of worksheet</t>
  </si>
  <si>
    <t>-</t>
  </si>
  <si>
    <t>Table 2.  City General Sales &amp; Use Taxes Total Collections</t>
  </si>
  <si>
    <t>Hidden columns B-D do not contain any data for CY 2004-2006</t>
  </si>
  <si>
    <t>Hidden columns B-E do not contain any data for CY 2004-2007</t>
  </si>
  <si>
    <t>Hidden columns B-J do not contain any data for CY 2004-2012</t>
  </si>
  <si>
    <t>Hidden columns B-I do not contain any data for CY 2004-2011</t>
  </si>
  <si>
    <t>Hidden columns B-F do not contain any data for CY 2004-2008</t>
  </si>
  <si>
    <t>East Grand Forks</t>
  </si>
  <si>
    <t>Walker</t>
  </si>
  <si>
    <t>East Grand Forks Refunds</t>
  </si>
  <si>
    <t>Walker Refunds</t>
  </si>
  <si>
    <t>East Grand Forks Local Use Tax (1.0%)</t>
  </si>
  <si>
    <t>East Grand Forks Local Sales Tax (1.0%)</t>
  </si>
  <si>
    <t>Walker Local Use Tax (1.5%)</t>
  </si>
  <si>
    <t>Walker Local Sales Tax (1.5%)</t>
  </si>
  <si>
    <t>GKWMLL Sanitary</t>
  </si>
  <si>
    <t>Garrison, Kathio, West Mille Lacs Sanitary District Local Use Tax (1.0%)</t>
  </si>
  <si>
    <t>Garrison, Kathio, West Mille Lacs Sanitary District Local Sales Tax (1.0%)</t>
  </si>
  <si>
    <t>Garrison, Kathio, West Mille Lacs Sanitary District Refunds</t>
  </si>
  <si>
    <t>Worthington Historical Minnesota Local Sales &amp; Use Tax</t>
  </si>
  <si>
    <t>Willmar Historical Minnesota Local Sales &amp; Use Tax</t>
  </si>
  <si>
    <t>Hidden columns B-C do not contain any data for CY 2004-2005</t>
  </si>
  <si>
    <t>This cell intentionally left blank</t>
  </si>
  <si>
    <t>Hidden columns B-O do not contain any data for CY 2004-2017</t>
  </si>
  <si>
    <t>Hidden columns B-N do not contain any data for CY 2004-2016</t>
  </si>
  <si>
    <t>Hidden columns B-N do not contain data for CY 2004-2016</t>
  </si>
  <si>
    <t>Hidden columns D-I contain data for CY 2004-2009.</t>
  </si>
  <si>
    <t>Note: Totals not available prior to state administration of the tax in 2006.</t>
  </si>
  <si>
    <t>Note: Local Sales &amp; Use Tax ended December 2016. Collections in later months are late tax payments or refunds.</t>
  </si>
  <si>
    <t>Note: Local Sales &amp; Use Tax ended June 30, 2011. Collections in later months are late tax payments or refunds.</t>
  </si>
  <si>
    <t>Note: Local Sales &amp; Use Tax ended December 31, 2012. Collections in later months are late tax payments or refunds.</t>
  </si>
  <si>
    <t>Note: GKWMLL Sanitary is Garrison, Kathio, West Mille Lacs Sanitary District</t>
  </si>
  <si>
    <t>St. Cloud Monthly Detail for Minnesota Local Sales &amp; Use Tax</t>
  </si>
  <si>
    <t>CY 2004-2020</t>
  </si>
  <si>
    <r>
      <t xml:space="preserve">For detail by month through June 2020, </t>
    </r>
    <r>
      <rPr>
        <b/>
        <i/>
        <u/>
        <sz val="12"/>
        <rFont val="Calibri"/>
        <family val="2"/>
        <scheme val="minor"/>
      </rPr>
      <t>double</t>
    </r>
    <r>
      <rPr>
        <b/>
        <sz val="12"/>
        <rFont val="Calibri"/>
        <family val="2"/>
        <scheme val="minor"/>
      </rPr>
      <t xml:space="preserve"> click on links.</t>
    </r>
  </si>
  <si>
    <t>Rochester Monthly Detail for Minnesota Local Sales &amp; Use Tax</t>
  </si>
  <si>
    <t>Albert Lea Monthly Detail for Minnesota Local Sales &amp; Use Tax</t>
  </si>
  <si>
    <t>Austin Monthly Detail for Minnesota Local Sales &amp; Use Tax</t>
  </si>
  <si>
    <t>Baxter Monthly Detail for Minnesota Local Sales &amp; Use Tax</t>
  </si>
  <si>
    <t>Bemidji Monthly Detail for Minnesota Local Sales &amp; Use Tax</t>
  </si>
  <si>
    <t>Brainerd Monthly Detail for Minnesota Local Sales &amp; Use Tax</t>
  </si>
  <si>
    <t>Clearwater Monthly Detail for Minnesota Local Sales &amp; Use Tax</t>
  </si>
  <si>
    <t>Cloquet Monthly Detail for Minnesota Local Sales &amp; Use Tax</t>
  </si>
  <si>
    <t>Duluth Monthly Detail for Minnesota Local Sales &amp; Use Tax</t>
  </si>
  <si>
    <t>East Grand Forks Monthly Detail for Minnesota Local Sales &amp; Use Tax</t>
  </si>
  <si>
    <t>Fairmont Monthly Detail for Minnesota Local Sales &amp; Use Tax</t>
  </si>
  <si>
    <t>Fergus Falls Monthly Detail for Minnesota Local Sales &amp; Use Tax</t>
  </si>
  <si>
    <t>GKWMLL Sanitary Monthly Detail for Minnesota Local Sales &amp; Use Tax</t>
  </si>
  <si>
    <t>Hermantown Monthly Detail for Minnesota Local Sales &amp; Use Tax</t>
  </si>
  <si>
    <t>Hutchinson Monthly Detail for Minnesota Local Sales &amp; Use Tax</t>
  </si>
  <si>
    <t>Lanesboro Monthly Detail for Minnesota Local Sales &amp; Use Tax</t>
  </si>
  <si>
    <t>Mankato Monthly Detail for Minnesota Local Sales &amp; Use Tax</t>
  </si>
  <si>
    <t>Marshall Monthly Detail for Minnesota Local Sales &amp; Use Tax</t>
  </si>
  <si>
    <t>Medford Monthly Detail for Minnesota Local Sales &amp; Use Tax</t>
  </si>
  <si>
    <t>Minneapolis Monthly Detail for Minnesota Local Sales &amp; Use Tax</t>
  </si>
  <si>
    <t>Moose Lake Monthly Detail for Minnesota Local Sales &amp; Use Tax</t>
  </si>
  <si>
    <t>New London Monthly Detail for Minnesota Local Sales &amp; Use Tax</t>
  </si>
  <si>
    <t>New Ulm Monthly Detail for Minnesota Local Sales &amp; Use Tax</t>
  </si>
  <si>
    <t>North Mankato Monthly Detail for Minnesota Local Sales &amp; Use Tax</t>
  </si>
  <si>
    <t>Owatonna Monthly Detail for Minnesota Local Sales &amp; Use Tax</t>
  </si>
  <si>
    <t>Proctor Monthly Detail for Minnesota Local Sales &amp; Use Tax</t>
  </si>
  <si>
    <t>Spicer Monthly Detail for Minnesota Local Sales &amp; Use Tax</t>
  </si>
  <si>
    <t>St. Paul Monthly Detail for Minnesota Local Sales &amp; Use Tax</t>
  </si>
  <si>
    <t>Two Harbors Monthly Detail for Minnesota Local Sales &amp; Use Tax</t>
  </si>
  <si>
    <t>Walker Monthly Detail for Minnesota Local Sales &amp; Use Tax</t>
  </si>
  <si>
    <t>Detroit Lakes</t>
  </si>
  <si>
    <t>Detroit Lakes Monthly Detail for Minnesota Local Sales &amp; Use Tax</t>
  </si>
  <si>
    <t>Detroit Lakes Refunds</t>
  </si>
  <si>
    <t>Detroit Lakes Local Use Tax (0.5%)</t>
  </si>
  <si>
    <t>Hidden columns B-P do not contain any data for CY 2004-2018</t>
  </si>
  <si>
    <t>Detroit Lakes Local Sales Tax (0.5%)</t>
  </si>
  <si>
    <t>City Total (excl. Refunds)</t>
  </si>
  <si>
    <t>City Refunds</t>
  </si>
  <si>
    <t>Avon</t>
  </si>
  <si>
    <t>Blue Earth</t>
  </si>
  <si>
    <t>Cambridge</t>
  </si>
  <si>
    <t>Elk River</t>
  </si>
  <si>
    <t>Excelsior</t>
  </si>
  <si>
    <t>Int. Falls</t>
  </si>
  <si>
    <t>Rogers</t>
  </si>
  <si>
    <t>Glenwood</t>
  </si>
  <si>
    <t>Perham</t>
  </si>
  <si>
    <t>Virginia</t>
  </si>
  <si>
    <t>West St. Paul</t>
  </si>
  <si>
    <t>Scanlon</t>
  </si>
  <si>
    <t>Worthington Local Use Tax (0.5%)</t>
  </si>
  <si>
    <t>Avon Local Use Tax (0.5%)</t>
  </si>
  <si>
    <t>Avon Local Sales Tax (0.5%)</t>
  </si>
  <si>
    <t>Avon Refunds</t>
  </si>
  <si>
    <t>Avon Historical Minnesota Local Sales &amp; Use Tax</t>
  </si>
  <si>
    <t>Blue Earth Historical Minnesota Local Sales &amp; Use Tax</t>
  </si>
  <si>
    <t>Blue Earth Local Sales Tax (0.5%)</t>
  </si>
  <si>
    <t>Blue Earth Local Use Tax (0.5%)</t>
  </si>
  <si>
    <t>Blue Earth Refunds</t>
  </si>
  <si>
    <t>Cambridge Historical Minnesota Local Sales &amp; Use Tax</t>
  </si>
  <si>
    <t>Cambridge Local Sales Tax (0.5%)</t>
  </si>
  <si>
    <t>Cambridge Local Use Tax (0.5%)</t>
  </si>
  <si>
    <t>Cambridge Refunds</t>
  </si>
  <si>
    <t>Elk River Historical Minnesota Local Sales &amp; Use Tax</t>
  </si>
  <si>
    <t>Elk River Local Sales Tax (0.5%)</t>
  </si>
  <si>
    <t>Elk River Local Use Tax (0.5%)</t>
  </si>
  <si>
    <t>Elk River Refunds</t>
  </si>
  <si>
    <t>Excelsior Historical Minnesota Local Sales &amp; Use Tax</t>
  </si>
  <si>
    <t>Excelsior Local Sales Tax (0.5%)</t>
  </si>
  <si>
    <t>Excelsior Local Use Tax (0.5%)</t>
  </si>
  <si>
    <t>Excelsior Refunds</t>
  </si>
  <si>
    <t>Int. Falls Historical Minnesota Local Sales &amp; Use Tax</t>
  </si>
  <si>
    <t>Int. Falls Local Sales Tax (1.0%)</t>
  </si>
  <si>
    <t>Int. Falls Local Use Tax (0.5%)</t>
  </si>
  <si>
    <t>Rogers Historical Minnesota Local Sales &amp; Use Tax</t>
  </si>
  <si>
    <t>Rogers Refunds</t>
  </si>
  <si>
    <t>Hidden columns B-Q do not contain any data for CY 2004-2019</t>
  </si>
  <si>
    <t>Glenwood Historical Minnesota Local Sales &amp; Use Tax</t>
  </si>
  <si>
    <t>Glenwood Local Sales Tax (0.5%)</t>
  </si>
  <si>
    <t>Glenwood Local Use Tax (0.5%)</t>
  </si>
  <si>
    <t>Glenwood Refunds</t>
  </si>
  <si>
    <t>Perham Historical Minnesota Local Sales &amp; Use Tax</t>
  </si>
  <si>
    <t>Perham Local Sales Tax (0.5%)</t>
  </si>
  <si>
    <t>Perham Local Use Tax (0.5%)</t>
  </si>
  <si>
    <t>Perham Refunds</t>
  </si>
  <si>
    <t>Virginia Historical Minnesota Local Sales &amp; Use Tax</t>
  </si>
  <si>
    <t>Virginia Refunds</t>
  </si>
  <si>
    <t>West St. Paul Historical Minnesota Local Sales &amp; Use Tax</t>
  </si>
  <si>
    <t>West St. Paul Local Sales Tax (0.5%)</t>
  </si>
  <si>
    <t>West St. Paul Local Use Tax (0.5%)</t>
  </si>
  <si>
    <t>West St. Paul Refunds</t>
  </si>
  <si>
    <t>Scanlon Refunds</t>
  </si>
  <si>
    <t>Scanlon Local Use Tax (0.5%)</t>
  </si>
  <si>
    <t>Scanlon Local Sales Tax (0.5%)</t>
  </si>
  <si>
    <t>Scanlon Historical Minnesota Local Sales &amp; Use Tax</t>
  </si>
  <si>
    <t>Sauk Centre Historical Minnesota Local Sales &amp; Use Tax</t>
  </si>
  <si>
    <t>Sauk Centre Local Sales Tax (0.5%)</t>
  </si>
  <si>
    <t>Sauk Centre Local Use Tax (0.5%)</t>
  </si>
  <si>
    <t>Sauk Centre Refunds</t>
  </si>
  <si>
    <t>Sauk Centre</t>
  </si>
  <si>
    <t>Rogers Local Sales Tax (0.25%)</t>
  </si>
  <si>
    <t>Rogers Local Use Tax (0.25%)</t>
  </si>
  <si>
    <t>Virginia Local Sales Tax (1.0%)</t>
  </si>
  <si>
    <t>Virginia Local Use Tax (1.0%)</t>
  </si>
  <si>
    <t>Int. Falls Refunds</t>
  </si>
  <si>
    <t>Note: Initially effective 1/1/2006 in Willmar &amp; effective 4/1/2007 in Owatonna.</t>
  </si>
  <si>
    <t xml:space="preserve"> 2006-2012*/2019</t>
  </si>
  <si>
    <t>*Shaded cells show collections received net of refunds paid in months after the local tax expired (6/30/2011 in Owatonna,  12/31/2012 in Willmar (authorization ran out in Sept 2014), &amp; 12/31/2016 in Fergus Falls).</t>
  </si>
  <si>
    <t>Source:  Minnesota Department of Revenue, Tax Research Division, February 2021</t>
  </si>
  <si>
    <t>Worthington Local Sales Tax (0.5% ended 10/1/2019; reimposed 1/1/2020)</t>
  </si>
  <si>
    <t>2009-2019/2020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</si>
</sst>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5" formatCode="&quot;$&quot;#,##0_);\(&quot;$&quot;#,##0\)"/>
    <numFmt numFmtId="6" formatCode="&quot;$&quot;#,##0_);[Red]\(&quot;$&quot;#,##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&quot;$&quot;#,##0.00"/>
    <numFmt numFmtId="166" formatCode="m/yyyy"/>
    <numFmt numFmtId="167" formatCode="_(&quot;$&quot;* #,##0_);_(&quot;$&quot;* \(#,##0\);_(&quot;$&quot;* 0_);_(@_)"/>
  </numFmts>
  <fonts count="2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name val="Arial"/>
      <family val="2"/>
    </font>
    <font>
      <sz val="8"/>
      <name val="Arial"/>
      <family val="2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name val="Calibri"/>
      <family val="2"/>
      <scheme val="minor"/>
    </font>
    <font>
      <sz val="14"/>
      <name val="Calibri"/>
      <family val="2"/>
      <scheme val="minor"/>
    </font>
    <font>
      <b/>
      <sz val="14"/>
      <name val="Calibri"/>
      <family val="2"/>
      <scheme val="minor"/>
    </font>
    <font>
      <sz val="14"/>
      <color theme="1"/>
      <name val="Calibri"/>
      <family val="2"/>
      <scheme val="minor"/>
    </font>
    <font>
      <sz val="4"/>
      <name val="Calibri"/>
      <family val="2"/>
      <scheme val="minor"/>
    </font>
    <font>
      <sz val="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10"/>
      <name val="Calibri"/>
      <family val="2"/>
      <scheme val="minor"/>
    </font>
    <font>
      <b/>
      <i/>
      <u/>
      <sz val="12"/>
      <name val="Calibri"/>
      <family val="2"/>
      <scheme val="minor"/>
    </font>
    <font>
      <sz val="16"/>
      <color theme="1"/>
      <name val="Calibri"/>
      <family val="2"/>
      <scheme val="minor"/>
    </font>
    <font>
      <sz val="4"/>
      <color theme="0"/>
      <name val="Calibri"/>
      <family val="2"/>
      <scheme val="minor"/>
    </font>
    <font>
      <i/>
      <sz val="1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78BE21"/>
        <bgColor indexed="64"/>
      </patternFill>
    </fill>
    <fill>
      <patternFill patternType="solid">
        <fgColor rgb="FF9BCBEB"/>
        <bgColor indexed="64"/>
      </patternFill>
    </fill>
    <fill>
      <patternFill patternType="solid">
        <fgColor rgb="FFFFC845"/>
        <bgColor indexed="64"/>
      </patternFill>
    </fill>
  </fills>
  <borders count="9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 style="dashed">
        <color indexed="64"/>
      </right>
      <top/>
      <bottom/>
      <diagonal/>
    </border>
    <border>
      <left style="dashed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/>
      <bottom style="double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/>
      <diagonal/>
    </border>
    <border>
      <left style="dashed">
        <color indexed="64"/>
      </left>
      <right style="dashed">
        <color indexed="64"/>
      </right>
      <top style="double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 style="dashed">
        <color indexed="64"/>
      </left>
      <right/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/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dashed">
        <color indexed="64"/>
      </bottom>
      <diagonal/>
    </border>
    <border>
      <left style="dashed">
        <color indexed="64"/>
      </left>
      <right style="thin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thin">
        <color indexed="64"/>
      </left>
      <right style="mediumDashDot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DashDot">
        <color indexed="64"/>
      </right>
      <top style="thin">
        <color indexed="64"/>
      </top>
      <bottom/>
      <diagonal/>
    </border>
    <border>
      <left style="thin">
        <color indexed="64"/>
      </left>
      <right style="mediumDashDot">
        <color indexed="64"/>
      </right>
      <top/>
      <bottom/>
      <diagonal/>
    </border>
    <border>
      <left style="thin">
        <color indexed="64"/>
      </left>
      <right style="mediumDashDot">
        <color indexed="64"/>
      </right>
      <top/>
      <bottom style="double">
        <color indexed="64"/>
      </bottom>
      <diagonal/>
    </border>
    <border>
      <left style="medium">
        <color indexed="64"/>
      </left>
      <right style="dashed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/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thin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thin">
        <color indexed="64"/>
      </right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ouble">
        <color indexed="64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/>
      <bottom style="thin">
        <color indexed="64"/>
      </bottom>
      <diagonal/>
    </border>
    <border>
      <left style="dash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double">
        <color indexed="64"/>
      </top>
      <bottom/>
      <diagonal/>
    </border>
    <border>
      <left style="dashed">
        <color indexed="64"/>
      </left>
      <right style="dashed">
        <color indexed="64"/>
      </right>
      <top style="double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ouble">
        <color indexed="64"/>
      </bottom>
      <diagonal/>
    </border>
    <border>
      <left/>
      <right style="dashed">
        <color indexed="64"/>
      </right>
      <top style="dashed">
        <color indexed="64"/>
      </top>
      <bottom style="double">
        <color indexed="64"/>
      </bottom>
      <diagonal/>
    </border>
    <border>
      <left style="medium">
        <color indexed="64"/>
      </left>
      <right style="dashed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ouble">
        <color indexed="64"/>
      </bottom>
      <diagonal/>
    </border>
    <border>
      <left style="medium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/>
      <diagonal/>
    </border>
    <border>
      <left/>
      <right/>
      <top/>
      <bottom style="dashed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DashDot">
        <color indexed="64"/>
      </left>
      <right style="dashDot">
        <color indexed="64"/>
      </right>
      <top style="thin">
        <color indexed="64"/>
      </top>
      <bottom style="thin">
        <color indexed="64"/>
      </bottom>
      <diagonal/>
    </border>
    <border>
      <left style="mediumDashDot">
        <color indexed="64"/>
      </left>
      <right style="dashDot">
        <color indexed="64"/>
      </right>
      <top style="thin">
        <color indexed="64"/>
      </top>
      <bottom/>
      <diagonal/>
    </border>
    <border>
      <left style="mediumDashDot">
        <color indexed="64"/>
      </left>
      <right style="dashDot">
        <color indexed="64"/>
      </right>
      <top style="dashed">
        <color indexed="64"/>
      </top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/>
      <right style="thin">
        <color indexed="64"/>
      </right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thin">
        <color indexed="64"/>
      </right>
      <top/>
      <bottom/>
      <diagonal/>
    </border>
    <border>
      <left/>
      <right/>
      <top style="double">
        <color indexed="64"/>
      </top>
      <bottom style="mediumDashed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double">
        <color indexed="64"/>
      </top>
      <bottom style="mediumDashed">
        <color indexed="64"/>
      </bottom>
      <diagonal/>
    </border>
    <border>
      <left style="dashed">
        <color indexed="64"/>
      </left>
      <right/>
      <top style="double">
        <color indexed="64"/>
      </top>
      <bottom style="mediumDashed">
        <color indexed="64"/>
      </bottom>
      <diagonal/>
    </border>
    <border>
      <left style="dashed">
        <color indexed="64"/>
      </left>
      <right style="dashed">
        <color indexed="64"/>
      </right>
      <top style="double">
        <color indexed="64"/>
      </top>
      <bottom style="mediumDashed">
        <color indexed="64"/>
      </bottom>
      <diagonal/>
    </border>
    <border>
      <left style="dashed">
        <color indexed="64"/>
      </left>
      <right style="thin">
        <color indexed="64"/>
      </right>
      <top style="double">
        <color indexed="64"/>
      </top>
      <bottom style="mediumDashed">
        <color indexed="64"/>
      </bottom>
      <diagonal/>
    </border>
    <border>
      <left style="thin">
        <color indexed="64"/>
      </left>
      <right/>
      <top style="double">
        <color indexed="64"/>
      </top>
      <bottom style="mediumDashed">
        <color indexed="64"/>
      </bottom>
      <diagonal/>
    </border>
    <border>
      <left style="dashed">
        <color indexed="64"/>
      </left>
      <right style="dashed">
        <color indexed="64"/>
      </right>
      <top style="mediumDashed">
        <color indexed="64"/>
      </top>
      <bottom style="thin">
        <color indexed="64"/>
      </bottom>
      <diagonal/>
    </border>
    <border>
      <left style="dashed">
        <color indexed="64"/>
      </left>
      <right style="thin">
        <color indexed="64"/>
      </right>
      <top style="mediumDashed">
        <color indexed="64"/>
      </top>
      <bottom style="thin">
        <color indexed="64"/>
      </bottom>
      <diagonal/>
    </border>
    <border>
      <left style="dashed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 style="dashed">
        <color indexed="64"/>
      </top>
      <bottom/>
      <diagonal/>
    </border>
    <border>
      <left style="dashDot">
        <color indexed="64"/>
      </left>
      <right style="medium">
        <color indexed="64"/>
      </right>
      <top style="dashed">
        <color indexed="64"/>
      </top>
      <bottom style="double">
        <color indexed="64"/>
      </bottom>
      <diagonal/>
    </border>
    <border>
      <left/>
      <right style="dashDot">
        <color indexed="64"/>
      </right>
      <top/>
      <bottom/>
      <diagonal/>
    </border>
    <border>
      <left/>
      <right style="dashDot">
        <color indexed="64"/>
      </right>
      <top style="dashed">
        <color indexed="64"/>
      </top>
      <bottom style="dashed">
        <color indexed="64"/>
      </bottom>
      <diagonal/>
    </border>
    <border>
      <left/>
      <right style="dashDot">
        <color indexed="64"/>
      </right>
      <top/>
      <bottom style="dashed">
        <color indexed="64"/>
      </bottom>
      <diagonal/>
    </border>
    <border>
      <left/>
      <right style="dashDot">
        <color indexed="64"/>
      </right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thin">
        <color indexed="64"/>
      </right>
      <top style="thin">
        <color indexed="64"/>
      </top>
      <bottom/>
      <diagonal/>
    </border>
  </borders>
  <cellStyleXfs count="7">
    <xf numFmtId="0" fontId="0" fillId="0" borderId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1" fillId="0" borderId="0"/>
    <xf numFmtId="44" fontId="14" fillId="0" borderId="0" applyFont="0" applyFill="0" applyBorder="0" applyAlignment="0" applyProtection="0"/>
  </cellStyleXfs>
  <cellXfs count="397">
    <xf numFmtId="0" fontId="0" fillId="0" borderId="0" xfId="0"/>
    <xf numFmtId="5" fontId="13" fillId="0" borderId="0" xfId="0" applyNumberFormat="1" applyFont="1" applyBorder="1" applyAlignment="1">
      <alignment horizontal="right"/>
    </xf>
    <xf numFmtId="37" fontId="13" fillId="0" borderId="0" xfId="0" applyNumberFormat="1" applyFont="1" applyBorder="1" applyAlignment="1">
      <alignment horizontal="right"/>
    </xf>
    <xf numFmtId="37" fontId="13" fillId="0" borderId="0" xfId="1" applyNumberFormat="1" applyFont="1" applyBorder="1" applyAlignment="1">
      <alignment horizontal="right"/>
    </xf>
    <xf numFmtId="0" fontId="13" fillId="0" borderId="13" xfId="0" applyFont="1" applyBorder="1" applyAlignment="1">
      <alignment horizontal="left" indent="1"/>
    </xf>
    <xf numFmtId="0" fontId="13" fillId="0" borderId="16" xfId="0" applyFont="1" applyBorder="1" applyAlignment="1">
      <alignment horizontal="left" indent="1"/>
    </xf>
    <xf numFmtId="0" fontId="0" fillId="0" borderId="0" xfId="0" applyAlignment="1"/>
    <xf numFmtId="0" fontId="10" fillId="2" borderId="32" xfId="0" applyFont="1" applyFill="1" applyBorder="1" applyAlignment="1">
      <alignment horizontal="center" vertical="center"/>
    </xf>
    <xf numFmtId="0" fontId="10" fillId="2" borderId="17" xfId="0" applyFont="1" applyFill="1" applyBorder="1" applyAlignment="1">
      <alignment horizontal="center" vertical="center" wrapText="1"/>
    </xf>
    <xf numFmtId="0" fontId="10" fillId="2" borderId="17" xfId="0" applyFont="1" applyFill="1" applyBorder="1" applyAlignment="1">
      <alignment horizontal="center" vertical="center"/>
    </xf>
    <xf numFmtId="0" fontId="10" fillId="2" borderId="4" xfId="0" applyFont="1" applyFill="1" applyBorder="1" applyAlignment="1">
      <alignment horizontal="center" vertical="center"/>
    </xf>
    <xf numFmtId="0" fontId="10" fillId="2" borderId="7" xfId="0" applyFont="1" applyFill="1" applyBorder="1" applyAlignment="1">
      <alignment horizontal="center" vertical="center"/>
    </xf>
    <xf numFmtId="0" fontId="10" fillId="2" borderId="7" xfId="0" applyFont="1" applyFill="1" applyBorder="1" applyAlignment="1">
      <alignment horizontal="center" vertical="center" wrapText="1"/>
    </xf>
    <xf numFmtId="0" fontId="13" fillId="0" borderId="37" xfId="0" applyFont="1" applyBorder="1" applyAlignment="1">
      <alignment horizontal="left" indent="1"/>
    </xf>
    <xf numFmtId="5" fontId="13" fillId="0" borderId="10" xfId="0" applyNumberFormat="1" applyFont="1" applyBorder="1" applyAlignment="1">
      <alignment horizontal="right"/>
    </xf>
    <xf numFmtId="37" fontId="13" fillId="0" borderId="10" xfId="0" applyNumberFormat="1" applyFont="1" applyBorder="1" applyAlignment="1">
      <alignment horizontal="right"/>
    </xf>
    <xf numFmtId="37" fontId="13" fillId="0" borderId="18" xfId="1" applyNumberFormat="1" applyFont="1" applyBorder="1" applyAlignment="1">
      <alignment horizontal="right"/>
    </xf>
    <xf numFmtId="37" fontId="13" fillId="0" borderId="10" xfId="1" applyNumberFormat="1" applyFont="1" applyBorder="1" applyAlignment="1">
      <alignment horizontal="right"/>
    </xf>
    <xf numFmtId="37" fontId="13" fillId="0" borderId="18" xfId="0" applyNumberFormat="1" applyFont="1" applyBorder="1" applyAlignment="1">
      <alignment horizontal="right"/>
    </xf>
    <xf numFmtId="5" fontId="13" fillId="0" borderId="29" xfId="0" applyNumberFormat="1" applyFont="1" applyBorder="1" applyAlignment="1">
      <alignment horizontal="right"/>
    </xf>
    <xf numFmtId="37" fontId="13" fillId="0" borderId="21" xfId="0" applyNumberFormat="1" applyFont="1" applyBorder="1" applyAlignment="1">
      <alignment horizontal="right"/>
    </xf>
    <xf numFmtId="37" fontId="13" fillId="0" borderId="21" xfId="1" applyNumberFormat="1" applyFont="1" applyBorder="1" applyAlignment="1">
      <alignment horizontal="right"/>
    </xf>
    <xf numFmtId="37" fontId="13" fillId="0" borderId="25" xfId="0" applyNumberFormat="1" applyFont="1" applyBorder="1" applyAlignment="1">
      <alignment horizontal="right"/>
    </xf>
    <xf numFmtId="5" fontId="13" fillId="0" borderId="21" xfId="0" applyNumberFormat="1" applyFont="1" applyBorder="1" applyAlignment="1">
      <alignment horizontal="right"/>
    </xf>
    <xf numFmtId="37" fontId="13" fillId="0" borderId="23" xfId="0" applyNumberFormat="1" applyFont="1" applyBorder="1" applyAlignment="1">
      <alignment horizontal="right"/>
    </xf>
    <xf numFmtId="37" fontId="13" fillId="0" borderId="28" xfId="0" applyNumberFormat="1" applyFont="1" applyBorder="1" applyAlignment="1">
      <alignment horizontal="right"/>
    </xf>
    <xf numFmtId="37" fontId="13" fillId="0" borderId="46" xfId="0" applyNumberFormat="1" applyFont="1" applyBorder="1" applyAlignment="1">
      <alignment horizontal="right"/>
    </xf>
    <xf numFmtId="37" fontId="13" fillId="0" borderId="26" xfId="0" applyNumberFormat="1" applyFont="1" applyBorder="1" applyAlignment="1">
      <alignment horizontal="right"/>
    </xf>
    <xf numFmtId="37" fontId="13" fillId="0" borderId="47" xfId="0" applyNumberFormat="1" applyFont="1" applyBorder="1" applyAlignment="1">
      <alignment horizontal="right"/>
    </xf>
    <xf numFmtId="37" fontId="13" fillId="0" borderId="48" xfId="0" applyNumberFormat="1" applyFont="1" applyBorder="1" applyAlignment="1">
      <alignment horizontal="right"/>
    </xf>
    <xf numFmtId="37" fontId="13" fillId="0" borderId="31" xfId="0" applyNumberFormat="1" applyFont="1" applyBorder="1" applyAlignment="1">
      <alignment horizontal="right"/>
    </xf>
    <xf numFmtId="37" fontId="13" fillId="0" borderId="23" xfId="1" applyNumberFormat="1" applyFont="1" applyBorder="1" applyAlignment="1">
      <alignment horizontal="right"/>
    </xf>
    <xf numFmtId="37" fontId="13" fillId="0" borderId="9" xfId="0" applyNumberFormat="1" applyFont="1" applyBorder="1" applyAlignment="1">
      <alignment horizontal="right"/>
    </xf>
    <xf numFmtId="0" fontId="13" fillId="0" borderId="54" xfId="0" applyFont="1" applyBorder="1" applyAlignment="1">
      <alignment horizontal="left" indent="1"/>
    </xf>
    <xf numFmtId="0" fontId="13" fillId="0" borderId="45" xfId="0" applyFont="1" applyBorder="1" applyAlignment="1">
      <alignment horizontal="left" indent="1"/>
    </xf>
    <xf numFmtId="0" fontId="13" fillId="0" borderId="55" xfId="0" applyFont="1" applyBorder="1" applyAlignment="1">
      <alignment horizontal="left" indent="1"/>
    </xf>
    <xf numFmtId="0" fontId="13" fillId="0" borderId="56" xfId="0" applyFont="1" applyBorder="1" applyAlignment="1">
      <alignment horizontal="left" indent="1"/>
    </xf>
    <xf numFmtId="0" fontId="13" fillId="0" borderId="57" xfId="0" applyFont="1" applyBorder="1" applyAlignment="1">
      <alignment horizontal="left" indent="1"/>
    </xf>
    <xf numFmtId="5" fontId="13" fillId="0" borderId="28" xfId="0" applyNumberFormat="1" applyFont="1" applyBorder="1" applyAlignment="1">
      <alignment horizontal="right"/>
    </xf>
    <xf numFmtId="37" fontId="13" fillId="0" borderId="47" xfId="1" applyNumberFormat="1" applyFont="1" applyBorder="1" applyAlignment="1">
      <alignment horizontal="right"/>
    </xf>
    <xf numFmtId="37" fontId="13" fillId="0" borderId="58" xfId="1" applyNumberFormat="1" applyFont="1" applyBorder="1" applyAlignment="1">
      <alignment horizontal="right"/>
    </xf>
    <xf numFmtId="37" fontId="13" fillId="0" borderId="58" xfId="0" applyNumberFormat="1" applyFont="1" applyBorder="1" applyAlignment="1">
      <alignment horizontal="right"/>
    </xf>
    <xf numFmtId="37" fontId="13" fillId="0" borderId="59" xfId="0" applyNumberFormat="1" applyFont="1" applyBorder="1" applyAlignment="1">
      <alignment horizontal="right"/>
    </xf>
    <xf numFmtId="0" fontId="12" fillId="2" borderId="14" xfId="0" applyFont="1" applyFill="1" applyBorder="1" applyAlignment="1">
      <alignment horizontal="left"/>
    </xf>
    <xf numFmtId="0" fontId="12" fillId="2" borderId="60" xfId="0" applyFont="1" applyFill="1" applyBorder="1" applyAlignment="1">
      <alignment horizontal="center"/>
    </xf>
    <xf numFmtId="0" fontId="12" fillId="2" borderId="5" xfId="0" applyFont="1" applyFill="1" applyBorder="1" applyAlignment="1">
      <alignment horizontal="center"/>
    </xf>
    <xf numFmtId="0" fontId="12" fillId="2" borderId="41" xfId="0" applyFont="1" applyFill="1" applyBorder="1" applyAlignment="1">
      <alignment horizontal="center"/>
    </xf>
    <xf numFmtId="0" fontId="12" fillId="2" borderId="41" xfId="0" applyNumberFormat="1" applyFont="1" applyFill="1" applyBorder="1" applyAlignment="1">
      <alignment horizontal="center"/>
    </xf>
    <xf numFmtId="0" fontId="12" fillId="2" borderId="5" xfId="0" applyNumberFormat="1" applyFont="1" applyFill="1" applyBorder="1" applyAlignment="1">
      <alignment horizontal="center"/>
    </xf>
    <xf numFmtId="0" fontId="12" fillId="2" borderId="3" xfId="0" applyNumberFormat="1" applyFont="1" applyFill="1" applyBorder="1" applyAlignment="1">
      <alignment horizontal="center"/>
    </xf>
    <xf numFmtId="0" fontId="12" fillId="2" borderId="50" xfId="0" applyFont="1" applyFill="1" applyBorder="1" applyAlignment="1">
      <alignment horizontal="center"/>
    </xf>
    <xf numFmtId="0" fontId="12" fillId="2" borderId="1" xfId="0" applyFont="1" applyFill="1" applyBorder="1" applyAlignment="1">
      <alignment horizontal="left"/>
    </xf>
    <xf numFmtId="0" fontId="12" fillId="2" borderId="40" xfId="0" applyFont="1" applyFill="1" applyBorder="1" applyAlignment="1">
      <alignment horizontal="center"/>
    </xf>
    <xf numFmtId="0" fontId="12" fillId="2" borderId="7" xfId="0" applyFont="1" applyFill="1" applyBorder="1" applyAlignment="1">
      <alignment horizontal="center"/>
    </xf>
    <xf numFmtId="0" fontId="12" fillId="2" borderId="7" xfId="0" applyNumberFormat="1" applyFont="1" applyFill="1" applyBorder="1" applyAlignment="1">
      <alignment horizontal="center"/>
    </xf>
    <xf numFmtId="0" fontId="13" fillId="3" borderId="15" xfId="0" applyFont="1" applyFill="1" applyBorder="1" applyAlignment="1">
      <alignment horizontal="left"/>
    </xf>
    <xf numFmtId="37" fontId="13" fillId="3" borderId="36" xfId="0" applyNumberFormat="1" applyFont="1" applyFill="1" applyBorder="1" applyAlignment="1">
      <alignment horizontal="right"/>
    </xf>
    <xf numFmtId="37" fontId="13" fillId="3" borderId="20" xfId="0" applyNumberFormat="1" applyFont="1" applyFill="1" applyBorder="1" applyAlignment="1">
      <alignment horizontal="right"/>
    </xf>
    <xf numFmtId="5" fontId="13" fillId="3" borderId="20" xfId="0" applyNumberFormat="1" applyFont="1" applyFill="1" applyBorder="1" applyAlignment="1">
      <alignment horizontal="right"/>
    </xf>
    <xf numFmtId="5" fontId="13" fillId="3" borderId="41" xfId="0" applyNumberFormat="1" applyFont="1" applyFill="1" applyBorder="1" applyAlignment="1">
      <alignment horizontal="right"/>
    </xf>
    <xf numFmtId="5" fontId="13" fillId="3" borderId="5" xfId="0" applyNumberFormat="1" applyFont="1" applyFill="1" applyBorder="1" applyAlignment="1">
      <alignment horizontal="right"/>
    </xf>
    <xf numFmtId="0" fontId="0" fillId="0" borderId="0" xfId="0" applyAlignment="1">
      <alignment vertical="center"/>
    </xf>
    <xf numFmtId="0" fontId="9" fillId="0" borderId="0" xfId="0" applyFont="1" applyAlignment="1">
      <alignment vertical="center"/>
    </xf>
    <xf numFmtId="0" fontId="9" fillId="0" borderId="0" xfId="0" applyFont="1" applyBorder="1" applyAlignment="1">
      <alignment vertical="center"/>
    </xf>
    <xf numFmtId="0" fontId="12" fillId="2" borderId="7" xfId="0" applyFont="1" applyFill="1" applyBorder="1" applyAlignment="1">
      <alignment horizontal="center" vertical="center"/>
    </xf>
    <xf numFmtId="0" fontId="12" fillId="2" borderId="7" xfId="0" applyNumberFormat="1" applyFont="1" applyFill="1" applyBorder="1" applyAlignment="1">
      <alignment horizontal="center" vertical="center"/>
    </xf>
    <xf numFmtId="37" fontId="13" fillId="0" borderId="21" xfId="0" applyNumberFormat="1" applyFont="1" applyBorder="1" applyAlignment="1">
      <alignment horizontal="right" vertical="center"/>
    </xf>
    <xf numFmtId="37" fontId="13" fillId="0" borderId="21" xfId="1" applyNumberFormat="1" applyFont="1" applyBorder="1" applyAlignment="1">
      <alignment horizontal="right" vertical="center"/>
    </xf>
    <xf numFmtId="5" fontId="13" fillId="0" borderId="21" xfId="0" applyNumberFormat="1" applyFont="1" applyBorder="1" applyAlignment="1">
      <alignment horizontal="right" vertical="center"/>
    </xf>
    <xf numFmtId="0" fontId="20" fillId="0" borderId="0" xfId="0" applyFont="1" applyAlignment="1">
      <alignment vertical="center"/>
    </xf>
    <xf numFmtId="37" fontId="13" fillId="0" borderId="25" xfId="0" applyNumberFormat="1" applyFont="1" applyBorder="1" applyAlignment="1">
      <alignment horizontal="right" vertical="center"/>
    </xf>
    <xf numFmtId="37" fontId="13" fillId="0" borderId="47" xfId="0" applyNumberFormat="1" applyFont="1" applyBorder="1" applyAlignment="1">
      <alignment horizontal="right" vertical="center"/>
    </xf>
    <xf numFmtId="37" fontId="13" fillId="0" borderId="47" xfId="1" applyNumberFormat="1" applyFont="1" applyBorder="1" applyAlignment="1">
      <alignment horizontal="right" vertical="center"/>
    </xf>
    <xf numFmtId="5" fontId="13" fillId="3" borderId="41" xfId="0" applyNumberFormat="1" applyFont="1" applyFill="1" applyBorder="1" applyAlignment="1">
      <alignment horizontal="right" vertical="center"/>
    </xf>
    <xf numFmtId="0" fontId="0" fillId="0" borderId="0" xfId="0" applyFont="1" applyBorder="1" applyAlignment="1">
      <alignment vertical="center"/>
    </xf>
    <xf numFmtId="0" fontId="13" fillId="0" borderId="37" xfId="0" applyFont="1" applyBorder="1" applyAlignment="1">
      <alignment horizontal="left" vertical="center" indent="1"/>
    </xf>
    <xf numFmtId="0" fontId="13" fillId="0" borderId="56" xfId="0" applyFont="1" applyBorder="1" applyAlignment="1">
      <alignment horizontal="left" vertical="center" indent="1"/>
    </xf>
    <xf numFmtId="0" fontId="12" fillId="2" borderId="39" xfId="0" applyFont="1" applyFill="1" applyBorder="1" applyAlignment="1">
      <alignment horizontal="left" vertical="center"/>
    </xf>
    <xf numFmtId="0" fontId="9" fillId="0" borderId="0" xfId="0" applyFont="1" applyAlignment="1">
      <alignment horizontal="center"/>
    </xf>
    <xf numFmtId="0" fontId="18" fillId="0" borderId="0" xfId="0" applyFont="1" applyAlignment="1">
      <alignment horizontal="left"/>
    </xf>
    <xf numFmtId="0" fontId="18" fillId="0" borderId="0" xfId="0" applyFont="1" applyAlignment="1">
      <alignment vertical="center"/>
    </xf>
    <xf numFmtId="37" fontId="13" fillId="0" borderId="21" xfId="0" applyNumberFormat="1" applyFont="1" applyBorder="1" applyAlignment="1">
      <alignment vertical="center"/>
    </xf>
    <xf numFmtId="37" fontId="13" fillId="0" borderId="21" xfId="1" applyNumberFormat="1" applyFont="1" applyBorder="1" applyAlignment="1">
      <alignment vertical="center"/>
    </xf>
    <xf numFmtId="5" fontId="13" fillId="0" borderId="28" xfId="0" applyNumberFormat="1" applyFont="1" applyBorder="1" applyAlignment="1">
      <alignment horizontal="right" vertical="center"/>
    </xf>
    <xf numFmtId="37" fontId="13" fillId="0" borderId="47" xfId="1" applyNumberFormat="1" applyFont="1" applyBorder="1" applyAlignment="1">
      <alignment vertical="center"/>
    </xf>
    <xf numFmtId="37" fontId="13" fillId="0" borderId="47" xfId="0" applyNumberFormat="1" applyFont="1" applyBorder="1" applyAlignment="1">
      <alignment vertical="center"/>
    </xf>
    <xf numFmtId="5" fontId="13" fillId="0" borderId="31" xfId="0" applyNumberFormat="1" applyFont="1" applyBorder="1" applyAlignment="1">
      <alignment horizontal="right" vertical="center"/>
    </xf>
    <xf numFmtId="37" fontId="13" fillId="0" borderId="59" xfId="1" applyNumberFormat="1" applyFont="1" applyBorder="1" applyAlignment="1">
      <alignment horizontal="right" vertical="center"/>
    </xf>
    <xf numFmtId="0" fontId="13" fillId="0" borderId="63" xfId="0" applyFont="1" applyBorder="1" applyAlignment="1">
      <alignment horizontal="left" vertical="center" indent="1"/>
    </xf>
    <xf numFmtId="0" fontId="13" fillId="3" borderId="14" xfId="0" applyFont="1" applyFill="1" applyBorder="1" applyAlignment="1">
      <alignment horizontal="left" vertical="center"/>
    </xf>
    <xf numFmtId="5" fontId="13" fillId="3" borderId="62" xfId="0" applyNumberFormat="1" applyFont="1" applyFill="1" applyBorder="1" applyAlignment="1">
      <alignment horizontal="right" vertical="center"/>
    </xf>
    <xf numFmtId="0" fontId="12" fillId="2" borderId="17" xfId="0" applyFont="1" applyFill="1" applyBorder="1" applyAlignment="1">
      <alignment horizontal="center" vertical="center"/>
    </xf>
    <xf numFmtId="0" fontId="26" fillId="0" borderId="0" xfId="0" applyFont="1" applyAlignment="1">
      <alignment vertical="center"/>
    </xf>
    <xf numFmtId="5" fontId="13" fillId="0" borderId="47" xfId="0" applyNumberFormat="1" applyFont="1" applyBorder="1" applyAlignment="1">
      <alignment horizontal="right" vertical="center"/>
    </xf>
    <xf numFmtId="0" fontId="13" fillId="3" borderId="14" xfId="0" applyFont="1" applyFill="1" applyBorder="1" applyAlignment="1">
      <alignment horizontal="left"/>
    </xf>
    <xf numFmtId="0" fontId="12" fillId="2" borderId="39" xfId="0" applyFont="1" applyFill="1" applyBorder="1" applyAlignment="1">
      <alignment horizontal="left"/>
    </xf>
    <xf numFmtId="0" fontId="12" fillId="2" borderId="17" xfId="0" applyFont="1" applyFill="1" applyBorder="1" applyAlignment="1">
      <alignment horizontal="center"/>
    </xf>
    <xf numFmtId="37" fontId="13" fillId="3" borderId="62" xfId="0" applyNumberFormat="1" applyFont="1" applyFill="1" applyBorder="1" applyAlignment="1">
      <alignment horizontal="right"/>
    </xf>
    <xf numFmtId="37" fontId="13" fillId="3" borderId="41" xfId="0" applyNumberFormat="1" applyFont="1" applyFill="1" applyBorder="1" applyAlignment="1">
      <alignment horizontal="right"/>
    </xf>
    <xf numFmtId="0" fontId="12" fillId="2" borderId="39" xfId="0" applyFont="1" applyFill="1" applyBorder="1" applyAlignment="1">
      <alignment horizontal="center"/>
    </xf>
    <xf numFmtId="0" fontId="13" fillId="0" borderId="63" xfId="0" applyFont="1" applyBorder="1" applyAlignment="1">
      <alignment horizontal="left" indent="1"/>
    </xf>
    <xf numFmtId="5" fontId="13" fillId="0" borderId="47" xfId="0" applyNumberFormat="1" applyFont="1" applyBorder="1" applyAlignment="1">
      <alignment horizontal="right"/>
    </xf>
    <xf numFmtId="5" fontId="13" fillId="3" borderId="36" xfId="0" applyNumberFormat="1" applyFont="1" applyFill="1" applyBorder="1" applyAlignment="1">
      <alignment horizontal="right"/>
    </xf>
    <xf numFmtId="0" fontId="0" fillId="0" borderId="0" xfId="0" applyFont="1" applyAlignment="1">
      <alignment horizontal="left"/>
    </xf>
    <xf numFmtId="37" fontId="13" fillId="0" borderId="59" xfId="0" applyNumberFormat="1" applyFont="1" applyBorder="1" applyAlignment="1">
      <alignment horizontal="right" vertical="center"/>
    </xf>
    <xf numFmtId="0" fontId="7" fillId="0" borderId="0" xfId="0" applyFont="1" applyAlignment="1">
      <alignment vertical="center"/>
    </xf>
    <xf numFmtId="0" fontId="18" fillId="0" borderId="0" xfId="0" applyFont="1" applyBorder="1" applyAlignment="1">
      <alignment vertical="center"/>
    </xf>
    <xf numFmtId="5" fontId="13" fillId="0" borderId="28" xfId="1" applyNumberFormat="1" applyFont="1" applyBorder="1" applyAlignment="1">
      <alignment horizontal="right" vertical="center"/>
    </xf>
    <xf numFmtId="5" fontId="13" fillId="0" borderId="31" xfId="1" applyNumberFormat="1" applyFont="1" applyBorder="1" applyAlignment="1">
      <alignment horizontal="right" vertical="center"/>
    </xf>
    <xf numFmtId="0" fontId="17" fillId="0" borderId="0" xfId="0" applyFont="1" applyBorder="1" applyAlignment="1">
      <alignment vertical="center"/>
    </xf>
    <xf numFmtId="0" fontId="0" fillId="0" borderId="0" xfId="0" applyAlignment="1">
      <alignment horizontal="left" vertical="center"/>
    </xf>
    <xf numFmtId="0" fontId="7" fillId="0" borderId="0" xfId="0" applyFont="1" applyBorder="1" applyAlignment="1">
      <alignment vertical="center"/>
    </xf>
    <xf numFmtId="0" fontId="26" fillId="0" borderId="0" xfId="0" applyFont="1" applyBorder="1" applyAlignment="1">
      <alignment vertical="center"/>
    </xf>
    <xf numFmtId="0" fontId="20" fillId="0" borderId="0" xfId="0" applyFont="1" applyBorder="1" applyAlignment="1">
      <alignment vertical="center"/>
    </xf>
    <xf numFmtId="0" fontId="0" fillId="0" borderId="0" xfId="0" applyFont="1" applyBorder="1" applyAlignment="1">
      <alignment horizontal="left" vertical="center"/>
    </xf>
    <xf numFmtId="0" fontId="9" fillId="0" borderId="0" xfId="0" applyFont="1" applyAlignment="1"/>
    <xf numFmtId="0" fontId="20" fillId="0" borderId="0" xfId="0" applyFont="1" applyAlignment="1"/>
    <xf numFmtId="0" fontId="7" fillId="0" borderId="0" xfId="0" applyFont="1" applyAlignment="1"/>
    <xf numFmtId="0" fontId="7" fillId="0" borderId="0" xfId="0" applyFont="1" applyBorder="1" applyAlignment="1"/>
    <xf numFmtId="0" fontId="13" fillId="0" borderId="61" xfId="0" applyFont="1" applyBorder="1" applyAlignment="1">
      <alignment horizontal="left" indent="1"/>
    </xf>
    <xf numFmtId="0" fontId="18" fillId="0" borderId="0" xfId="0" applyFont="1" applyAlignment="1"/>
    <xf numFmtId="5" fontId="13" fillId="0" borderId="31" xfId="0" applyNumberFormat="1" applyFont="1" applyBorder="1" applyAlignment="1">
      <alignment horizontal="right"/>
    </xf>
    <xf numFmtId="37" fontId="13" fillId="0" borderId="21" xfId="0" applyNumberFormat="1" applyFont="1" applyBorder="1" applyAlignment="1"/>
    <xf numFmtId="37" fontId="13" fillId="0" borderId="21" xfId="1" applyNumberFormat="1" applyFont="1" applyBorder="1" applyAlignment="1"/>
    <xf numFmtId="5" fontId="13" fillId="0" borderId="25" xfId="0" applyNumberFormat="1" applyFont="1" applyBorder="1" applyAlignment="1">
      <alignment horizontal="right"/>
    </xf>
    <xf numFmtId="37" fontId="13" fillId="0" borderId="59" xfId="1" applyNumberFormat="1" applyFont="1" applyBorder="1" applyAlignment="1">
      <alignment horizontal="right"/>
    </xf>
    <xf numFmtId="37" fontId="13" fillId="0" borderId="47" xfId="1" applyNumberFormat="1" applyFont="1" applyBorder="1" applyAlignment="1"/>
    <xf numFmtId="37" fontId="13" fillId="0" borderId="47" xfId="0" applyNumberFormat="1" applyFont="1" applyBorder="1" applyAlignment="1"/>
    <xf numFmtId="5" fontId="13" fillId="3" borderId="62" xfId="0" applyNumberFormat="1" applyFont="1" applyFill="1" applyBorder="1" applyAlignment="1">
      <alignment horizontal="right"/>
    </xf>
    <xf numFmtId="0" fontId="26" fillId="0" borderId="0" xfId="0" applyFont="1" applyAlignment="1"/>
    <xf numFmtId="5" fontId="13" fillId="0" borderId="59" xfId="0" applyNumberFormat="1" applyFont="1" applyBorder="1" applyAlignment="1">
      <alignment horizontal="right"/>
    </xf>
    <xf numFmtId="38" fontId="9" fillId="0" borderId="10" xfId="0" applyNumberFormat="1" applyFont="1" applyBorder="1" applyAlignment="1">
      <alignment horizontal="right" vertical="center"/>
    </xf>
    <xf numFmtId="38" fontId="9" fillId="0" borderId="29" xfId="0" applyNumberFormat="1" applyFont="1" applyBorder="1" applyAlignment="1">
      <alignment horizontal="right" vertical="center"/>
    </xf>
    <xf numFmtId="38" fontId="9" fillId="0" borderId="43" xfId="0" applyNumberFormat="1" applyFont="1" applyBorder="1" applyAlignment="1">
      <alignment horizontal="right" vertical="center"/>
    </xf>
    <xf numFmtId="38" fontId="9" fillId="0" borderId="21" xfId="0" applyNumberFormat="1" applyFont="1" applyBorder="1" applyAlignment="1">
      <alignment horizontal="right" vertical="center"/>
    </xf>
    <xf numFmtId="38" fontId="9" fillId="0" borderId="64" xfId="0" applyNumberFormat="1" applyFont="1" applyBorder="1" applyAlignment="1">
      <alignment horizontal="right" vertical="center"/>
    </xf>
    <xf numFmtId="38" fontId="9" fillId="0" borderId="26" xfId="0" applyNumberFormat="1" applyFont="1" applyBorder="1" applyAlignment="1">
      <alignment horizontal="right" vertical="center"/>
    </xf>
    <xf numFmtId="38" fontId="9" fillId="0" borderId="22" xfId="0" applyNumberFormat="1" applyFont="1" applyBorder="1" applyAlignment="1">
      <alignment horizontal="right" vertical="center"/>
    </xf>
    <xf numFmtId="38" fontId="9" fillId="3" borderId="52" xfId="0" applyNumberFormat="1" applyFont="1" applyFill="1" applyBorder="1" applyAlignment="1">
      <alignment horizontal="right" vertical="center"/>
    </xf>
    <xf numFmtId="38" fontId="9" fillId="3" borderId="53" xfId="0" applyNumberFormat="1" applyFont="1" applyFill="1" applyBorder="1" applyAlignment="1">
      <alignment horizontal="right" vertical="center"/>
    </xf>
    <xf numFmtId="38" fontId="9" fillId="0" borderId="65" xfId="0" applyNumberFormat="1" applyFont="1" applyBorder="1" applyAlignment="1">
      <alignment horizontal="right" vertical="center"/>
    </xf>
    <xf numFmtId="38" fontId="9" fillId="0" borderId="47" xfId="0" applyNumberFormat="1" applyFont="1" applyBorder="1" applyAlignment="1">
      <alignment horizontal="right" vertical="center"/>
    </xf>
    <xf numFmtId="38" fontId="9" fillId="3" borderId="36" xfId="0" applyNumberFormat="1" applyFont="1" applyFill="1" applyBorder="1" applyAlignment="1">
      <alignment horizontal="right" vertical="center"/>
    </xf>
    <xf numFmtId="38" fontId="9" fillId="0" borderId="46" xfId="0" applyNumberFormat="1" applyFont="1" applyBorder="1" applyAlignment="1">
      <alignment horizontal="right" vertical="center"/>
    </xf>
    <xf numFmtId="38" fontId="9" fillId="3" borderId="20" xfId="0" applyNumberFormat="1" applyFont="1" applyFill="1" applyBorder="1" applyAlignment="1">
      <alignment horizontal="right" vertical="center"/>
    </xf>
    <xf numFmtId="0" fontId="0" fillId="0" borderId="0" xfId="0" applyFont="1" applyAlignment="1"/>
    <xf numFmtId="0" fontId="12" fillId="2" borderId="4" xfId="0" applyFont="1" applyFill="1" applyBorder="1" applyAlignment="1">
      <alignment horizontal="center"/>
    </xf>
    <xf numFmtId="0" fontId="12" fillId="2" borderId="4" xfId="0" applyNumberFormat="1" applyFont="1" applyFill="1" applyBorder="1" applyAlignment="1">
      <alignment horizontal="center"/>
    </xf>
    <xf numFmtId="5" fontId="13" fillId="0" borderId="31" xfId="1" applyNumberFormat="1" applyFont="1" applyBorder="1" applyAlignment="1">
      <alignment horizontal="right"/>
    </xf>
    <xf numFmtId="5" fontId="13" fillId="0" borderId="28" xfId="1" applyNumberFormat="1" applyFont="1" applyBorder="1" applyAlignment="1">
      <alignment horizontal="right"/>
    </xf>
    <xf numFmtId="5" fontId="13" fillId="0" borderId="25" xfId="1" applyNumberFormat="1" applyFont="1" applyBorder="1" applyAlignment="1">
      <alignment horizontal="right"/>
    </xf>
    <xf numFmtId="5" fontId="13" fillId="0" borderId="21" xfId="1" applyNumberFormat="1" applyFont="1" applyBorder="1" applyAlignment="1">
      <alignment horizontal="right"/>
    </xf>
    <xf numFmtId="5" fontId="13" fillId="0" borderId="59" xfId="1" applyNumberFormat="1" applyFont="1" applyBorder="1" applyAlignment="1">
      <alignment horizontal="right"/>
    </xf>
    <xf numFmtId="5" fontId="13" fillId="0" borderId="47" xfId="1" applyNumberFormat="1" applyFont="1" applyBorder="1" applyAlignment="1">
      <alignment horizontal="right"/>
    </xf>
    <xf numFmtId="5" fontId="13" fillId="3" borderId="62" xfId="1" applyNumberFormat="1" applyFont="1" applyFill="1" applyBorder="1" applyAlignment="1">
      <alignment horizontal="right"/>
    </xf>
    <xf numFmtId="5" fontId="13" fillId="3" borderId="41" xfId="1" applyNumberFormat="1" applyFont="1" applyFill="1" applyBorder="1" applyAlignment="1">
      <alignment horizontal="right"/>
    </xf>
    <xf numFmtId="0" fontId="12" fillId="2" borderId="38" xfId="0" applyFont="1" applyFill="1" applyBorder="1" applyAlignment="1">
      <alignment horizontal="center"/>
    </xf>
    <xf numFmtId="5" fontId="13" fillId="0" borderId="42" xfId="1" applyNumberFormat="1" applyFont="1" applyBorder="1" applyAlignment="1">
      <alignment horizontal="right"/>
    </xf>
    <xf numFmtId="5" fontId="13" fillId="0" borderId="27" xfId="1" applyNumberFormat="1" applyFont="1" applyBorder="1" applyAlignment="1">
      <alignment horizontal="right"/>
    </xf>
    <xf numFmtId="5" fontId="13" fillId="0" borderId="42" xfId="0" applyNumberFormat="1" applyFont="1" applyBorder="1" applyAlignment="1">
      <alignment horizontal="right"/>
    </xf>
    <xf numFmtId="0" fontId="13" fillId="0" borderId="66" xfId="0" applyFont="1" applyBorder="1" applyAlignment="1">
      <alignment horizontal="left" indent="1"/>
    </xf>
    <xf numFmtId="0" fontId="26" fillId="0" borderId="0" xfId="0" applyFont="1" applyBorder="1" applyAlignment="1"/>
    <xf numFmtId="0" fontId="18" fillId="0" borderId="0" xfId="0" applyFont="1" applyBorder="1" applyAlignment="1"/>
    <xf numFmtId="0" fontId="9" fillId="0" borderId="0" xfId="0" applyFont="1" applyBorder="1" applyAlignment="1"/>
    <xf numFmtId="0" fontId="20" fillId="0" borderId="0" xfId="0" applyFont="1" applyBorder="1" applyAlignment="1"/>
    <xf numFmtId="0" fontId="0" fillId="0" borderId="0" xfId="0" applyFont="1" applyBorder="1" applyAlignment="1">
      <alignment horizontal="left"/>
    </xf>
    <xf numFmtId="0" fontId="0" fillId="0" borderId="0" xfId="0" applyFont="1" applyBorder="1" applyAlignment="1"/>
    <xf numFmtId="0" fontId="12" fillId="2" borderId="49" xfId="0" applyFont="1" applyFill="1" applyBorder="1" applyAlignment="1">
      <alignment horizontal="center"/>
    </xf>
    <xf numFmtId="0" fontId="12" fillId="2" borderId="49" xfId="0" applyNumberFormat="1" applyFont="1" applyFill="1" applyBorder="1" applyAlignment="1">
      <alignment horizontal="center"/>
    </xf>
    <xf numFmtId="0" fontId="12" fillId="2" borderId="19" xfId="0" applyNumberFormat="1" applyFont="1" applyFill="1" applyBorder="1" applyAlignment="1">
      <alignment horizontal="center"/>
    </xf>
    <xf numFmtId="37" fontId="13" fillId="0" borderId="25" xfId="1" applyNumberFormat="1" applyFont="1" applyBorder="1" applyAlignment="1">
      <alignment horizontal="right" vertical="center"/>
    </xf>
    <xf numFmtId="0" fontId="13" fillId="3" borderId="14" xfId="0" applyFont="1" applyFill="1" applyBorder="1" applyAlignment="1">
      <alignment vertical="center"/>
    </xf>
    <xf numFmtId="0" fontId="12" fillId="2" borderId="39" xfId="0" applyFont="1" applyFill="1" applyBorder="1" applyAlignment="1">
      <alignment vertical="center"/>
    </xf>
    <xf numFmtId="0" fontId="0" fillId="0" borderId="0" xfId="0" applyBorder="1" applyAlignment="1">
      <alignment vertical="center"/>
    </xf>
    <xf numFmtId="5" fontId="13" fillId="0" borderId="21" xfId="1" applyNumberFormat="1" applyFont="1" applyBorder="1" applyAlignment="1">
      <alignment horizontal="right" vertical="center"/>
    </xf>
    <xf numFmtId="0" fontId="13" fillId="0" borderId="56" xfId="0" applyFont="1" applyBorder="1" applyAlignment="1">
      <alignment horizontal="left" vertical="center"/>
    </xf>
    <xf numFmtId="0" fontId="13" fillId="0" borderId="37" xfId="0" applyFont="1" applyBorder="1" applyAlignment="1">
      <alignment horizontal="left" vertical="center"/>
    </xf>
    <xf numFmtId="0" fontId="13" fillId="0" borderId="63" xfId="0" applyFont="1" applyBorder="1" applyAlignment="1">
      <alignment horizontal="left" vertical="center"/>
    </xf>
    <xf numFmtId="37" fontId="13" fillId="0" borderId="25" xfId="2" applyNumberFormat="1" applyFont="1" applyBorder="1" applyAlignment="1">
      <alignment horizontal="right" vertical="center"/>
    </xf>
    <xf numFmtId="37" fontId="13" fillId="0" borderId="59" xfId="2" applyNumberFormat="1" applyFont="1" applyBorder="1" applyAlignment="1">
      <alignment horizontal="right" vertical="center"/>
    </xf>
    <xf numFmtId="0" fontId="0" fillId="0" borderId="0" xfId="0" applyBorder="1" applyAlignment="1">
      <alignment horizontal="left" vertical="center"/>
    </xf>
    <xf numFmtId="0" fontId="3" fillId="0" borderId="0" xfId="0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164" fontId="3" fillId="0" borderId="0" xfId="0" applyNumberFormat="1" applyFont="1" applyBorder="1" applyAlignment="1">
      <alignment horizontal="left" vertical="center"/>
    </xf>
    <xf numFmtId="164" fontId="0" fillId="0" borderId="0" xfId="0" applyNumberFormat="1" applyBorder="1" applyAlignment="1">
      <alignment vertical="center"/>
    </xf>
    <xf numFmtId="0" fontId="2" fillId="0" borderId="0" xfId="0" applyFont="1" applyBorder="1" applyAlignment="1">
      <alignment vertical="center"/>
    </xf>
    <xf numFmtId="0" fontId="23" fillId="0" borderId="0" xfId="0" applyFont="1" applyAlignment="1">
      <alignment vertical="center"/>
    </xf>
    <xf numFmtId="0" fontId="3" fillId="0" borderId="0" xfId="0" applyFont="1" applyBorder="1" applyAlignment="1">
      <alignment vertical="center"/>
    </xf>
    <xf numFmtId="164" fontId="13" fillId="0" borderId="21" xfId="0" applyNumberFormat="1" applyFont="1" applyBorder="1" applyAlignment="1">
      <alignment horizontal="right" vertical="center"/>
    </xf>
    <xf numFmtId="164" fontId="13" fillId="0" borderId="21" xfId="1" applyNumberFormat="1" applyFont="1" applyBorder="1" applyAlignment="1">
      <alignment horizontal="right" vertical="center"/>
    </xf>
    <xf numFmtId="164" fontId="13" fillId="0" borderId="47" xfId="1" applyNumberFormat="1" applyFont="1" applyBorder="1" applyAlignment="1">
      <alignment horizontal="right" vertical="center"/>
    </xf>
    <xf numFmtId="164" fontId="13" fillId="0" borderId="47" xfId="0" applyNumberFormat="1" applyFont="1" applyBorder="1" applyAlignment="1">
      <alignment horizontal="right" vertical="center"/>
    </xf>
    <xf numFmtId="5" fontId="13" fillId="0" borderId="47" xfId="1" applyNumberFormat="1" applyFont="1" applyBorder="1" applyAlignment="1">
      <alignment horizontal="right" vertical="center"/>
    </xf>
    <xf numFmtId="5" fontId="13" fillId="0" borderId="25" xfId="1" applyNumberFormat="1" applyFont="1" applyBorder="1" applyAlignment="1">
      <alignment horizontal="right" vertical="center"/>
    </xf>
    <xf numFmtId="5" fontId="13" fillId="0" borderId="59" xfId="1" applyNumberFormat="1" applyFont="1" applyBorder="1" applyAlignment="1">
      <alignment horizontal="right" vertical="center"/>
    </xf>
    <xf numFmtId="164" fontId="13" fillId="0" borderId="25" xfId="1" applyNumberFormat="1" applyFont="1" applyBorder="1" applyAlignment="1">
      <alignment horizontal="right" vertical="center"/>
    </xf>
    <xf numFmtId="164" fontId="13" fillId="0" borderId="59" xfId="1" applyNumberFormat="1" applyFont="1" applyBorder="1" applyAlignment="1">
      <alignment horizontal="right" vertical="center"/>
    </xf>
    <xf numFmtId="5" fontId="13" fillId="3" borderId="62" xfId="1" applyNumberFormat="1" applyFont="1" applyFill="1" applyBorder="1" applyAlignment="1">
      <alignment horizontal="right" vertical="center"/>
    </xf>
    <xf numFmtId="5" fontId="13" fillId="3" borderId="41" xfId="1" applyNumberFormat="1" applyFont="1" applyFill="1" applyBorder="1" applyAlignment="1">
      <alignment horizontal="right" vertical="center"/>
    </xf>
    <xf numFmtId="165" fontId="13" fillId="3" borderId="14" xfId="0" applyNumberFormat="1" applyFont="1" applyFill="1" applyBorder="1" applyAlignment="1">
      <alignment horizontal="left" vertical="center"/>
    </xf>
    <xf numFmtId="37" fontId="13" fillId="0" borderId="21" xfId="5" applyNumberFormat="1" applyFont="1" applyBorder="1" applyAlignment="1">
      <alignment horizontal="right" vertical="center"/>
    </xf>
    <xf numFmtId="37" fontId="13" fillId="0" borderId="21" xfId="1" quotePrefix="1" applyNumberFormat="1" applyFont="1" applyBorder="1" applyAlignment="1">
      <alignment horizontal="right" vertical="center"/>
    </xf>
    <xf numFmtId="5" fontId="13" fillId="0" borderId="28" xfId="2" applyNumberFormat="1" applyFont="1" applyBorder="1" applyAlignment="1">
      <alignment horizontal="right" vertical="center"/>
    </xf>
    <xf numFmtId="37" fontId="13" fillId="0" borderId="47" xfId="2" applyNumberFormat="1" applyFont="1" applyBorder="1" applyAlignment="1">
      <alignment horizontal="right" vertical="center"/>
    </xf>
    <xf numFmtId="0" fontId="6" fillId="0" borderId="0" xfId="0" applyFont="1" applyAlignment="1">
      <alignment vertical="center"/>
    </xf>
    <xf numFmtId="0" fontId="22" fillId="0" borderId="33" xfId="4" applyFont="1" applyBorder="1" applyAlignment="1">
      <alignment vertical="center"/>
    </xf>
    <xf numFmtId="6" fontId="9" fillId="0" borderId="9" xfId="0" applyNumberFormat="1" applyFont="1" applyBorder="1" applyAlignment="1">
      <alignment horizontal="right" vertical="center"/>
    </xf>
    <xf numFmtId="6" fontId="9" fillId="0" borderId="29" xfId="0" applyNumberFormat="1" applyFont="1" applyBorder="1" applyAlignment="1">
      <alignment horizontal="right" vertical="center"/>
    </xf>
    <xf numFmtId="0" fontId="22" fillId="0" borderId="34" xfId="4" applyFont="1" applyBorder="1" applyAlignment="1">
      <alignment vertical="center"/>
    </xf>
    <xf numFmtId="0" fontId="13" fillId="0" borderId="25" xfId="4" quotePrefix="1" applyFont="1" applyBorder="1" applyAlignment="1">
      <alignment horizontal="right" vertical="center"/>
    </xf>
    <xf numFmtId="38" fontId="9" fillId="0" borderId="23" xfId="0" applyNumberFormat="1" applyFont="1" applyBorder="1" applyAlignment="1">
      <alignment horizontal="right" vertical="center"/>
    </xf>
    <xf numFmtId="0" fontId="13" fillId="0" borderId="9" xfId="4" quotePrefix="1" applyFont="1" applyBorder="1" applyAlignment="1">
      <alignment horizontal="right" vertical="center"/>
    </xf>
    <xf numFmtId="38" fontId="9" fillId="0" borderId="0" xfId="0" applyNumberFormat="1" applyFont="1" applyBorder="1" applyAlignment="1">
      <alignment horizontal="right" vertical="center"/>
    </xf>
    <xf numFmtId="38" fontId="9" fillId="0" borderId="11" xfId="0" applyNumberFormat="1" applyFont="1" applyBorder="1" applyAlignment="1">
      <alignment horizontal="right" vertical="center"/>
    </xf>
    <xf numFmtId="38" fontId="9" fillId="0" borderId="24" xfId="0" applyNumberFormat="1" applyFont="1" applyBorder="1" applyAlignment="1">
      <alignment horizontal="right" vertical="center"/>
    </xf>
    <xf numFmtId="166" fontId="9" fillId="0" borderId="24" xfId="4" applyNumberFormat="1" applyFont="1" applyBorder="1" applyAlignment="1">
      <alignment horizontal="right" vertical="center"/>
    </xf>
    <xf numFmtId="166" fontId="9" fillId="0" borderId="21" xfId="4" applyNumberFormat="1" applyFont="1" applyBorder="1" applyAlignment="1">
      <alignment horizontal="right" vertical="center"/>
    </xf>
    <xf numFmtId="166" fontId="9" fillId="0" borderId="11" xfId="4" applyNumberFormat="1" applyFont="1" applyBorder="1" applyAlignment="1">
      <alignment horizontal="right" vertical="center"/>
    </xf>
    <xf numFmtId="166" fontId="9" fillId="0" borderId="10" xfId="4" applyNumberFormat="1" applyFont="1" applyBorder="1" applyAlignment="1">
      <alignment horizontal="right" vertical="center"/>
    </xf>
    <xf numFmtId="0" fontId="13" fillId="0" borderId="25" xfId="4" quotePrefix="1" applyFont="1" applyFill="1" applyBorder="1" applyAlignment="1">
      <alignment horizontal="right" vertical="center"/>
    </xf>
    <xf numFmtId="166" fontId="9" fillId="0" borderId="0" xfId="4" applyNumberFormat="1" applyFont="1" applyFill="1" applyBorder="1" applyAlignment="1">
      <alignment horizontal="right" vertical="center"/>
    </xf>
    <xf numFmtId="166" fontId="9" fillId="0" borderId="10" xfId="4" applyNumberFormat="1" applyFont="1" applyFill="1" applyBorder="1" applyAlignment="1">
      <alignment horizontal="right" vertical="center"/>
    </xf>
    <xf numFmtId="38" fontId="9" fillId="0" borderId="21" xfId="0" applyNumberFormat="1" applyFont="1" applyFill="1" applyBorder="1" applyAlignment="1">
      <alignment horizontal="right" vertical="center"/>
    </xf>
    <xf numFmtId="38" fontId="9" fillId="0" borderId="10" xfId="0" applyNumberFormat="1" applyFont="1" applyFill="1" applyBorder="1" applyAlignment="1">
      <alignment horizontal="right" vertical="center"/>
    </xf>
    <xf numFmtId="38" fontId="9" fillId="0" borderId="25" xfId="0" applyNumberFormat="1" applyFont="1" applyBorder="1" applyAlignment="1">
      <alignment horizontal="right" vertical="center"/>
    </xf>
    <xf numFmtId="38" fontId="9" fillId="0" borderId="9" xfId="0" applyNumberFormat="1" applyFont="1" applyBorder="1" applyAlignment="1">
      <alignment horizontal="right" vertical="center"/>
    </xf>
    <xf numFmtId="38" fontId="9" fillId="0" borderId="31" xfId="0" applyNumberFormat="1" applyFont="1" applyBorder="1" applyAlignment="1">
      <alignment horizontal="right" vertical="center"/>
    </xf>
    <xf numFmtId="38" fontId="9" fillId="0" borderId="27" xfId="0" applyNumberFormat="1" applyFont="1" applyBorder="1" applyAlignment="1">
      <alignment horizontal="right" vertical="center"/>
    </xf>
    <xf numFmtId="38" fontId="9" fillId="0" borderId="28" xfId="0" applyNumberFormat="1" applyFont="1" applyBorder="1" applyAlignment="1">
      <alignment horizontal="right" vertical="center"/>
    </xf>
    <xf numFmtId="38" fontId="9" fillId="0" borderId="24" xfId="0" applyNumberFormat="1" applyFont="1" applyFill="1" applyBorder="1" applyAlignment="1">
      <alignment horizontal="right" vertical="center"/>
    </xf>
    <xf numFmtId="0" fontId="22" fillId="0" borderId="35" xfId="4" applyFont="1" applyBorder="1" applyAlignment="1">
      <alignment vertical="center"/>
    </xf>
    <xf numFmtId="166" fontId="9" fillId="0" borderId="18" xfId="4" applyNumberFormat="1" applyFont="1" applyBorder="1" applyAlignment="1">
      <alignment horizontal="right" vertical="center"/>
    </xf>
    <xf numFmtId="38" fontId="9" fillId="0" borderId="18" xfId="0" applyNumberFormat="1" applyFont="1" applyBorder="1" applyAlignment="1">
      <alignment horizontal="right" vertical="center"/>
    </xf>
    <xf numFmtId="0" fontId="10" fillId="2" borderId="67" xfId="0" applyFont="1" applyFill="1" applyBorder="1" applyAlignment="1">
      <alignment horizontal="center" vertical="center" wrapText="1"/>
    </xf>
    <xf numFmtId="0" fontId="13" fillId="0" borderId="54" xfId="4" quotePrefix="1" applyNumberFormat="1" applyFont="1" applyBorder="1" applyAlignment="1">
      <alignment horizontal="center" vertical="center"/>
    </xf>
    <xf numFmtId="0" fontId="13" fillId="0" borderId="45" xfId="4" quotePrefix="1" applyFont="1" applyBorder="1" applyAlignment="1">
      <alignment horizontal="center" vertical="center"/>
    </xf>
    <xf numFmtId="0" fontId="13" fillId="0" borderId="55" xfId="4" quotePrefix="1" applyFont="1" applyBorder="1" applyAlignment="1">
      <alignment horizontal="center" vertical="center"/>
    </xf>
    <xf numFmtId="0" fontId="13" fillId="0" borderId="61" xfId="4" quotePrefix="1" applyFont="1" applyBorder="1" applyAlignment="1">
      <alignment horizontal="center" vertical="center"/>
    </xf>
    <xf numFmtId="0" fontId="10" fillId="2" borderId="68" xfId="0" applyFont="1" applyFill="1" applyBorder="1" applyAlignment="1">
      <alignment horizontal="center" vertical="center"/>
    </xf>
    <xf numFmtId="10" fontId="9" fillId="0" borderId="69" xfId="0" applyNumberFormat="1" applyFont="1" applyBorder="1" applyAlignment="1">
      <alignment horizontal="center" vertical="center"/>
    </xf>
    <xf numFmtId="10" fontId="9" fillId="0" borderId="70" xfId="0" applyNumberFormat="1" applyFont="1" applyBorder="1" applyAlignment="1">
      <alignment horizontal="center" vertical="center"/>
    </xf>
    <xf numFmtId="38" fontId="9" fillId="4" borderId="10" xfId="0" applyNumberFormat="1" applyFont="1" applyFill="1" applyBorder="1" applyAlignment="1">
      <alignment horizontal="right" vertical="center"/>
    </xf>
    <xf numFmtId="38" fontId="9" fillId="4" borderId="21" xfId="0" applyNumberFormat="1" applyFont="1" applyFill="1" applyBorder="1" applyAlignment="1">
      <alignment horizontal="right" vertical="center"/>
    </xf>
    <xf numFmtId="37" fontId="13" fillId="4" borderId="21" xfId="0" applyNumberFormat="1" applyFont="1" applyFill="1" applyBorder="1" applyAlignment="1">
      <alignment horizontal="right" vertical="center"/>
    </xf>
    <xf numFmtId="38" fontId="9" fillId="0" borderId="30" xfId="0" applyNumberFormat="1" applyFont="1" applyBorder="1" applyAlignment="1">
      <alignment horizontal="right" vertical="center"/>
    </xf>
    <xf numFmtId="37" fontId="9" fillId="4" borderId="22" xfId="0" applyNumberFormat="1" applyFont="1" applyFill="1" applyBorder="1" applyAlignment="1">
      <alignment horizontal="right" vertical="center"/>
    </xf>
    <xf numFmtId="167" fontId="13" fillId="0" borderId="21" xfId="0" applyNumberFormat="1" applyFont="1" applyBorder="1" applyAlignment="1">
      <alignment horizontal="right"/>
    </xf>
    <xf numFmtId="167" fontId="13" fillId="0" borderId="29" xfId="0" applyNumberFormat="1" applyFont="1" applyBorder="1" applyAlignment="1">
      <alignment horizontal="right"/>
    </xf>
    <xf numFmtId="167" fontId="13" fillId="0" borderId="29" xfId="1" applyNumberFormat="1" applyFont="1" applyBorder="1" applyAlignment="1">
      <alignment horizontal="right"/>
    </xf>
    <xf numFmtId="167" fontId="13" fillId="3" borderId="20" xfId="0" applyNumberFormat="1" applyFont="1" applyFill="1" applyBorder="1" applyAlignment="1">
      <alignment horizontal="right"/>
    </xf>
    <xf numFmtId="167" fontId="13" fillId="0" borderId="23" xfId="0" applyNumberFormat="1" applyFont="1" applyBorder="1" applyAlignment="1">
      <alignment horizontal="right"/>
    </xf>
    <xf numFmtId="167" fontId="13" fillId="0" borderId="10" xfId="0" applyNumberFormat="1" applyFont="1" applyBorder="1" applyAlignment="1">
      <alignment horizontal="right"/>
    </xf>
    <xf numFmtId="167" fontId="13" fillId="0" borderId="0" xfId="0" applyNumberFormat="1" applyFont="1" applyBorder="1" applyAlignment="1">
      <alignment horizontal="right"/>
    </xf>
    <xf numFmtId="167" fontId="13" fillId="0" borderId="10" xfId="1" applyNumberFormat="1" applyFont="1" applyBorder="1" applyAlignment="1">
      <alignment horizontal="right"/>
    </xf>
    <xf numFmtId="167" fontId="13" fillId="3" borderId="2" xfId="0" applyNumberFormat="1" applyFont="1" applyFill="1" applyBorder="1" applyAlignment="1">
      <alignment horizontal="right"/>
    </xf>
    <xf numFmtId="167" fontId="13" fillId="0" borderId="0" xfId="1" applyNumberFormat="1" applyFont="1" applyBorder="1" applyAlignment="1">
      <alignment horizontal="right"/>
    </xf>
    <xf numFmtId="167" fontId="13" fillId="3" borderId="10" xfId="0" applyNumberFormat="1" applyFont="1" applyFill="1" applyBorder="1" applyAlignment="1">
      <alignment horizontal="right"/>
    </xf>
    <xf numFmtId="167" fontId="13" fillId="3" borderId="5" xfId="0" applyNumberFormat="1" applyFont="1" applyFill="1" applyBorder="1" applyAlignment="1">
      <alignment horizontal="right"/>
    </xf>
    <xf numFmtId="167" fontId="13" fillId="0" borderId="21" xfId="0" applyNumberFormat="1" applyFont="1" applyBorder="1" applyAlignment="1"/>
    <xf numFmtId="167" fontId="13" fillId="0" borderId="28" xfId="0" applyNumberFormat="1" applyFont="1" applyBorder="1" applyAlignment="1"/>
    <xf numFmtId="167" fontId="13" fillId="0" borderId="28" xfId="1" applyNumberFormat="1" applyFont="1" applyBorder="1" applyAlignment="1"/>
    <xf numFmtId="167" fontId="13" fillId="3" borderId="41" xfId="0" applyNumberFormat="1" applyFont="1" applyFill="1" applyBorder="1" applyAlignment="1"/>
    <xf numFmtId="167" fontId="13" fillId="0" borderId="47" xfId="0" applyNumberFormat="1" applyFont="1" applyBorder="1" applyAlignment="1"/>
    <xf numFmtId="167" fontId="13" fillId="0" borderId="28" xfId="0" applyNumberFormat="1" applyFont="1" applyBorder="1" applyAlignment="1">
      <alignment vertical="center"/>
    </xf>
    <xf numFmtId="167" fontId="13" fillId="3" borderId="41" xfId="0" applyNumberFormat="1" applyFont="1" applyFill="1" applyBorder="1" applyAlignment="1">
      <alignment vertical="center"/>
    </xf>
    <xf numFmtId="167" fontId="13" fillId="0" borderId="28" xfId="1" applyNumberFormat="1" applyFont="1" applyBorder="1" applyAlignment="1">
      <alignment vertical="center"/>
    </xf>
    <xf numFmtId="167" fontId="13" fillId="0" borderId="47" xfId="0" applyNumberFormat="1" applyFont="1" applyBorder="1" applyAlignment="1">
      <alignment vertical="center"/>
    </xf>
    <xf numFmtId="167" fontId="13" fillId="0" borderId="47" xfId="1" applyNumberFormat="1" applyFont="1" applyBorder="1" applyAlignment="1"/>
    <xf numFmtId="167" fontId="13" fillId="0" borderId="29" xfId="0" applyNumberFormat="1" applyFont="1" applyBorder="1" applyAlignment="1"/>
    <xf numFmtId="167" fontId="13" fillId="0" borderId="28" xfId="0" applyNumberFormat="1" applyFont="1" applyBorder="1" applyAlignment="1">
      <alignment horizontal="right"/>
    </xf>
    <xf numFmtId="167" fontId="13" fillId="3" borderId="41" xfId="0" applyNumberFormat="1" applyFont="1" applyFill="1" applyBorder="1" applyAlignment="1">
      <alignment horizontal="right"/>
    </xf>
    <xf numFmtId="167" fontId="13" fillId="0" borderId="28" xfId="0" applyNumberFormat="1" applyFont="1" applyBorder="1" applyAlignment="1">
      <alignment horizontal="right" vertical="center"/>
    </xf>
    <xf numFmtId="167" fontId="13" fillId="0" borderId="28" xfId="1" applyNumberFormat="1" applyFont="1" applyBorder="1" applyAlignment="1">
      <alignment horizontal="right" vertical="center"/>
    </xf>
    <xf numFmtId="167" fontId="13" fillId="3" borderId="41" xfId="0" applyNumberFormat="1" applyFont="1" applyFill="1" applyBorder="1" applyAlignment="1">
      <alignment horizontal="right" vertical="center"/>
    </xf>
    <xf numFmtId="167" fontId="13" fillId="0" borderId="47" xfId="0" applyNumberFormat="1" applyFont="1" applyBorder="1" applyAlignment="1">
      <alignment horizontal="right" vertical="center"/>
    </xf>
    <xf numFmtId="167" fontId="13" fillId="0" borderId="21" xfId="0" applyNumberFormat="1" applyFont="1" applyBorder="1" applyAlignment="1">
      <alignment horizontal="right" vertical="center"/>
    </xf>
    <xf numFmtId="167" fontId="13" fillId="0" borderId="31" xfId="2" applyNumberFormat="1" applyFont="1" applyBorder="1" applyAlignment="1">
      <alignment horizontal="right" vertical="center"/>
    </xf>
    <xf numFmtId="167" fontId="13" fillId="3" borderId="62" xfId="0" applyNumberFormat="1" applyFont="1" applyFill="1" applyBorder="1" applyAlignment="1">
      <alignment horizontal="right" vertical="center"/>
    </xf>
    <xf numFmtId="167" fontId="13" fillId="0" borderId="31" xfId="1" applyNumberFormat="1" applyFont="1" applyBorder="1" applyAlignment="1">
      <alignment horizontal="right" vertical="center"/>
    </xf>
    <xf numFmtId="167" fontId="13" fillId="3" borderId="62" xfId="1" applyNumberFormat="1" applyFont="1" applyFill="1" applyBorder="1" applyAlignment="1">
      <alignment horizontal="right" vertical="center"/>
    </xf>
    <xf numFmtId="167" fontId="13" fillId="3" borderId="41" xfId="1" applyNumberFormat="1" applyFont="1" applyFill="1" applyBorder="1" applyAlignment="1">
      <alignment horizontal="right" vertical="center"/>
    </xf>
    <xf numFmtId="167" fontId="13" fillId="0" borderId="28" xfId="2" applyNumberFormat="1" applyFont="1" applyBorder="1" applyAlignment="1">
      <alignment horizontal="right" vertical="center"/>
    </xf>
    <xf numFmtId="167" fontId="13" fillId="0" borderId="47" xfId="2" applyNumberFormat="1" applyFont="1" applyBorder="1" applyAlignment="1">
      <alignment horizontal="right" vertical="center"/>
    </xf>
    <xf numFmtId="167" fontId="13" fillId="0" borderId="21" xfId="1" applyNumberFormat="1" applyFont="1" applyBorder="1" applyAlignment="1">
      <alignment horizontal="right" vertical="center"/>
    </xf>
    <xf numFmtId="41" fontId="13" fillId="0" borderId="21" xfId="0" applyNumberFormat="1" applyFont="1" applyBorder="1" applyAlignment="1">
      <alignment horizontal="right" vertical="center"/>
    </xf>
    <xf numFmtId="167" fontId="13" fillId="0" borderId="19" xfId="0" applyNumberFormat="1" applyFont="1" applyBorder="1" applyAlignment="1">
      <alignment horizontal="right"/>
    </xf>
    <xf numFmtId="167" fontId="13" fillId="0" borderId="71" xfId="0" applyNumberFormat="1" applyFont="1" applyBorder="1" applyAlignment="1"/>
    <xf numFmtId="37" fontId="13" fillId="0" borderId="44" xfId="0" applyNumberFormat="1" applyFont="1" applyBorder="1" applyAlignment="1"/>
    <xf numFmtId="167" fontId="13" fillId="3" borderId="12" xfId="0" applyNumberFormat="1" applyFont="1" applyFill="1" applyBorder="1" applyAlignment="1"/>
    <xf numFmtId="37" fontId="9" fillId="0" borderId="21" xfId="0" applyNumberFormat="1" applyFont="1" applyBorder="1" applyAlignment="1">
      <alignment vertical="center"/>
    </xf>
    <xf numFmtId="167" fontId="13" fillId="3" borderId="20" xfId="0" applyNumberFormat="1" applyFont="1" applyFill="1" applyBorder="1" applyAlignment="1">
      <alignment vertical="center"/>
    </xf>
    <xf numFmtId="41" fontId="13" fillId="0" borderId="44" xfId="0" applyNumberFormat="1" applyFont="1" applyBorder="1" applyAlignment="1">
      <alignment horizontal="right"/>
    </xf>
    <xf numFmtId="41" fontId="13" fillId="0" borderId="72" xfId="0" applyNumberFormat="1" applyFont="1" applyBorder="1" applyAlignment="1">
      <alignment horizontal="right"/>
    </xf>
    <xf numFmtId="41" fontId="13" fillId="0" borderId="21" xfId="0" applyNumberFormat="1" applyFont="1" applyBorder="1" applyAlignment="1">
      <alignment horizontal="right"/>
    </xf>
    <xf numFmtId="41" fontId="13" fillId="0" borderId="47" xfId="0" applyNumberFormat="1" applyFont="1" applyBorder="1" applyAlignment="1">
      <alignment horizontal="right"/>
    </xf>
    <xf numFmtId="41" fontId="13" fillId="0" borderId="71" xfId="0" applyNumberFormat="1" applyFont="1" applyBorder="1" applyAlignment="1">
      <alignment horizontal="right"/>
    </xf>
    <xf numFmtId="41" fontId="13" fillId="0" borderId="28" xfId="0" applyNumberFormat="1" applyFont="1" applyBorder="1" applyAlignment="1">
      <alignment horizontal="right"/>
    </xf>
    <xf numFmtId="41" fontId="13" fillId="0" borderId="21" xfId="1" applyNumberFormat="1" applyFont="1" applyBorder="1" applyAlignment="1">
      <alignment horizontal="right"/>
    </xf>
    <xf numFmtId="41" fontId="13" fillId="0" borderId="47" xfId="1" applyNumberFormat="1" applyFont="1" applyBorder="1" applyAlignment="1">
      <alignment horizontal="right"/>
    </xf>
    <xf numFmtId="167" fontId="13" fillId="0" borderId="29" xfId="0" applyNumberFormat="1" applyFont="1" applyBorder="1" applyAlignment="1">
      <alignment horizontal="right" vertical="center"/>
    </xf>
    <xf numFmtId="0" fontId="8" fillId="0" borderId="0" xfId="0" applyFont="1" applyBorder="1" applyAlignment="1">
      <alignment vertical="center"/>
    </xf>
    <xf numFmtId="167" fontId="13" fillId="0" borderId="66" xfId="0" applyNumberFormat="1" applyFont="1" applyBorder="1" applyAlignment="1"/>
    <xf numFmtId="41" fontId="13" fillId="0" borderId="22" xfId="0" applyNumberFormat="1" applyFont="1" applyBorder="1" applyAlignment="1">
      <alignment horizontal="right"/>
    </xf>
    <xf numFmtId="38" fontId="9" fillId="0" borderId="73" xfId="0" applyNumberFormat="1" applyFont="1" applyBorder="1" applyAlignment="1">
      <alignment horizontal="right" vertical="center"/>
    </xf>
    <xf numFmtId="42" fontId="9" fillId="0" borderId="0" xfId="0" applyNumberFormat="1" applyFont="1" applyBorder="1" applyAlignment="1">
      <alignment horizontal="right" vertical="center"/>
    </xf>
    <xf numFmtId="42" fontId="9" fillId="0" borderId="19" xfId="0" applyNumberFormat="1" applyFont="1" applyBorder="1" applyAlignment="1">
      <alignment horizontal="right" vertical="center"/>
    </xf>
    <xf numFmtId="42" fontId="9" fillId="0" borderId="10" xfId="0" applyNumberFormat="1" applyFont="1" applyBorder="1" applyAlignment="1">
      <alignment horizontal="right" vertical="center"/>
    </xf>
    <xf numFmtId="42" fontId="9" fillId="0" borderId="8" xfId="0" applyNumberFormat="1" applyFont="1" applyBorder="1" applyAlignment="1">
      <alignment horizontal="right" vertical="center"/>
    </xf>
    <xf numFmtId="42" fontId="9" fillId="0" borderId="9" xfId="0" applyNumberFormat="1" applyFont="1" applyBorder="1" applyAlignment="1">
      <alignment horizontal="right" vertical="center"/>
    </xf>
    <xf numFmtId="42" fontId="9" fillId="0" borderId="11" xfId="0" applyNumberFormat="1" applyFont="1" applyBorder="1" applyAlignment="1">
      <alignment horizontal="right" vertical="center"/>
    </xf>
    <xf numFmtId="42" fontId="13" fillId="3" borderId="76" xfId="4" applyNumberFormat="1" applyFont="1" applyFill="1" applyBorder="1" applyAlignment="1">
      <alignment horizontal="right" vertical="center"/>
    </xf>
    <xf numFmtId="42" fontId="13" fillId="3" borderId="77" xfId="4" applyNumberFormat="1" applyFont="1" applyFill="1" applyBorder="1" applyAlignment="1">
      <alignment horizontal="right" vertical="center"/>
    </xf>
    <xf numFmtId="42" fontId="13" fillId="3" borderId="78" xfId="4" applyNumberFormat="1" applyFont="1" applyFill="1" applyBorder="1" applyAlignment="1">
      <alignment horizontal="right" vertical="center"/>
    </xf>
    <xf numFmtId="42" fontId="13" fillId="3" borderId="74" xfId="4" applyNumberFormat="1" applyFont="1" applyFill="1" applyBorder="1" applyAlignment="1">
      <alignment horizontal="right" vertical="center"/>
    </xf>
    <xf numFmtId="42" fontId="9" fillId="3" borderId="78" xfId="6" applyNumberFormat="1" applyFont="1" applyFill="1" applyBorder="1" applyAlignment="1">
      <alignment horizontal="right" vertical="center"/>
    </xf>
    <xf numFmtId="42" fontId="9" fillId="4" borderId="82" xfId="6" applyNumberFormat="1" applyFont="1" applyFill="1" applyBorder="1" applyAlignment="1">
      <alignment horizontal="right" vertical="center"/>
    </xf>
    <xf numFmtId="42" fontId="13" fillId="4" borderId="41" xfId="4" applyNumberFormat="1" applyFont="1" applyFill="1" applyBorder="1" applyAlignment="1">
      <alignment horizontal="right" vertical="center"/>
    </xf>
    <xf numFmtId="42" fontId="13" fillId="4" borderId="81" xfId="4" applyNumberFormat="1" applyFont="1" applyFill="1" applyBorder="1" applyAlignment="1">
      <alignment horizontal="right" vertical="center"/>
    </xf>
    <xf numFmtId="42" fontId="13" fillId="4" borderId="5" xfId="4" applyNumberFormat="1" applyFont="1" applyFill="1" applyBorder="1" applyAlignment="1">
      <alignment horizontal="right" vertical="center"/>
    </xf>
    <xf numFmtId="5" fontId="13" fillId="4" borderId="50" xfId="4" applyNumberFormat="1" applyFont="1" applyFill="1" applyBorder="1" applyAlignment="1">
      <alignment horizontal="right" vertical="center"/>
    </xf>
    <xf numFmtId="0" fontId="13" fillId="4" borderId="9" xfId="4" quotePrefix="1" applyFont="1" applyFill="1" applyBorder="1" applyAlignment="1">
      <alignment horizontal="right" vertical="center"/>
    </xf>
    <xf numFmtId="38" fontId="9" fillId="0" borderId="83" xfId="0" applyNumberFormat="1" applyFont="1" applyBorder="1" applyAlignment="1">
      <alignment horizontal="right" vertical="center"/>
    </xf>
    <xf numFmtId="0" fontId="13" fillId="0" borderId="84" xfId="4" quotePrefix="1" applyFont="1" applyBorder="1" applyAlignment="1">
      <alignment horizontal="center" vertical="center"/>
    </xf>
    <xf numFmtId="0" fontId="13" fillId="0" borderId="85" xfId="4" quotePrefix="1" applyFont="1" applyBorder="1" applyAlignment="1">
      <alignment horizontal="center" vertical="center"/>
    </xf>
    <xf numFmtId="37" fontId="9" fillId="4" borderId="21" xfId="0" applyNumberFormat="1" applyFont="1" applyFill="1" applyBorder="1" applyAlignment="1">
      <alignment horizontal="right" vertical="center"/>
    </xf>
    <xf numFmtId="0" fontId="13" fillId="0" borderId="48" xfId="4" quotePrefix="1" applyFont="1" applyFill="1" applyBorder="1" applyAlignment="1">
      <alignment horizontal="right" vertical="center"/>
    </xf>
    <xf numFmtId="38" fontId="9" fillId="0" borderId="26" xfId="0" applyNumberFormat="1" applyFont="1" applyFill="1" applyBorder="1" applyAlignment="1">
      <alignment horizontal="right" vertical="center"/>
    </xf>
    <xf numFmtId="38" fontId="9" fillId="0" borderId="28" xfId="0" applyNumberFormat="1" applyFont="1" applyFill="1" applyBorder="1" applyAlignment="1">
      <alignment horizontal="right" vertical="center"/>
    </xf>
    <xf numFmtId="166" fontId="9" fillId="0" borderId="23" xfId="4" applyNumberFormat="1" applyFont="1" applyFill="1" applyBorder="1" applyAlignment="1">
      <alignment horizontal="right" vertical="center"/>
    </xf>
    <xf numFmtId="166" fontId="9" fillId="0" borderId="21" xfId="4" applyNumberFormat="1" applyFont="1" applyFill="1" applyBorder="1" applyAlignment="1">
      <alignment horizontal="right" vertical="center"/>
    </xf>
    <xf numFmtId="10" fontId="9" fillId="0" borderId="86" xfId="0" applyNumberFormat="1" applyFont="1" applyBorder="1" applyAlignment="1">
      <alignment horizontal="center" vertical="center"/>
    </xf>
    <xf numFmtId="10" fontId="9" fillId="0" borderId="87" xfId="0" applyNumberFormat="1" applyFont="1" applyBorder="1" applyAlignment="1">
      <alignment horizontal="center" vertical="center"/>
    </xf>
    <xf numFmtId="10" fontId="9" fillId="0" borderId="88" xfId="0" applyNumberFormat="1" applyFont="1" applyBorder="1" applyAlignment="1">
      <alignment horizontal="center" vertical="center"/>
    </xf>
    <xf numFmtId="10" fontId="13" fillId="0" borderId="87" xfId="0" applyNumberFormat="1" applyFont="1" applyBorder="1" applyAlignment="1">
      <alignment horizontal="center" vertical="center"/>
    </xf>
    <xf numFmtId="10" fontId="13" fillId="0" borderId="86" xfId="0" applyNumberFormat="1" applyFont="1" applyBorder="1" applyAlignment="1">
      <alignment horizontal="center" vertical="center"/>
    </xf>
    <xf numFmtId="10" fontId="9" fillId="0" borderId="89" xfId="0" applyNumberFormat="1" applyFont="1" applyBorder="1" applyAlignment="1">
      <alignment horizontal="center" vertical="center"/>
    </xf>
    <xf numFmtId="0" fontId="12" fillId="2" borderId="49" xfId="0" applyNumberFormat="1" applyFont="1" applyFill="1" applyBorder="1" applyAlignment="1">
      <alignment horizontal="center" vertical="center"/>
    </xf>
    <xf numFmtId="0" fontId="12" fillId="2" borderId="51" xfId="0" applyNumberFormat="1" applyFont="1" applyFill="1" applyBorder="1" applyAlignment="1">
      <alignment horizontal="center"/>
    </xf>
    <xf numFmtId="0" fontId="15" fillId="0" borderId="0" xfId="0" applyFont="1" applyBorder="1" applyAlignment="1">
      <alignment vertical="center"/>
    </xf>
    <xf numFmtId="0" fontId="10" fillId="2" borderId="19" xfId="0" applyFont="1" applyFill="1" applyBorder="1" applyAlignment="1">
      <alignment horizontal="center" vertical="center"/>
    </xf>
    <xf numFmtId="42" fontId="9" fillId="0" borderId="29" xfId="0" applyNumberFormat="1" applyFont="1" applyBorder="1" applyAlignment="1">
      <alignment horizontal="right" vertical="center"/>
    </xf>
    <xf numFmtId="42" fontId="9" fillId="4" borderId="41" xfId="6" applyNumberFormat="1" applyFont="1" applyFill="1" applyBorder="1" applyAlignment="1">
      <alignment horizontal="right" vertical="center"/>
    </xf>
    <xf numFmtId="0" fontId="10" fillId="2" borderId="90" xfId="0" applyFont="1" applyFill="1" applyBorder="1" applyAlignment="1">
      <alignment horizontal="center" vertical="center"/>
    </xf>
    <xf numFmtId="38" fontId="9" fillId="4" borderId="73" xfId="0" applyNumberFormat="1" applyFont="1" applyFill="1" applyBorder="1" applyAlignment="1">
      <alignment horizontal="right" vertical="center"/>
    </xf>
    <xf numFmtId="38" fontId="9" fillId="0" borderId="22" xfId="0" applyNumberFormat="1" applyFont="1" applyFill="1" applyBorder="1" applyAlignment="1">
      <alignment horizontal="right" vertical="center"/>
    </xf>
    <xf numFmtId="37" fontId="9" fillId="0" borderId="22" xfId="0" applyNumberFormat="1" applyFont="1" applyFill="1" applyBorder="1" applyAlignment="1">
      <alignment horizontal="right" vertical="center"/>
    </xf>
    <xf numFmtId="42" fontId="9" fillId="3" borderId="79" xfId="6" applyNumberFormat="1" applyFont="1" applyFill="1" applyBorder="1" applyAlignment="1">
      <alignment horizontal="right" vertical="center"/>
    </xf>
    <xf numFmtId="0" fontId="11" fillId="0" borderId="0" xfId="0" applyFont="1" applyAlignment="1">
      <alignment horizontal="left" vertical="center"/>
    </xf>
    <xf numFmtId="0" fontId="28" fillId="4" borderId="75" xfId="4" applyFont="1" applyFill="1" applyBorder="1" applyAlignment="1">
      <alignment horizontal="center" vertical="center"/>
    </xf>
    <xf numFmtId="0" fontId="28" fillId="4" borderId="5" xfId="4" applyFont="1" applyFill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2" fillId="0" borderId="5" xfId="0" applyFont="1" applyFill="1" applyBorder="1" applyAlignment="1">
      <alignment horizontal="left" vertical="center" wrapText="1"/>
    </xf>
    <xf numFmtId="0" fontId="27" fillId="0" borderId="6" xfId="4" applyFont="1" applyBorder="1" applyAlignment="1">
      <alignment horizontal="center" vertical="center"/>
    </xf>
    <xf numFmtId="0" fontId="12" fillId="3" borderId="80" xfId="4" applyFont="1" applyFill="1" applyBorder="1" applyAlignment="1">
      <alignment horizontal="center" vertical="center"/>
    </xf>
    <xf numFmtId="0" fontId="12" fillId="3" borderId="74" xfId="4" applyFont="1" applyFill="1" applyBorder="1" applyAlignment="1">
      <alignment horizontal="center" vertical="center"/>
    </xf>
    <xf numFmtId="0" fontId="23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15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7" fillId="0" borderId="5" xfId="0" applyFont="1" applyBorder="1" applyAlignment="1">
      <alignment horizontal="center"/>
    </xf>
    <xf numFmtId="0" fontId="27" fillId="0" borderId="6" xfId="0" applyFont="1" applyFill="1" applyBorder="1" applyAlignment="1">
      <alignment horizontal="center"/>
    </xf>
    <xf numFmtId="0" fontId="24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23" fillId="0" borderId="0" xfId="0" applyFont="1" applyAlignment="1">
      <alignment horizontal="left"/>
    </xf>
    <xf numFmtId="0" fontId="11" fillId="0" borderId="0" xfId="0" applyFont="1" applyFill="1" applyBorder="1" applyAlignment="1">
      <alignment horizontal="left"/>
    </xf>
    <xf numFmtId="0" fontId="27" fillId="0" borderId="6" xfId="0" applyFont="1" applyBorder="1" applyAlignment="1">
      <alignment horizontal="center"/>
    </xf>
    <xf numFmtId="0" fontId="15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7" fillId="0" borderId="5" xfId="0" applyFont="1" applyBorder="1" applyAlignment="1">
      <alignment horizontal="center" vertical="center"/>
    </xf>
    <xf numFmtId="0" fontId="27" fillId="0" borderId="6" xfId="0" applyFont="1" applyBorder="1" applyAlignment="1">
      <alignment horizontal="center" vertical="center"/>
    </xf>
    <xf numFmtId="0" fontId="24" fillId="0" borderId="0" xfId="0" applyFont="1" applyAlignment="1">
      <alignment horizontal="left" vertical="center"/>
    </xf>
    <xf numFmtId="0" fontId="11" fillId="0" borderId="0" xfId="0" applyFont="1" applyFill="1" applyBorder="1" applyAlignment="1">
      <alignment horizontal="left" vertical="center"/>
    </xf>
    <xf numFmtId="0" fontId="24" fillId="0" borderId="0" xfId="0" applyFont="1" applyFill="1" applyBorder="1" applyAlignment="1">
      <alignment horizontal="left"/>
    </xf>
    <xf numFmtId="0" fontId="8" fillId="0" borderId="0" xfId="0" applyFont="1" applyBorder="1" applyAlignment="1">
      <alignment horizontal="left"/>
    </xf>
    <xf numFmtId="0" fontId="23" fillId="0" borderId="0" xfId="0" applyFont="1" applyBorder="1" applyAlignment="1">
      <alignment horizontal="left"/>
    </xf>
    <xf numFmtId="0" fontId="15" fillId="0" borderId="0" xfId="0" applyFont="1" applyBorder="1" applyAlignment="1">
      <alignment horizontal="center"/>
    </xf>
    <xf numFmtId="0" fontId="16" fillId="0" borderId="0" xfId="0" quotePrefix="1" applyFont="1" applyBorder="1" applyAlignment="1">
      <alignment horizontal="center"/>
    </xf>
    <xf numFmtId="0" fontId="23" fillId="0" borderId="0" xfId="0" applyFont="1" applyBorder="1" applyAlignment="1">
      <alignment horizontal="left" vertical="center"/>
    </xf>
    <xf numFmtId="0" fontId="15" fillId="0" borderId="0" xfId="0" applyFont="1" applyBorder="1" applyAlignment="1">
      <alignment horizontal="center" vertical="center"/>
    </xf>
    <xf numFmtId="0" fontId="16" fillId="0" borderId="0" xfId="0" applyFont="1" applyBorder="1" applyAlignment="1">
      <alignment horizontal="center" vertical="center"/>
    </xf>
    <xf numFmtId="0" fontId="24" fillId="0" borderId="0" xfId="0" applyFont="1" applyBorder="1" applyAlignment="1">
      <alignment horizontal="left" vertical="center"/>
    </xf>
    <xf numFmtId="0" fontId="7" fillId="0" borderId="0" xfId="0" applyFont="1" applyBorder="1" applyAlignment="1">
      <alignment horizontal="left" vertical="center"/>
    </xf>
    <xf numFmtId="0" fontId="8" fillId="0" borderId="0" xfId="0" applyFont="1" applyBorder="1" applyAlignment="1">
      <alignment horizontal="left" vertical="center"/>
    </xf>
    <xf numFmtId="0" fontId="17" fillId="0" borderId="0" xfId="0" applyFont="1" applyBorder="1" applyAlignment="1">
      <alignment horizontal="center" vertical="center"/>
    </xf>
    <xf numFmtId="0" fontId="8" fillId="0" borderId="0" xfId="0" applyFont="1" applyFill="1" applyBorder="1" applyAlignment="1">
      <alignment horizontal="left" vertical="center"/>
    </xf>
    <xf numFmtId="0" fontId="19" fillId="0" borderId="6" xfId="0" applyFont="1" applyBorder="1" applyAlignment="1">
      <alignment horizontal="center" vertical="center"/>
    </xf>
    <xf numFmtId="164" fontId="24" fillId="0" borderId="0" xfId="0" applyNumberFormat="1" applyFont="1" applyBorder="1" applyAlignment="1">
      <alignment horizontal="left" vertical="center"/>
    </xf>
    <xf numFmtId="0" fontId="12" fillId="0" borderId="5" xfId="0" applyFont="1" applyBorder="1" applyAlignment="1">
      <alignment horizontal="center" vertical="center"/>
    </xf>
    <xf numFmtId="164" fontId="8" fillId="0" borderId="0" xfId="0" applyNumberFormat="1" applyFont="1" applyBorder="1" applyAlignment="1">
      <alignment horizontal="left" vertical="center"/>
    </xf>
    <xf numFmtId="0" fontId="27" fillId="0" borderId="6" xfId="0" applyFont="1" applyBorder="1" applyAlignment="1">
      <alignment horizontal="left" vertical="center"/>
    </xf>
    <xf numFmtId="165" fontId="27" fillId="0" borderId="6" xfId="0" applyNumberFormat="1" applyFont="1" applyBorder="1" applyAlignment="1">
      <alignment horizontal="center" vertical="center"/>
    </xf>
    <xf numFmtId="0" fontId="24" fillId="0" borderId="0" xfId="0" applyFont="1" applyFill="1" applyBorder="1" applyAlignment="1">
      <alignment horizontal="left" vertical="center"/>
    </xf>
    <xf numFmtId="0" fontId="15" fillId="0" borderId="0" xfId="0" applyFont="1" applyBorder="1" applyAlignment="1">
      <alignment horizontal="left" vertical="center"/>
    </xf>
    <xf numFmtId="0" fontId="17" fillId="0" borderId="5" xfId="0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horizontal="center" vertical="center"/>
    </xf>
  </cellXfs>
  <cellStyles count="7">
    <cellStyle name="Comma 2" xfId="1" xr:uid="{00000000-0005-0000-0000-000000000000}"/>
    <cellStyle name="Comma 3" xfId="2" xr:uid="{00000000-0005-0000-0000-000001000000}"/>
    <cellStyle name="Currency" xfId="6" builtinId="4"/>
    <cellStyle name="Currency 2" xfId="3" xr:uid="{00000000-0005-0000-0000-000003000000}"/>
    <cellStyle name="Hyperlink" xfId="4" builtinId="8"/>
    <cellStyle name="Normal" xfId="0" builtinId="0"/>
    <cellStyle name="Normal 2" xfId="5" xr:uid="{00000000-0005-0000-0000-000006000000}"/>
  </cellStyles>
  <dxfs count="0"/>
  <tableStyles count="0" defaultTableStyle="TableStyleMedium2" defaultPivotStyle="PivotStyleLight16"/>
  <colors>
    <mruColors>
      <color rgb="FFFFC845"/>
      <color rgb="FF9BCBEB"/>
      <color rgb="FF78BE21"/>
      <color rgb="FFD9D9D6"/>
      <color rgb="FF9799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tyles" Target="styles.xml"/><Relationship Id="rId55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customXml" Target="../customXml/item1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ustomXml" Target="../customXml/item4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theme" Target="theme/theme1.xml"/><Relationship Id="rId57" Type="http://schemas.openxmlformats.org/officeDocument/2006/relationships/customXml" Target="../customXml/item5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92D050"/>
    <pageSetUpPr fitToPage="1"/>
  </sheetPr>
  <dimension ref="A1:Y61"/>
  <sheetViews>
    <sheetView showGridLines="0" tabSelected="1" zoomScaleNormal="100" workbookViewId="0">
      <pane ySplit="1" topLeftCell="A2" activePane="bottomLeft" state="frozen"/>
      <selection pane="bottomLeft" sqref="A1:T1"/>
    </sheetView>
  </sheetViews>
  <sheetFormatPr defaultColWidth="16.6640625" defaultRowHeight="16.2" customHeight="1" x14ac:dyDescent="0.3"/>
  <cols>
    <col min="1" max="1" width="17" style="204" customWidth="1"/>
    <col min="2" max="2" width="12.44140625" style="204" customWidth="1"/>
    <col min="3" max="3" width="17.109375" style="204" customWidth="1"/>
    <col min="4" max="9" width="13.88671875" style="204" hidden="1" customWidth="1"/>
    <col min="10" max="11" width="13.88671875" style="204" customWidth="1"/>
    <col min="12" max="18" width="14.6640625" style="204" bestFit="1" customWidth="1"/>
    <col min="19" max="20" width="14.6640625" style="62" bestFit="1" customWidth="1"/>
    <col min="21" max="25" width="16.6640625" style="62"/>
    <col min="26" max="16384" width="16.6640625" style="204"/>
  </cols>
  <sheetData>
    <row r="1" spans="1:21" ht="16.2" customHeight="1" x14ac:dyDescent="0.3">
      <c r="A1" s="350" t="s">
        <v>153</v>
      </c>
      <c r="B1" s="350"/>
      <c r="C1" s="350"/>
      <c r="D1" s="350"/>
      <c r="E1" s="350"/>
      <c r="F1" s="350"/>
      <c r="G1" s="350"/>
      <c r="H1" s="350"/>
      <c r="I1" s="350"/>
      <c r="J1" s="350"/>
      <c r="K1" s="350"/>
      <c r="L1" s="350"/>
      <c r="M1" s="350"/>
      <c r="N1" s="350"/>
      <c r="O1" s="350"/>
      <c r="P1" s="350"/>
      <c r="Q1" s="350"/>
      <c r="R1" s="350"/>
      <c r="S1" s="350"/>
      <c r="T1" s="350"/>
    </row>
    <row r="2" spans="1:21" ht="16.2" customHeight="1" x14ac:dyDescent="0.3">
      <c r="A2" s="351" t="s">
        <v>185</v>
      </c>
      <c r="B2" s="351"/>
      <c r="C2" s="351"/>
      <c r="D2" s="351"/>
      <c r="E2" s="351"/>
      <c r="F2" s="351"/>
      <c r="G2" s="351"/>
      <c r="H2" s="351"/>
      <c r="I2" s="351"/>
      <c r="J2" s="351"/>
      <c r="K2" s="351"/>
      <c r="L2" s="351"/>
      <c r="M2" s="351"/>
      <c r="N2" s="351"/>
      <c r="O2" s="351"/>
      <c r="P2" s="351"/>
      <c r="Q2" s="351"/>
      <c r="R2" s="351"/>
      <c r="S2" s="351"/>
      <c r="T2" s="351"/>
    </row>
    <row r="3" spans="1:21" ht="16.2" customHeight="1" x14ac:dyDescent="0.3">
      <c r="A3" s="352" t="s">
        <v>186</v>
      </c>
      <c r="B3" s="352"/>
      <c r="C3" s="352"/>
      <c r="D3" s="352"/>
      <c r="E3" s="352"/>
      <c r="F3" s="352"/>
      <c r="G3" s="352"/>
      <c r="H3" s="352"/>
      <c r="I3" s="352"/>
      <c r="J3" s="352"/>
      <c r="K3" s="352"/>
      <c r="L3" s="352"/>
      <c r="M3" s="352"/>
      <c r="N3" s="352"/>
      <c r="O3" s="352"/>
      <c r="P3" s="352"/>
      <c r="Q3" s="352"/>
      <c r="R3" s="352"/>
      <c r="S3" s="352"/>
      <c r="T3" s="352"/>
    </row>
    <row r="4" spans="1:21" ht="28.2" customHeight="1" x14ac:dyDescent="0.3">
      <c r="A4" s="7" t="s">
        <v>82</v>
      </c>
      <c r="B4" s="238" t="s">
        <v>81</v>
      </c>
      <c r="C4" s="233" t="s">
        <v>79</v>
      </c>
      <c r="D4" s="8" t="s">
        <v>97</v>
      </c>
      <c r="E4" s="9" t="s">
        <v>98</v>
      </c>
      <c r="F4" s="10">
        <v>2006</v>
      </c>
      <c r="G4" s="11">
        <v>2007</v>
      </c>
      <c r="H4" s="11">
        <v>2008</v>
      </c>
      <c r="I4" s="11">
        <v>2009</v>
      </c>
      <c r="J4" s="10">
        <v>2010</v>
      </c>
      <c r="K4" s="11">
        <v>2011</v>
      </c>
      <c r="L4" s="11">
        <v>2012</v>
      </c>
      <c r="M4" s="11">
        <v>2013</v>
      </c>
      <c r="N4" s="11" t="s">
        <v>78</v>
      </c>
      <c r="O4" s="11">
        <v>2015</v>
      </c>
      <c r="P4" s="12">
        <v>2016</v>
      </c>
      <c r="Q4" s="12">
        <v>2017</v>
      </c>
      <c r="R4" s="12">
        <v>2018</v>
      </c>
      <c r="S4" s="339">
        <v>2019</v>
      </c>
      <c r="T4" s="342">
        <v>2020</v>
      </c>
    </row>
    <row r="5" spans="1:21" ht="16.2" customHeight="1" x14ac:dyDescent="0.3">
      <c r="A5" s="205" t="s">
        <v>0</v>
      </c>
      <c r="B5" s="239">
        <v>5.0000000000000001E-3</v>
      </c>
      <c r="C5" s="234">
        <v>2006</v>
      </c>
      <c r="D5" s="206" t="s">
        <v>152</v>
      </c>
      <c r="E5" s="207" t="s">
        <v>152</v>
      </c>
      <c r="F5" s="304">
        <f>'Albert Lea'!D17+'Albert Lea'!D33</f>
        <v>672514.27</v>
      </c>
      <c r="G5" s="305">
        <f>'Albert Lea'!E17+'Albert Lea'!E33</f>
        <v>1193642.53</v>
      </c>
      <c r="H5" s="305">
        <f>'Albert Lea'!F17+'Albert Lea'!F33</f>
        <v>1295287.45</v>
      </c>
      <c r="I5" s="306">
        <f>'Albert Lea'!G17+'Albert Lea'!G33</f>
        <v>1302397</v>
      </c>
      <c r="J5" s="305">
        <f>'Albert Lea'!H17+'Albert Lea'!H33</f>
        <v>1417881</v>
      </c>
      <c r="K5" s="305">
        <f>'Albert Lea'!I17+'Albert Lea'!I33</f>
        <v>1385185</v>
      </c>
      <c r="L5" s="305">
        <f>'Albert Lea'!J17+'Albert Lea'!J33</f>
        <v>1361956</v>
      </c>
      <c r="M5" s="305">
        <f>'Albert Lea'!K17+'Albert Lea'!K33</f>
        <v>1371727</v>
      </c>
      <c r="N5" s="305">
        <f>'Albert Lea'!L17+'Albert Lea'!L33</f>
        <v>1435808</v>
      </c>
      <c r="O5" s="305">
        <f>'Albert Lea'!M17+'Albert Lea'!M33</f>
        <v>1505821</v>
      </c>
      <c r="P5" s="305">
        <f>'Albert Lea'!N17+'Albert Lea'!N33</f>
        <v>1471058</v>
      </c>
      <c r="Q5" s="305">
        <f>'Albert Lea'!O17+'Albert Lea'!O33</f>
        <v>1465994</v>
      </c>
      <c r="R5" s="305">
        <f>'Albert Lea'!P17+'Albert Lea'!P33</f>
        <v>1526457</v>
      </c>
      <c r="S5" s="340">
        <f>'Albert Lea'!Q17+'Albert Lea'!Q33</f>
        <v>1605147</v>
      </c>
      <c r="T5" s="307">
        <f>'Albert Lea'!R17+'Albert Lea'!R33</f>
        <v>755256</v>
      </c>
    </row>
    <row r="6" spans="1:21" ht="16.2" customHeight="1" x14ac:dyDescent="0.3">
      <c r="A6" s="208" t="s">
        <v>1</v>
      </c>
      <c r="B6" s="240">
        <v>5.0000000000000001E-3</v>
      </c>
      <c r="C6" s="235">
        <v>2007</v>
      </c>
      <c r="D6" s="209" t="s">
        <v>152</v>
      </c>
      <c r="E6" s="134" t="s">
        <v>152</v>
      </c>
      <c r="F6" s="210" t="s">
        <v>152</v>
      </c>
      <c r="G6" s="134">
        <f>Austin!E17+Austin!E33</f>
        <v>824839.44</v>
      </c>
      <c r="H6" s="134">
        <f>Austin!F17+Austin!F33</f>
        <v>1306244.17</v>
      </c>
      <c r="I6" s="134">
        <f>Austin!G17+Austin!G33</f>
        <v>1415665</v>
      </c>
      <c r="J6" s="134">
        <f>Austin!H17+Austin!H33</f>
        <v>1521493</v>
      </c>
      <c r="K6" s="134">
        <f>Austin!I17+Austin!I33</f>
        <v>1602890</v>
      </c>
      <c r="L6" s="134">
        <f>Austin!J17+Austin!J33</f>
        <v>1654987</v>
      </c>
      <c r="M6" s="134">
        <f>Austin!K17+Austin!K33</f>
        <v>1626125</v>
      </c>
      <c r="N6" s="134">
        <f>Austin!L17+Austin!L33</f>
        <v>1870654</v>
      </c>
      <c r="O6" s="134">
        <f>Austin!M17+Austin!M33</f>
        <v>1676696</v>
      </c>
      <c r="P6" s="134">
        <f>Austin!N17+Austin!N33</f>
        <v>1561724</v>
      </c>
      <c r="Q6" s="134">
        <f>Austin!O17+Austin!O33</f>
        <v>944408</v>
      </c>
      <c r="R6" s="134">
        <f>Austin!P17+Austin!P33</f>
        <v>1494791</v>
      </c>
      <c r="S6" s="134">
        <f>Austin!Q17+Austin!Q33</f>
        <v>1620306</v>
      </c>
      <c r="T6" s="137">
        <f>Austin!R17+Austin!R33</f>
        <v>768186</v>
      </c>
    </row>
    <row r="7" spans="1:21" ht="16.2" customHeight="1" x14ac:dyDescent="0.3">
      <c r="A7" s="208" t="s">
        <v>225</v>
      </c>
      <c r="B7" s="330">
        <v>5.0000000000000001E-3</v>
      </c>
      <c r="C7" s="236">
        <v>2019</v>
      </c>
      <c r="D7" s="211"/>
      <c r="E7" s="212"/>
      <c r="F7" s="212"/>
      <c r="G7" s="131"/>
      <c r="H7" s="131"/>
      <c r="I7" s="131"/>
      <c r="J7" s="134" t="s">
        <v>152</v>
      </c>
      <c r="K7" s="134" t="s">
        <v>152</v>
      </c>
      <c r="L7" s="134" t="s">
        <v>152</v>
      </c>
      <c r="M7" s="134" t="s">
        <v>152</v>
      </c>
      <c r="N7" s="134" t="s">
        <v>152</v>
      </c>
      <c r="O7" s="134" t="s">
        <v>152</v>
      </c>
      <c r="P7" s="134" t="s">
        <v>152</v>
      </c>
      <c r="Q7" s="134" t="s">
        <v>152</v>
      </c>
      <c r="R7" s="134" t="s">
        <v>152</v>
      </c>
      <c r="S7" s="131">
        <f>Avon!Q17+Avon!Q33</f>
        <v>25728</v>
      </c>
      <c r="T7" s="303">
        <f>Avon!R17+Avon!R33</f>
        <v>101251</v>
      </c>
    </row>
    <row r="8" spans="1:21" ht="16.2" customHeight="1" x14ac:dyDescent="0.3">
      <c r="A8" s="208" t="s">
        <v>2</v>
      </c>
      <c r="B8" s="331">
        <v>5.0000000000000001E-3</v>
      </c>
      <c r="C8" s="235">
        <v>2006</v>
      </c>
      <c r="D8" s="209" t="s">
        <v>152</v>
      </c>
      <c r="E8" s="210" t="s">
        <v>152</v>
      </c>
      <c r="F8" s="214">
        <f>Baxter!D17+Baxter!D33</f>
        <v>269460</v>
      </c>
      <c r="G8" s="134">
        <f>Baxter!E17+Baxter!E33</f>
        <v>1907479.9700000002</v>
      </c>
      <c r="H8" s="134">
        <f>Baxter!F17+Baxter!F33</f>
        <v>1817395.2</v>
      </c>
      <c r="I8" s="134">
        <f>Baxter!G17+Baxter!G33</f>
        <v>1814425</v>
      </c>
      <c r="J8" s="134">
        <f>Baxter!H17+Baxter!H33</f>
        <v>1812195</v>
      </c>
      <c r="K8" s="134">
        <f>Baxter!I17+Baxter!I33</f>
        <v>1842188</v>
      </c>
      <c r="L8" s="134">
        <f>Baxter!J17+Baxter!J33</f>
        <v>2003212</v>
      </c>
      <c r="M8" s="134">
        <f>Baxter!K17+Baxter!K33</f>
        <v>2120411</v>
      </c>
      <c r="N8" s="134">
        <f>Baxter!L17+Baxter!L33</f>
        <v>2208771</v>
      </c>
      <c r="O8" s="134">
        <f>Baxter!M17+Baxter!M33</f>
        <v>2332767</v>
      </c>
      <c r="P8" s="134">
        <f>Baxter!N17+Baxter!N33</f>
        <v>2421617</v>
      </c>
      <c r="Q8" s="134">
        <f>Baxter!O17+Baxter!O33</f>
        <v>2533674</v>
      </c>
      <c r="R8" s="134">
        <f>Baxter!P17+Baxter!P33</f>
        <v>2572469</v>
      </c>
      <c r="S8" s="134">
        <f>Baxter!Q17+Baxter!Q33</f>
        <v>2685015</v>
      </c>
      <c r="T8" s="137">
        <f>Baxter!R17+Baxter!R33</f>
        <v>1289249</v>
      </c>
    </row>
    <row r="9" spans="1:21" ht="16.2" customHeight="1" x14ac:dyDescent="0.3">
      <c r="A9" s="208" t="s">
        <v>3</v>
      </c>
      <c r="B9" s="331">
        <v>5.0000000000000001E-3</v>
      </c>
      <c r="C9" s="235">
        <v>2006</v>
      </c>
      <c r="D9" s="209" t="s">
        <v>152</v>
      </c>
      <c r="E9" s="214" t="s">
        <v>152</v>
      </c>
      <c r="F9" s="214">
        <f>Bemidji!D17+Bemidji!D33</f>
        <v>1423560.4900000002</v>
      </c>
      <c r="G9" s="134">
        <f>Bemidji!E17+Bemidji!E33</f>
        <v>1690976.1600000001</v>
      </c>
      <c r="H9" s="134">
        <f>Bemidji!F17+Bemidji!F33</f>
        <v>1688219.5700000003</v>
      </c>
      <c r="I9" s="134">
        <f>Bemidji!G17+Bemidji!G33</f>
        <v>1749687</v>
      </c>
      <c r="J9" s="134">
        <f>Bemidji!H17+Bemidji!H33</f>
        <v>1846889</v>
      </c>
      <c r="K9" s="134">
        <f>Bemidji!I17+Bemidji!I33</f>
        <v>1962085</v>
      </c>
      <c r="L9" s="134">
        <f>Bemidji!J17+Bemidji!J33</f>
        <v>1962300</v>
      </c>
      <c r="M9" s="134">
        <f>Bemidji!K17+Bemidji!K33</f>
        <v>2189580</v>
      </c>
      <c r="N9" s="134">
        <f>Bemidji!L17+Bemidji!L33</f>
        <v>2207516</v>
      </c>
      <c r="O9" s="134">
        <f>Bemidji!M17+Bemidji!M33</f>
        <v>2310735</v>
      </c>
      <c r="P9" s="134">
        <f>Bemidji!N17+Bemidji!N33</f>
        <v>2385137</v>
      </c>
      <c r="Q9" s="134">
        <f>Bemidji!O17+Bemidji!O33</f>
        <v>2418443</v>
      </c>
      <c r="R9" s="134">
        <f>Bemidji!P17+Bemidji!P33</f>
        <v>2473903</v>
      </c>
      <c r="S9" s="134">
        <f>Bemidji!Q17+Bemidji!Q33</f>
        <v>2587708</v>
      </c>
      <c r="T9" s="137">
        <f>Bemidji!R17+Bemidji!R33</f>
        <v>1228333</v>
      </c>
    </row>
    <row r="10" spans="1:21" ht="16.2" customHeight="1" x14ac:dyDescent="0.3">
      <c r="A10" s="208" t="s">
        <v>226</v>
      </c>
      <c r="B10" s="330">
        <v>5.0000000000000001E-3</v>
      </c>
      <c r="C10" s="236">
        <v>2019</v>
      </c>
      <c r="D10" s="211"/>
      <c r="E10" s="213"/>
      <c r="F10" s="213"/>
      <c r="G10" s="131"/>
      <c r="H10" s="131"/>
      <c r="I10" s="131"/>
      <c r="J10" s="134" t="s">
        <v>152</v>
      </c>
      <c r="K10" s="134" t="s">
        <v>152</v>
      </c>
      <c r="L10" s="134" t="s">
        <v>152</v>
      </c>
      <c r="M10" s="134" t="s">
        <v>152</v>
      </c>
      <c r="N10" s="134" t="s">
        <v>152</v>
      </c>
      <c r="O10" s="134" t="s">
        <v>152</v>
      </c>
      <c r="P10" s="134" t="s">
        <v>152</v>
      </c>
      <c r="Q10" s="134" t="s">
        <v>152</v>
      </c>
      <c r="R10" s="134" t="s">
        <v>152</v>
      </c>
      <c r="S10" s="134">
        <f>'Blue Earth'!Q17+'Blue Earth'!Q33</f>
        <v>40601</v>
      </c>
      <c r="T10" s="137">
        <f>'Blue Earth'!R17+'Blue Earth'!R33</f>
        <v>142759</v>
      </c>
    </row>
    <row r="11" spans="1:21" ht="16.2" customHeight="1" x14ac:dyDescent="0.3">
      <c r="A11" s="208" t="s">
        <v>4</v>
      </c>
      <c r="B11" s="331">
        <v>5.0000000000000001E-3</v>
      </c>
      <c r="C11" s="235">
        <v>2007</v>
      </c>
      <c r="D11" s="209" t="s">
        <v>152</v>
      </c>
      <c r="E11" s="134" t="s">
        <v>152</v>
      </c>
      <c r="F11" s="134" t="s">
        <v>152</v>
      </c>
      <c r="G11" s="134">
        <f>Brainerd!E17+Brainerd!E33</f>
        <v>556739.87</v>
      </c>
      <c r="H11" s="134">
        <f>Brainerd!F17+Brainerd!F33</f>
        <v>830839.80999999994</v>
      </c>
      <c r="I11" s="134">
        <f>Brainerd!G17+Brainerd!G33</f>
        <v>850614</v>
      </c>
      <c r="J11" s="134">
        <f>Brainerd!H17+Brainerd!H33</f>
        <v>829980</v>
      </c>
      <c r="K11" s="134">
        <f>Brainerd!I17+Brainerd!I33</f>
        <v>839153</v>
      </c>
      <c r="L11" s="134">
        <f>Brainerd!J17+Brainerd!J33</f>
        <v>883124</v>
      </c>
      <c r="M11" s="134">
        <f>Brainerd!K17+Brainerd!K33</f>
        <v>881244</v>
      </c>
      <c r="N11" s="134">
        <f>Brainerd!L17+Brainerd!L33</f>
        <v>876199</v>
      </c>
      <c r="O11" s="134">
        <f>Brainerd!M17+Brainerd!M33</f>
        <v>902105</v>
      </c>
      <c r="P11" s="134">
        <f>Brainerd!N17+Brainerd!N33</f>
        <v>977263</v>
      </c>
      <c r="Q11" s="134">
        <f>Brainerd!O17+Brainerd!O33</f>
        <v>983842</v>
      </c>
      <c r="R11" s="134">
        <f>Brainerd!P17+Brainerd!P33</f>
        <v>987950</v>
      </c>
      <c r="S11" s="134">
        <f>Brainerd!Q17+Brainerd!Q33</f>
        <v>1057248</v>
      </c>
      <c r="T11" s="137">
        <f>Brainerd!R17+Brainerd!R33</f>
        <v>532008</v>
      </c>
    </row>
    <row r="12" spans="1:21" ht="16.2" customHeight="1" x14ac:dyDescent="0.3">
      <c r="A12" s="208" t="s">
        <v>227</v>
      </c>
      <c r="B12" s="330">
        <v>5.0000000000000001E-3</v>
      </c>
      <c r="C12" s="236">
        <v>2019</v>
      </c>
      <c r="D12" s="211"/>
      <c r="E12" s="213"/>
      <c r="F12" s="131"/>
      <c r="G12" s="131"/>
      <c r="H12" s="131"/>
      <c r="I12" s="131"/>
      <c r="J12" s="134" t="s">
        <v>152</v>
      </c>
      <c r="K12" s="134" t="s">
        <v>152</v>
      </c>
      <c r="L12" s="134" t="s">
        <v>152</v>
      </c>
      <c r="M12" s="134" t="s">
        <v>152</v>
      </c>
      <c r="N12" s="134" t="s">
        <v>152</v>
      </c>
      <c r="O12" s="134" t="s">
        <v>152</v>
      </c>
      <c r="P12" s="134" t="s">
        <v>152</v>
      </c>
      <c r="Q12" s="134" t="s">
        <v>152</v>
      </c>
      <c r="R12" s="134" t="s">
        <v>152</v>
      </c>
      <c r="S12" s="134">
        <f>Cambridge!Q17+Cambridge!Q33</f>
        <v>231667</v>
      </c>
      <c r="T12" s="137">
        <f>Cambridge!R17+Cambridge!R33</f>
        <v>723288</v>
      </c>
    </row>
    <row r="13" spans="1:21" ht="16.2" customHeight="1" x14ac:dyDescent="0.3">
      <c r="A13" s="208" t="s">
        <v>5</v>
      </c>
      <c r="B13" s="331">
        <v>5.0000000000000001E-3</v>
      </c>
      <c r="C13" s="235">
        <v>2008</v>
      </c>
      <c r="D13" s="209" t="s">
        <v>152</v>
      </c>
      <c r="E13" s="215" t="s">
        <v>152</v>
      </c>
      <c r="F13" s="216" t="s">
        <v>152</v>
      </c>
      <c r="G13" s="134" t="s">
        <v>152</v>
      </c>
      <c r="H13" s="134">
        <f>Clearwater!F17+Clearwater!F33</f>
        <v>16142</v>
      </c>
      <c r="I13" s="134">
        <f>Clearwater!G17+Clearwater!G33</f>
        <v>143050</v>
      </c>
      <c r="J13" s="134">
        <f>Clearwater!H17+Clearwater!H33</f>
        <v>170377</v>
      </c>
      <c r="K13" s="134">
        <f>Clearwater!I17+Clearwater!I33</f>
        <v>301999</v>
      </c>
      <c r="L13" s="134">
        <f>Clearwater!J17+Clearwater!J33</f>
        <v>182010</v>
      </c>
      <c r="M13" s="134">
        <f>Clearwater!K17+Clearwater!K33</f>
        <v>188439</v>
      </c>
      <c r="N13" s="134">
        <f>Clearwater!L17+Clearwater!L33</f>
        <v>203748</v>
      </c>
      <c r="O13" s="134">
        <f>Clearwater!M17+Clearwater!M33</f>
        <v>222713</v>
      </c>
      <c r="P13" s="134">
        <f>Clearwater!N17+Clearwater!N33</f>
        <v>229316</v>
      </c>
      <c r="Q13" s="134">
        <f>Clearwater!O17+Clearwater!O33</f>
        <v>236923</v>
      </c>
      <c r="R13" s="134">
        <f>Clearwater!P17+Clearwater!P33</f>
        <v>231605</v>
      </c>
      <c r="S13" s="134">
        <f>Clearwater!Q17+Clearwater!Q33</f>
        <v>274291</v>
      </c>
      <c r="T13" s="137">
        <f>Clearwater!R17+Clearwater!R33</f>
        <v>125014</v>
      </c>
    </row>
    <row r="14" spans="1:21" ht="16.2" customHeight="1" x14ac:dyDescent="0.3">
      <c r="A14" s="208" t="s">
        <v>69</v>
      </c>
      <c r="B14" s="331">
        <v>5.0000000000000001E-3</v>
      </c>
      <c r="C14" s="235">
        <v>2013</v>
      </c>
      <c r="D14" s="209" t="s">
        <v>152</v>
      </c>
      <c r="E14" s="215" t="s">
        <v>152</v>
      </c>
      <c r="F14" s="216" t="s">
        <v>152</v>
      </c>
      <c r="G14" s="134" t="s">
        <v>152</v>
      </c>
      <c r="H14" s="134" t="s">
        <v>152</v>
      </c>
      <c r="I14" s="134" t="s">
        <v>152</v>
      </c>
      <c r="J14" s="134" t="s">
        <v>152</v>
      </c>
      <c r="K14" s="134" t="s">
        <v>152</v>
      </c>
      <c r="L14" s="134" t="s">
        <v>152</v>
      </c>
      <c r="M14" s="134">
        <f>Cloquet!K17+Cloquet!K33</f>
        <v>695762</v>
      </c>
      <c r="N14" s="134">
        <f>Cloquet!L17+Cloquet!L33</f>
        <v>1062906</v>
      </c>
      <c r="O14" s="134">
        <f>Cloquet!M17+Cloquet!M33</f>
        <v>1025314</v>
      </c>
      <c r="P14" s="134">
        <f>Cloquet!N17+Cloquet!N33</f>
        <v>972944</v>
      </c>
      <c r="Q14" s="134">
        <f>Cloquet!O17+Cloquet!O33</f>
        <v>992355</v>
      </c>
      <c r="R14" s="134">
        <f>Cloquet!P17+Cloquet!P33</f>
        <v>946332</v>
      </c>
      <c r="S14" s="134">
        <f>Cloquet!Q17+Cloquet!Q33</f>
        <v>1039266</v>
      </c>
      <c r="T14" s="137">
        <f>Cloquet!R17+Cloquet!R33</f>
        <v>512545</v>
      </c>
    </row>
    <row r="15" spans="1:21" ht="16.2" customHeight="1" x14ac:dyDescent="0.3">
      <c r="A15" s="208" t="s">
        <v>217</v>
      </c>
      <c r="B15" s="330">
        <v>5.0000000000000001E-3</v>
      </c>
      <c r="C15" s="236">
        <v>2019</v>
      </c>
      <c r="D15" s="211"/>
      <c r="E15" s="217"/>
      <c r="F15" s="218"/>
      <c r="G15" s="131"/>
      <c r="H15" s="131"/>
      <c r="I15" s="131"/>
      <c r="J15" s="134" t="s">
        <v>152</v>
      </c>
      <c r="K15" s="134" t="s">
        <v>152</v>
      </c>
      <c r="L15" s="134" t="s">
        <v>152</v>
      </c>
      <c r="M15" s="134" t="s">
        <v>152</v>
      </c>
      <c r="N15" s="134" t="s">
        <v>152</v>
      </c>
      <c r="O15" s="134" t="s">
        <v>152</v>
      </c>
      <c r="P15" s="134" t="s">
        <v>152</v>
      </c>
      <c r="Q15" s="134" t="s">
        <v>152</v>
      </c>
      <c r="R15" s="131">
        <f>'Detroit Lakes'!P17+'Detroit Lakes'!P33</f>
        <v>0</v>
      </c>
      <c r="S15" s="131">
        <f>'Detroit Lakes'!Q17+'Detroit Lakes'!Q33</f>
        <v>240455</v>
      </c>
      <c r="T15" s="303">
        <f>'Detroit Lakes'!R17+'Detroit Lakes'!R33</f>
        <v>731888</v>
      </c>
      <c r="U15" s="63"/>
    </row>
    <row r="16" spans="1:21" ht="16.2" customHeight="1" x14ac:dyDescent="0.3">
      <c r="A16" s="208" t="s">
        <v>6</v>
      </c>
      <c r="B16" s="331">
        <v>0.01</v>
      </c>
      <c r="C16" s="235">
        <v>1970</v>
      </c>
      <c r="D16" s="209" t="s">
        <v>152</v>
      </c>
      <c r="E16" s="214" t="s">
        <v>152</v>
      </c>
      <c r="F16" s="134">
        <f>Duluth!D17+Duluth!D33</f>
        <v>11398159.140000001</v>
      </c>
      <c r="G16" s="134">
        <f>Duluth!E17+Duluth!E33</f>
        <v>12225978.779999999</v>
      </c>
      <c r="H16" s="134">
        <f>Duluth!F17+Duluth!F33</f>
        <v>12194935.959999999</v>
      </c>
      <c r="I16" s="134">
        <f>Duluth!G17+Duluth!G33</f>
        <v>11641832</v>
      </c>
      <c r="J16" s="134">
        <f>Duluth!H17+Duluth!H33</f>
        <v>12084658</v>
      </c>
      <c r="K16" s="134">
        <f>Duluth!I17+Duluth!I33</f>
        <v>12708709</v>
      </c>
      <c r="L16" s="134">
        <f>Duluth!J17+Duluth!J33</f>
        <v>13068224</v>
      </c>
      <c r="M16" s="134">
        <f>Duluth!K17+Duluth!K33</f>
        <v>13685071</v>
      </c>
      <c r="N16" s="134">
        <f>Duluth!L17+Duluth!L33</f>
        <v>14274808</v>
      </c>
      <c r="O16" s="134">
        <f>Duluth!M17+Duluth!M33</f>
        <v>14713316</v>
      </c>
      <c r="P16" s="134">
        <f>Duluth!N17+Duluth!N33</f>
        <v>14582992</v>
      </c>
      <c r="Q16" s="134">
        <f>Duluth!O17+Duluth!O33</f>
        <v>14506564</v>
      </c>
      <c r="R16" s="134">
        <f>Duluth!P17+Duluth!P33</f>
        <v>15139729</v>
      </c>
      <c r="S16" s="134">
        <f>Duluth!Q17+Duluth!Q33</f>
        <v>16717760</v>
      </c>
      <c r="T16" s="137">
        <f>Duluth!R17+Duluth!R33</f>
        <v>10006347</v>
      </c>
    </row>
    <row r="17" spans="1:20" ht="16.2" customHeight="1" x14ac:dyDescent="0.3">
      <c r="A17" s="208" t="s">
        <v>159</v>
      </c>
      <c r="B17" s="330">
        <v>0.01</v>
      </c>
      <c r="C17" s="236">
        <v>2018</v>
      </c>
      <c r="D17" s="211" t="s">
        <v>152</v>
      </c>
      <c r="E17" s="213" t="s">
        <v>152</v>
      </c>
      <c r="F17" s="131" t="s">
        <v>152</v>
      </c>
      <c r="G17" s="131" t="s">
        <v>152</v>
      </c>
      <c r="H17" s="131" t="s">
        <v>152</v>
      </c>
      <c r="I17" s="131" t="s">
        <v>152</v>
      </c>
      <c r="J17" s="131" t="s">
        <v>152</v>
      </c>
      <c r="K17" s="131" t="s">
        <v>152</v>
      </c>
      <c r="L17" s="131" t="s">
        <v>152</v>
      </c>
      <c r="M17" s="131" t="s">
        <v>152</v>
      </c>
      <c r="N17" s="131" t="s">
        <v>152</v>
      </c>
      <c r="O17" s="131" t="s">
        <v>152</v>
      </c>
      <c r="P17" s="131" t="s">
        <v>152</v>
      </c>
      <c r="Q17" s="131" t="s">
        <v>152</v>
      </c>
      <c r="R17" s="131">
        <f>'East Grand Forks'!P17+'East Grand Forks'!P33</f>
        <v>831794</v>
      </c>
      <c r="S17" s="228">
        <f>'East Grand Forks'!Q17+'East Grand Forks'!Q33</f>
        <v>1027810</v>
      </c>
      <c r="T17" s="244">
        <f>'East Grand Forks'!R17+'East Grand Forks'!R33</f>
        <v>481286</v>
      </c>
    </row>
    <row r="18" spans="1:20" ht="16.2" customHeight="1" x14ac:dyDescent="0.3">
      <c r="A18" s="208" t="s">
        <v>228</v>
      </c>
      <c r="B18" s="331">
        <v>5.0000000000000001E-3</v>
      </c>
      <c r="C18" s="235">
        <v>2019</v>
      </c>
      <c r="D18" s="209"/>
      <c r="E18" s="214"/>
      <c r="F18" s="134"/>
      <c r="G18" s="134"/>
      <c r="H18" s="134"/>
      <c r="I18" s="134"/>
      <c r="J18" s="134" t="s">
        <v>152</v>
      </c>
      <c r="K18" s="134" t="s">
        <v>152</v>
      </c>
      <c r="L18" s="134" t="s">
        <v>152</v>
      </c>
      <c r="M18" s="134" t="s">
        <v>152</v>
      </c>
      <c r="N18" s="134" t="s">
        <v>152</v>
      </c>
      <c r="O18" s="134" t="s">
        <v>152</v>
      </c>
      <c r="P18" s="134" t="s">
        <v>152</v>
      </c>
      <c r="Q18" s="134" t="s">
        <v>152</v>
      </c>
      <c r="R18" s="134" t="s">
        <v>152</v>
      </c>
      <c r="S18" s="228">
        <f>'Elk River'!Q17+'Elk River'!Q33</f>
        <v>429783</v>
      </c>
      <c r="T18" s="244">
        <f>'Elk River'!R17+'Elk River'!R33</f>
        <v>1402378</v>
      </c>
    </row>
    <row r="19" spans="1:20" ht="16.2" customHeight="1" x14ac:dyDescent="0.3">
      <c r="A19" s="208" t="s">
        <v>229</v>
      </c>
      <c r="B19" s="330">
        <v>5.0000000000000001E-3</v>
      </c>
      <c r="C19" s="236">
        <v>2019</v>
      </c>
      <c r="D19" s="211"/>
      <c r="E19" s="213"/>
      <c r="F19" s="131"/>
      <c r="G19" s="131"/>
      <c r="H19" s="131"/>
      <c r="I19" s="131"/>
      <c r="J19" s="134" t="s">
        <v>152</v>
      </c>
      <c r="K19" s="134" t="s">
        <v>152</v>
      </c>
      <c r="L19" s="134" t="s">
        <v>152</v>
      </c>
      <c r="M19" s="134" t="s">
        <v>152</v>
      </c>
      <c r="N19" s="134" t="s">
        <v>152</v>
      </c>
      <c r="O19" s="134" t="s">
        <v>152</v>
      </c>
      <c r="P19" s="134" t="s">
        <v>152</v>
      </c>
      <c r="Q19" s="134" t="s">
        <v>152</v>
      </c>
      <c r="R19" s="134" t="s">
        <v>152</v>
      </c>
      <c r="S19" s="228">
        <f>Excelsior!Q17+Excelsior!Q33</f>
        <v>79350</v>
      </c>
      <c r="T19" s="244">
        <f>Excelsior!R17+Excelsior!R33</f>
        <v>318919</v>
      </c>
    </row>
    <row r="20" spans="1:20" ht="16.2" customHeight="1" x14ac:dyDescent="0.3">
      <c r="A20" s="208" t="s">
        <v>132</v>
      </c>
      <c r="B20" s="331">
        <v>5.0000000000000001E-3</v>
      </c>
      <c r="C20" s="235">
        <v>2017</v>
      </c>
      <c r="D20" s="209" t="s">
        <v>152</v>
      </c>
      <c r="E20" s="214" t="s">
        <v>152</v>
      </c>
      <c r="F20" s="134" t="s">
        <v>152</v>
      </c>
      <c r="G20" s="134" t="s">
        <v>152</v>
      </c>
      <c r="H20" s="134" t="s">
        <v>152</v>
      </c>
      <c r="I20" s="134" t="s">
        <v>152</v>
      </c>
      <c r="J20" s="134" t="s">
        <v>152</v>
      </c>
      <c r="K20" s="134" t="s">
        <v>152</v>
      </c>
      <c r="L20" s="134" t="s">
        <v>152</v>
      </c>
      <c r="M20" s="134" t="s">
        <v>152</v>
      </c>
      <c r="N20" s="134" t="s">
        <v>152</v>
      </c>
      <c r="O20" s="134" t="s">
        <v>152</v>
      </c>
      <c r="P20" s="134" t="s">
        <v>152</v>
      </c>
      <c r="Q20" s="134">
        <f>Fairmont!O17+Fairmont!O33</f>
        <v>111444</v>
      </c>
      <c r="R20" s="134">
        <f>Fairmont!P17+Fairmont!P33</f>
        <v>737304</v>
      </c>
      <c r="S20" s="228">
        <f>Fairmont!Q17+Fairmont!Q33</f>
        <v>905993</v>
      </c>
      <c r="T20" s="244">
        <f>Fairmont!R17+Fairmont!R33</f>
        <v>445040</v>
      </c>
    </row>
    <row r="21" spans="1:20" ht="16.2" customHeight="1" x14ac:dyDescent="0.3">
      <c r="A21" s="208" t="s">
        <v>7</v>
      </c>
      <c r="B21" s="330">
        <v>5.0000000000000001E-3</v>
      </c>
      <c r="C21" s="236" t="s">
        <v>88</v>
      </c>
      <c r="D21" s="325" t="s">
        <v>152</v>
      </c>
      <c r="E21" s="220" t="s">
        <v>152</v>
      </c>
      <c r="F21" s="221" t="s">
        <v>152</v>
      </c>
      <c r="G21" s="326" t="s">
        <v>152</v>
      </c>
      <c r="H21" s="223" t="s">
        <v>152</v>
      </c>
      <c r="I21" s="223" t="s">
        <v>152</v>
      </c>
      <c r="J21" s="223" t="s">
        <v>152</v>
      </c>
      <c r="K21" s="223" t="s">
        <v>152</v>
      </c>
      <c r="L21" s="131">
        <f>'Fergus Falls'!J17+'Fergus Falls'!J33</f>
        <v>1019239</v>
      </c>
      <c r="M21" s="223">
        <f>'Fergus Falls'!K17+'Fergus Falls'!K33</f>
        <v>1189756</v>
      </c>
      <c r="N21" s="131">
        <f>'Fergus Falls'!L17+'Fergus Falls'!L33</f>
        <v>1312750</v>
      </c>
      <c r="O21" s="131">
        <f>'Fergus Falls'!M17+'Fergus Falls'!M33</f>
        <v>1271971</v>
      </c>
      <c r="P21" s="131">
        <f>'Fergus Falls'!N17+'Fergus Falls'!N33</f>
        <v>1290648</v>
      </c>
      <c r="Q21" s="241">
        <f>'Fergus Falls'!O17+'Fergus Falls'!O33</f>
        <v>150112</v>
      </c>
      <c r="R21" s="241">
        <f>'Fergus Falls'!P17+'Fergus Falls'!P33</f>
        <v>1191244</v>
      </c>
      <c r="S21" s="241">
        <f>'Fergus Falls'!Q17+'Fergus Falls'!Q33</f>
        <v>1346150</v>
      </c>
      <c r="T21" s="343">
        <f>'Fergus Falls'!R17+'Fergus Falls'!R33</f>
        <v>649956</v>
      </c>
    </row>
    <row r="22" spans="1:20" ht="16.2" customHeight="1" x14ac:dyDescent="0.3">
      <c r="A22" s="208" t="s">
        <v>232</v>
      </c>
      <c r="B22" s="331">
        <v>5.0000000000000001E-3</v>
      </c>
      <c r="C22" s="235">
        <v>2020</v>
      </c>
      <c r="D22" s="219"/>
      <c r="E22" s="328"/>
      <c r="F22" s="329"/>
      <c r="G22" s="222"/>
      <c r="H22" s="222"/>
      <c r="I22" s="222"/>
      <c r="J22" s="134" t="s">
        <v>152</v>
      </c>
      <c r="K22" s="134" t="s">
        <v>152</v>
      </c>
      <c r="L22" s="134" t="s">
        <v>152</v>
      </c>
      <c r="M22" s="134" t="s">
        <v>152</v>
      </c>
      <c r="N22" s="134" t="s">
        <v>152</v>
      </c>
      <c r="O22" s="134" t="s">
        <v>152</v>
      </c>
      <c r="P22" s="134" t="s">
        <v>152</v>
      </c>
      <c r="Q22" s="222" t="s">
        <v>152</v>
      </c>
      <c r="R22" s="222" t="s">
        <v>152</v>
      </c>
      <c r="S22" s="134" t="s">
        <v>152</v>
      </c>
      <c r="T22" s="344">
        <f>Glenwood!R17+Glenwood!R33</f>
        <v>81791</v>
      </c>
    </row>
    <row r="23" spans="1:20" ht="16.2" customHeight="1" x14ac:dyDescent="0.3">
      <c r="A23" s="208" t="s">
        <v>167</v>
      </c>
      <c r="B23" s="332">
        <v>0.01</v>
      </c>
      <c r="C23" s="237">
        <v>2018</v>
      </c>
      <c r="D23" s="226" t="s">
        <v>152</v>
      </c>
      <c r="E23" s="228" t="s">
        <v>152</v>
      </c>
      <c r="F23" s="131" t="s">
        <v>152</v>
      </c>
      <c r="G23" s="131" t="s">
        <v>152</v>
      </c>
      <c r="H23" s="131" t="s">
        <v>152</v>
      </c>
      <c r="I23" s="228" t="s">
        <v>152</v>
      </c>
      <c r="J23" s="228" t="s">
        <v>152</v>
      </c>
      <c r="K23" s="228" t="s">
        <v>152</v>
      </c>
      <c r="L23" s="228" t="s">
        <v>152</v>
      </c>
      <c r="M23" s="327" t="s">
        <v>152</v>
      </c>
      <c r="N23" s="228" t="s">
        <v>152</v>
      </c>
      <c r="O23" s="228" t="s">
        <v>152</v>
      </c>
      <c r="P23" s="228" t="s">
        <v>152</v>
      </c>
      <c r="Q23" s="228" t="s">
        <v>152</v>
      </c>
      <c r="R23" s="228">
        <f>'GKWMLL Sanitary'!P17+'GKWMLL Sanitary'!P33</f>
        <v>170491</v>
      </c>
      <c r="S23" s="228">
        <f>'GKWMLL Sanitary'!Q17+'GKWMLL Sanitary'!Q33</f>
        <v>186102</v>
      </c>
      <c r="T23" s="244">
        <f>'GKWMLL Sanitary'!R17+'GKWMLL Sanitary'!R33</f>
        <v>87130</v>
      </c>
    </row>
    <row r="24" spans="1:20" ht="16.2" customHeight="1" x14ac:dyDescent="0.3">
      <c r="A24" s="208" t="s">
        <v>8</v>
      </c>
      <c r="B24" s="330" t="s">
        <v>83</v>
      </c>
      <c r="C24" s="236" t="s">
        <v>84</v>
      </c>
      <c r="D24" s="308">
        <f>Hermantown!B17+Hermantown!B33</f>
        <v>1099764.55</v>
      </c>
      <c r="E24" s="309">
        <f>Hermantown!C17+Hermantown!C33</f>
        <v>1153668.9500000002</v>
      </c>
      <c r="F24" s="134">
        <f>Hermantown!D17+Hermantown!D33</f>
        <v>1137678.43</v>
      </c>
      <c r="G24" s="134">
        <f>Hermantown!E17+Hermantown!E33</f>
        <v>1193037.1100000001</v>
      </c>
      <c r="H24" s="134">
        <f>Hermantown!F17+Hermantown!F33</f>
        <v>1109705.03</v>
      </c>
      <c r="I24" s="131">
        <f>Hermantown!G17+Hermantown!G33</f>
        <v>1127223</v>
      </c>
      <c r="J24" s="131">
        <f>Hermantown!H17+Hermantown!H33</f>
        <v>1134116</v>
      </c>
      <c r="K24" s="131">
        <f>Hermantown!I17+Hermantown!I33</f>
        <v>1169932</v>
      </c>
      <c r="L24" s="131">
        <f>Hermantown!J17+Hermantown!J33</f>
        <v>1224434</v>
      </c>
      <c r="M24" s="131">
        <f>Hermantown!K17+Hermantown!K33</f>
        <v>2089558</v>
      </c>
      <c r="N24" s="131">
        <f>Hermantown!L17+Hermantown!L33</f>
        <v>2536381</v>
      </c>
      <c r="O24" s="131">
        <f>Hermantown!M17+Hermantown!M33</f>
        <v>2742273</v>
      </c>
      <c r="P24" s="131">
        <f>Hermantown!N17+Hermantown!N33</f>
        <v>3023197</v>
      </c>
      <c r="Q24" s="131">
        <f>Hermantown!O17+Hermantown!O33</f>
        <v>2965284</v>
      </c>
      <c r="R24" s="131">
        <f>Hermantown!P17+Hermantown!P33</f>
        <v>3032741</v>
      </c>
      <c r="S24" s="131">
        <f>Hermantown!Q17+Hermantown!Q33</f>
        <v>3117105</v>
      </c>
      <c r="T24" s="303">
        <f>Hermantown!R17+Hermantown!R33</f>
        <v>1517669</v>
      </c>
    </row>
    <row r="25" spans="1:20" ht="16.2" customHeight="1" x14ac:dyDescent="0.3">
      <c r="A25" s="208" t="s">
        <v>9</v>
      </c>
      <c r="B25" s="331">
        <v>5.0000000000000001E-3</v>
      </c>
      <c r="C25" s="235">
        <v>2012</v>
      </c>
      <c r="D25" s="209" t="s">
        <v>152</v>
      </c>
      <c r="E25" s="215" t="s">
        <v>152</v>
      </c>
      <c r="F25" s="216" t="s">
        <v>152</v>
      </c>
      <c r="G25" s="134" t="s">
        <v>152</v>
      </c>
      <c r="H25" s="134" t="s">
        <v>152</v>
      </c>
      <c r="I25" s="134" t="s">
        <v>152</v>
      </c>
      <c r="J25" s="134" t="s">
        <v>152</v>
      </c>
      <c r="K25" s="134" t="s">
        <v>152</v>
      </c>
      <c r="L25" s="134">
        <f>Hutchinson!J17+Hutchinson!J33</f>
        <v>1193556</v>
      </c>
      <c r="M25" s="134">
        <f>Hutchinson!K17+Hutchinson!K33</f>
        <v>1432169</v>
      </c>
      <c r="N25" s="134">
        <f>Hutchinson!L17+Hutchinson!L33</f>
        <v>1454190</v>
      </c>
      <c r="O25" s="134">
        <f>Hutchinson!M17+Hutchinson!M33</f>
        <v>1448877</v>
      </c>
      <c r="P25" s="134">
        <f>Hutchinson!N17+Hutchinson!N33</f>
        <v>1359565</v>
      </c>
      <c r="Q25" s="134">
        <f>Hutchinson!O17+Hutchinson!O33</f>
        <v>1460758</v>
      </c>
      <c r="R25" s="134">
        <f>Hutchinson!P17+Hutchinson!P33</f>
        <v>1496046</v>
      </c>
      <c r="S25" s="134">
        <f>Hutchinson!Q17+Hutchinson!Q33</f>
        <v>1542159</v>
      </c>
      <c r="T25" s="137">
        <f>Hutchinson!R17+Hutchinson!R33</f>
        <v>772446</v>
      </c>
    </row>
    <row r="26" spans="1:20" ht="16.2" customHeight="1" x14ac:dyDescent="0.3">
      <c r="A26" s="208" t="s">
        <v>230</v>
      </c>
      <c r="B26" s="331">
        <v>0.01</v>
      </c>
      <c r="C26" s="235">
        <v>2019</v>
      </c>
      <c r="D26" s="209"/>
      <c r="E26" s="215"/>
      <c r="F26" s="216"/>
      <c r="G26" s="134"/>
      <c r="H26" s="134"/>
      <c r="I26" s="134"/>
      <c r="J26" s="134" t="s">
        <v>152</v>
      </c>
      <c r="K26" s="134" t="s">
        <v>152</v>
      </c>
      <c r="L26" s="134" t="s">
        <v>152</v>
      </c>
      <c r="M26" s="134" t="s">
        <v>152</v>
      </c>
      <c r="N26" s="134" t="s">
        <v>152</v>
      </c>
      <c r="O26" s="134" t="s">
        <v>152</v>
      </c>
      <c r="P26" s="134" t="s">
        <v>152</v>
      </c>
      <c r="Q26" s="134" t="s">
        <v>152</v>
      </c>
      <c r="R26" s="134" t="s">
        <v>152</v>
      </c>
      <c r="S26" s="134">
        <f>'Int. Falls'!Q17+'Int. Falls'!Q33</f>
        <v>161656</v>
      </c>
      <c r="T26" s="137">
        <f>'Int. Falls'!R17+'Int. Falls'!R33</f>
        <v>473776</v>
      </c>
    </row>
    <row r="27" spans="1:20" ht="16.2" customHeight="1" x14ac:dyDescent="0.3">
      <c r="A27" s="208" t="s">
        <v>10</v>
      </c>
      <c r="B27" s="330">
        <v>5.0000000000000001E-3</v>
      </c>
      <c r="C27" s="236">
        <v>2012</v>
      </c>
      <c r="D27" s="211" t="s">
        <v>152</v>
      </c>
      <c r="E27" s="217" t="s">
        <v>152</v>
      </c>
      <c r="F27" s="218" t="s">
        <v>152</v>
      </c>
      <c r="G27" s="131" t="s">
        <v>152</v>
      </c>
      <c r="H27" s="131" t="s">
        <v>152</v>
      </c>
      <c r="I27" s="131" t="s">
        <v>152</v>
      </c>
      <c r="J27" s="131" t="s">
        <v>152</v>
      </c>
      <c r="K27" s="131" t="s">
        <v>152</v>
      </c>
      <c r="L27" s="131">
        <f>Lanesboro!J17+Lanesboro!J33</f>
        <v>47126</v>
      </c>
      <c r="M27" s="131">
        <f>Lanesboro!K17+Lanesboro!K33</f>
        <v>79416</v>
      </c>
      <c r="N27" s="131">
        <f>Lanesboro!L17+Lanesboro!L33</f>
        <v>71540</v>
      </c>
      <c r="O27" s="131">
        <f>Lanesboro!M17+Lanesboro!M33</f>
        <v>60247</v>
      </c>
      <c r="P27" s="131">
        <f>Lanesboro!N17+Lanesboro!N33</f>
        <v>60541</v>
      </c>
      <c r="Q27" s="131">
        <f>Lanesboro!O17+Lanesboro!O33</f>
        <v>58735</v>
      </c>
      <c r="R27" s="131">
        <f>Lanesboro!P17+Lanesboro!P33</f>
        <v>56545</v>
      </c>
      <c r="S27" s="228">
        <f>Lanesboro!Q17+Lanesboro!Q33</f>
        <v>56251</v>
      </c>
      <c r="T27" s="137">
        <f>Lanesboro!R17+Lanesboro!R33</f>
        <v>26700</v>
      </c>
    </row>
    <row r="28" spans="1:20" ht="16.2" customHeight="1" x14ac:dyDescent="0.3">
      <c r="A28" s="208" t="s">
        <v>11</v>
      </c>
      <c r="B28" s="331">
        <v>5.0000000000000001E-3</v>
      </c>
      <c r="C28" s="235">
        <v>1992</v>
      </c>
      <c r="D28" s="224">
        <f>Mankato!B17+Mankato!B33</f>
        <v>3810404.94</v>
      </c>
      <c r="E28" s="134">
        <f>Mankato!C17+Mankato!C33</f>
        <v>4386026.41</v>
      </c>
      <c r="F28" s="134">
        <f>Mankato!D17+Mankato!D33</f>
        <v>4128429.0300000007</v>
      </c>
      <c r="G28" s="134">
        <f>Mankato!E17+Mankato!E33</f>
        <v>4334355.5199999996</v>
      </c>
      <c r="H28" s="134">
        <f>Mankato!F17+Mankato!F33</f>
        <v>4388499.2299999995</v>
      </c>
      <c r="I28" s="134">
        <f>Mankato!G17+Mankato!G33</f>
        <v>4381403</v>
      </c>
      <c r="J28" s="134">
        <f>Mankato!H17+Mankato!H33</f>
        <v>4520952</v>
      </c>
      <c r="K28" s="134">
        <f>Mankato!I17+Mankato!I33</f>
        <v>4702420</v>
      </c>
      <c r="L28" s="134">
        <f>Mankato!J17+Mankato!J33</f>
        <v>4881939</v>
      </c>
      <c r="M28" s="134">
        <f>Mankato!K17+Mankato!K33</f>
        <v>4974848</v>
      </c>
      <c r="N28" s="134">
        <f>Mankato!L17+Mankato!L33</f>
        <v>5200056</v>
      </c>
      <c r="O28" s="134">
        <f>Mankato!M17+Mankato!M33</f>
        <v>5528901</v>
      </c>
      <c r="P28" s="134">
        <f>Mankato!N17+Mankato!N33</f>
        <v>5310929</v>
      </c>
      <c r="Q28" s="134">
        <f>Mankato!O17+Mankato!O33</f>
        <v>5278358</v>
      </c>
      <c r="R28" s="134">
        <f>Mankato!P17+Mankato!P33</f>
        <v>5470229</v>
      </c>
      <c r="S28" s="228">
        <f>Mankato!Q17+Mankato!Q33</f>
        <v>5457748</v>
      </c>
      <c r="T28" s="244">
        <f>Mankato!R17+Mankato!R33</f>
        <v>2549306</v>
      </c>
    </row>
    <row r="29" spans="1:20" ht="16.2" customHeight="1" x14ac:dyDescent="0.3">
      <c r="A29" s="208" t="s">
        <v>72</v>
      </c>
      <c r="B29" s="330">
        <v>5.0000000000000001E-3</v>
      </c>
      <c r="C29" s="236">
        <v>2013</v>
      </c>
      <c r="D29" s="211" t="s">
        <v>152</v>
      </c>
      <c r="E29" s="131" t="s">
        <v>152</v>
      </c>
      <c r="F29" s="131" t="s">
        <v>152</v>
      </c>
      <c r="G29" s="131" t="s">
        <v>152</v>
      </c>
      <c r="H29" s="131" t="s">
        <v>152</v>
      </c>
      <c r="I29" s="131" t="s">
        <v>152</v>
      </c>
      <c r="J29" s="131" t="s">
        <v>152</v>
      </c>
      <c r="K29" s="131" t="s">
        <v>152</v>
      </c>
      <c r="L29" s="131" t="s">
        <v>152</v>
      </c>
      <c r="M29" s="131">
        <f>Marshall!K17+Marshall!K33</f>
        <v>894350</v>
      </c>
      <c r="N29" s="131">
        <f>Marshall!L17+Marshall!L33</f>
        <v>1426252</v>
      </c>
      <c r="O29" s="131">
        <f>Marshall!M17+Marshall!M33</f>
        <v>1497721</v>
      </c>
      <c r="P29" s="131">
        <f>Marshall!N17+Marshall!N33</f>
        <v>1491442</v>
      </c>
      <c r="Q29" s="131">
        <f>Marshall!O17+Marshall!O33</f>
        <v>1420915</v>
      </c>
      <c r="R29" s="131">
        <f>Marshall!P17+Marshall!P33</f>
        <v>1448495</v>
      </c>
      <c r="S29" s="228">
        <f>Marshall!Q17+Marshall!Q33</f>
        <v>1535398</v>
      </c>
      <c r="T29" s="244">
        <f>Marshall!R17+Marshall!R33</f>
        <v>619785</v>
      </c>
    </row>
    <row r="30" spans="1:20" ht="16.2" customHeight="1" x14ac:dyDescent="0.3">
      <c r="A30" s="208" t="s">
        <v>75</v>
      </c>
      <c r="B30" s="331">
        <v>5.0000000000000001E-3</v>
      </c>
      <c r="C30" s="235">
        <v>2013</v>
      </c>
      <c r="D30" s="209" t="s">
        <v>152</v>
      </c>
      <c r="E30" s="214" t="s">
        <v>152</v>
      </c>
      <c r="F30" s="134" t="s">
        <v>152</v>
      </c>
      <c r="G30" s="134" t="s">
        <v>152</v>
      </c>
      <c r="H30" s="134" t="s">
        <v>152</v>
      </c>
      <c r="I30" s="134" t="s">
        <v>152</v>
      </c>
      <c r="J30" s="134" t="s">
        <v>152</v>
      </c>
      <c r="K30" s="134" t="s">
        <v>152</v>
      </c>
      <c r="L30" s="134" t="s">
        <v>152</v>
      </c>
      <c r="M30" s="134">
        <f>Medford!K17+Medford!K33</f>
        <v>81810</v>
      </c>
      <c r="N30" s="134">
        <f>Medford!L17+Medford!L33</f>
        <v>130260</v>
      </c>
      <c r="O30" s="134">
        <f>Medford!M17+Medford!M33</f>
        <v>148804</v>
      </c>
      <c r="P30" s="134">
        <f>Medford!N17+Medford!N33</f>
        <v>182890</v>
      </c>
      <c r="Q30" s="134">
        <f>Medford!O17+Medford!O33</f>
        <v>174459</v>
      </c>
      <c r="R30" s="134">
        <f>Medford!P17+Medford!P33</f>
        <v>146504</v>
      </c>
      <c r="S30" s="228">
        <f>Medford!Q17+Medford!Q33</f>
        <v>193596</v>
      </c>
      <c r="T30" s="244">
        <f>Medford!R17+Medford!R33</f>
        <v>77291</v>
      </c>
    </row>
    <row r="31" spans="1:20" ht="16.2" customHeight="1" x14ac:dyDescent="0.3">
      <c r="A31" s="208" t="s">
        <v>12</v>
      </c>
      <c r="B31" s="330">
        <v>5.0000000000000001E-3</v>
      </c>
      <c r="C31" s="236">
        <v>1987</v>
      </c>
      <c r="D31" s="225">
        <f>Minneapolis!B17+Minneapolis!B33</f>
        <v>26843648.899999995</v>
      </c>
      <c r="E31" s="213">
        <f>Minneapolis!C17+Minneapolis!C33</f>
        <v>28556269.890000001</v>
      </c>
      <c r="F31" s="131">
        <f>Minneapolis!D17+Minneapolis!D33</f>
        <v>28493947.789999999</v>
      </c>
      <c r="G31" s="131">
        <f>Minneapolis!E17+Minneapolis!E33</f>
        <v>30425380.839999996</v>
      </c>
      <c r="H31" s="131">
        <f>Minneapolis!F17+Minneapolis!F33</f>
        <v>30108224.960000001</v>
      </c>
      <c r="I31" s="131">
        <f>Minneapolis!G17+Minneapolis!G33</f>
        <v>27603226</v>
      </c>
      <c r="J31" s="131">
        <f>Minneapolis!H17+Minneapolis!H33</f>
        <v>27913705</v>
      </c>
      <c r="K31" s="131">
        <f>Minneapolis!I17+Minneapolis!I33</f>
        <v>30759503</v>
      </c>
      <c r="L31" s="131">
        <f>Minneapolis!J17+Minneapolis!J33</f>
        <v>32561414</v>
      </c>
      <c r="M31" s="131">
        <f>Minneapolis!K17+Minneapolis!K33</f>
        <v>33548740</v>
      </c>
      <c r="N31" s="131">
        <f>Minneapolis!L17+Minneapolis!L33</f>
        <v>35091142</v>
      </c>
      <c r="O31" s="131">
        <f>Minneapolis!M17+Minneapolis!M33</f>
        <v>36376863</v>
      </c>
      <c r="P31" s="131">
        <f>Minneapolis!N17+Minneapolis!N33</f>
        <v>37624600</v>
      </c>
      <c r="Q31" s="131">
        <f>Minneapolis!O17+Minneapolis!O33</f>
        <v>38296757</v>
      </c>
      <c r="R31" s="131">
        <f>Minneapolis!P17+Minneapolis!P33</f>
        <v>40343766</v>
      </c>
      <c r="S31" s="131">
        <f>Minneapolis!Q17+Minneapolis!Q33</f>
        <v>50818755</v>
      </c>
      <c r="T31" s="303">
        <f>Minneapolis!R17+Minneapolis!R33</f>
        <v>17693369</v>
      </c>
    </row>
    <row r="32" spans="1:20" ht="16.2" customHeight="1" x14ac:dyDescent="0.3">
      <c r="A32" s="208" t="s">
        <v>133</v>
      </c>
      <c r="B32" s="331">
        <v>5.0000000000000001E-3</v>
      </c>
      <c r="C32" s="235">
        <v>2017</v>
      </c>
      <c r="D32" s="224" t="s">
        <v>152</v>
      </c>
      <c r="E32" s="134" t="s">
        <v>152</v>
      </c>
      <c r="F32" s="134" t="s">
        <v>152</v>
      </c>
      <c r="G32" s="134" t="s">
        <v>152</v>
      </c>
      <c r="H32" s="134" t="s">
        <v>152</v>
      </c>
      <c r="I32" s="134" t="s">
        <v>152</v>
      </c>
      <c r="J32" s="134" t="s">
        <v>152</v>
      </c>
      <c r="K32" s="134" t="s">
        <v>152</v>
      </c>
      <c r="L32" s="134" t="s">
        <v>152</v>
      </c>
      <c r="M32" s="134" t="s">
        <v>152</v>
      </c>
      <c r="N32" s="134" t="s">
        <v>152</v>
      </c>
      <c r="O32" s="134" t="s">
        <v>152</v>
      </c>
      <c r="P32" s="134" t="s">
        <v>152</v>
      </c>
      <c r="Q32" s="134">
        <f>'Moose Lake'!O17+'Moose Lake'!O33</f>
        <v>30691</v>
      </c>
      <c r="R32" s="134">
        <f>'Moose Lake'!P17+'Moose Lake'!P33</f>
        <v>227643</v>
      </c>
      <c r="S32" s="134">
        <f>'Moose Lake'!Q17+'Moose Lake'!Q33</f>
        <v>234868</v>
      </c>
      <c r="T32" s="137">
        <f>'Moose Lake'!R17+'Moose Lake'!R33</f>
        <v>118485</v>
      </c>
    </row>
    <row r="33" spans="1:20" ht="16.2" customHeight="1" x14ac:dyDescent="0.3">
      <c r="A33" s="208" t="s">
        <v>134</v>
      </c>
      <c r="B33" s="330">
        <v>5.0000000000000001E-3</v>
      </c>
      <c r="C33" s="236">
        <v>2017</v>
      </c>
      <c r="D33" s="225" t="s">
        <v>152</v>
      </c>
      <c r="E33" s="131" t="s">
        <v>152</v>
      </c>
      <c r="F33" s="131" t="s">
        <v>152</v>
      </c>
      <c r="G33" s="131" t="s">
        <v>152</v>
      </c>
      <c r="H33" s="131" t="s">
        <v>152</v>
      </c>
      <c r="I33" s="131" t="s">
        <v>152</v>
      </c>
      <c r="J33" s="131" t="s">
        <v>152</v>
      </c>
      <c r="K33" s="131" t="s">
        <v>152</v>
      </c>
      <c r="L33" s="131" t="s">
        <v>152</v>
      </c>
      <c r="M33" s="131" t="s">
        <v>152</v>
      </c>
      <c r="N33" s="131" t="s">
        <v>152</v>
      </c>
      <c r="O33" s="131" t="s">
        <v>152</v>
      </c>
      <c r="P33" s="131" t="s">
        <v>152</v>
      </c>
      <c r="Q33" s="131">
        <f>'New London'!O17+'New London'!O33</f>
        <v>13625</v>
      </c>
      <c r="R33" s="131">
        <f>'New London'!P17+'New London'!P33</f>
        <v>101475</v>
      </c>
      <c r="S33" s="134">
        <f>'New London'!Q17+'New London'!Q33</f>
        <v>104459</v>
      </c>
      <c r="T33" s="137">
        <f>'New London'!R17+'New London'!R33</f>
        <v>43781</v>
      </c>
    </row>
    <row r="34" spans="1:20" ht="16.2" customHeight="1" x14ac:dyDescent="0.3">
      <c r="A34" s="208" t="s">
        <v>13</v>
      </c>
      <c r="B34" s="331">
        <v>5.0000000000000001E-3</v>
      </c>
      <c r="C34" s="235">
        <v>2001</v>
      </c>
      <c r="D34" s="224">
        <f>'New Ulm'!B17+'New Ulm'!B33</f>
        <v>787778.57</v>
      </c>
      <c r="E34" s="134">
        <f>'New Ulm'!C17+'New Ulm'!C33</f>
        <v>843200.59</v>
      </c>
      <c r="F34" s="134">
        <f>'New Ulm'!D17+'New Ulm'!D33</f>
        <v>886987.92</v>
      </c>
      <c r="G34" s="134">
        <f>'New Ulm'!E17+'New Ulm'!E33</f>
        <v>939424.6</v>
      </c>
      <c r="H34" s="134">
        <f>'New Ulm'!F17+'New Ulm'!F33</f>
        <v>933518.76</v>
      </c>
      <c r="I34" s="134">
        <f>'New Ulm'!G17+'New Ulm'!G33</f>
        <v>939757</v>
      </c>
      <c r="J34" s="134">
        <f>'New Ulm'!H17+'New Ulm'!H33</f>
        <v>993663</v>
      </c>
      <c r="K34" s="134">
        <f>'New Ulm'!I17+'New Ulm'!I33</f>
        <v>1022880</v>
      </c>
      <c r="L34" s="134">
        <f>'New Ulm'!J17+'New Ulm'!J33</f>
        <v>1062888</v>
      </c>
      <c r="M34" s="134">
        <f>'New Ulm'!K17+'New Ulm'!K33</f>
        <v>1233243</v>
      </c>
      <c r="N34" s="134">
        <f>'New Ulm'!L17+'New Ulm'!L33</f>
        <v>1355288</v>
      </c>
      <c r="O34" s="134">
        <f>'New Ulm'!M17+'New Ulm'!M33</f>
        <v>1215202</v>
      </c>
      <c r="P34" s="134">
        <f>'New Ulm'!N17+'New Ulm'!N33</f>
        <v>1183318</v>
      </c>
      <c r="Q34" s="134">
        <f>'New Ulm'!O17+'New Ulm'!O33</f>
        <v>1179289</v>
      </c>
      <c r="R34" s="134">
        <f>'New Ulm'!P17+'New Ulm'!P33</f>
        <v>1169691</v>
      </c>
      <c r="S34" s="228">
        <f>'New Ulm'!Q17+'New Ulm'!Q33</f>
        <v>1250751</v>
      </c>
      <c r="T34" s="244">
        <f>'New Ulm'!R17+'New Ulm'!R33</f>
        <v>647115</v>
      </c>
    </row>
    <row r="35" spans="1:20" ht="16.2" customHeight="1" x14ac:dyDescent="0.3">
      <c r="A35" s="208" t="s">
        <v>14</v>
      </c>
      <c r="B35" s="330">
        <v>5.0000000000000001E-3</v>
      </c>
      <c r="C35" s="236">
        <v>2008</v>
      </c>
      <c r="D35" s="211" t="s">
        <v>152</v>
      </c>
      <c r="E35" s="218" t="s">
        <v>152</v>
      </c>
      <c r="F35" s="218" t="s">
        <v>152</v>
      </c>
      <c r="G35" s="131" t="s">
        <v>152</v>
      </c>
      <c r="H35" s="131">
        <f>'North Mankato'!F17+'North Mankato'!F33</f>
        <v>49057</v>
      </c>
      <c r="I35" s="131">
        <f>'North Mankato'!G17+'North Mankato'!G33</f>
        <v>393426</v>
      </c>
      <c r="J35" s="131">
        <f>'North Mankato'!H17+'North Mankato'!H33</f>
        <v>463065</v>
      </c>
      <c r="K35" s="131">
        <f>'North Mankato'!I17+'North Mankato'!I33</f>
        <v>488382</v>
      </c>
      <c r="L35" s="131">
        <f>'North Mankato'!J17+'North Mankato'!J33</f>
        <v>568365</v>
      </c>
      <c r="M35" s="131">
        <f>'North Mankato'!K17+'North Mankato'!K33</f>
        <v>614733</v>
      </c>
      <c r="N35" s="131">
        <f>'North Mankato'!L17+'North Mankato'!L33</f>
        <v>617090</v>
      </c>
      <c r="O35" s="131">
        <f>'North Mankato'!M17+'North Mankato'!M33</f>
        <v>704161</v>
      </c>
      <c r="P35" s="131">
        <f>'North Mankato'!N17+'North Mankato'!N33</f>
        <v>636326</v>
      </c>
      <c r="Q35" s="131">
        <f>'North Mankato'!O17+'North Mankato'!O33</f>
        <v>640969</v>
      </c>
      <c r="R35" s="131">
        <f>'North Mankato'!P17+'North Mankato'!P33</f>
        <v>661719</v>
      </c>
      <c r="S35" s="131">
        <f>'North Mankato'!Q17+'North Mankato'!Q33</f>
        <v>700220</v>
      </c>
      <c r="T35" s="303">
        <f>'North Mankato'!R17+'North Mankato'!R33</f>
        <v>342923</v>
      </c>
    </row>
    <row r="36" spans="1:20" ht="16.2" customHeight="1" x14ac:dyDescent="0.3">
      <c r="A36" s="208" t="s">
        <v>15</v>
      </c>
      <c r="B36" s="331">
        <v>5.0000000000000001E-3</v>
      </c>
      <c r="C36" s="235" t="s">
        <v>87</v>
      </c>
      <c r="D36" s="209" t="s">
        <v>152</v>
      </c>
      <c r="E36" s="210" t="s">
        <v>152</v>
      </c>
      <c r="F36" s="134" t="s">
        <v>152</v>
      </c>
      <c r="G36" s="134">
        <f>Owatonna!E17+Owatonna!E33</f>
        <v>1240621.9700000002</v>
      </c>
      <c r="H36" s="134">
        <f>Owatonna!F17+Owatonna!F33</f>
        <v>1946355.9899999998</v>
      </c>
      <c r="I36" s="134">
        <f>Owatonna!G17+Owatonna!G33</f>
        <v>2092829</v>
      </c>
      <c r="J36" s="134">
        <f>Owatonna!H17+Owatonna!H33</f>
        <v>1886147</v>
      </c>
      <c r="K36" s="134">
        <f>Owatonna!I17+Owatonna!I33</f>
        <v>1224809</v>
      </c>
      <c r="L36" s="242">
        <f>Owatonna!J17+Owatonna!J33</f>
        <v>15330</v>
      </c>
      <c r="M36" s="242">
        <f>Owatonna!K17+Owatonna!K33</f>
        <v>7459</v>
      </c>
      <c r="N36" s="242">
        <f>Owatonna!L17+Owatonna!L33</f>
        <v>13127</v>
      </c>
      <c r="O36" s="242">
        <f>Owatonna!M17+Owatonna!M33</f>
        <v>3330</v>
      </c>
      <c r="P36" s="243">
        <f>Owatonna!N17+Owatonna!N33</f>
        <v>-3350</v>
      </c>
      <c r="Q36" s="243">
        <f>Owatonna!O17+Owatonna!O33</f>
        <v>-337</v>
      </c>
      <c r="R36" s="243">
        <f>Owatonna!P17+Owatonna!P33</f>
        <v>-45</v>
      </c>
      <c r="S36" s="324">
        <f>Owatonna!Q17+Owatonna!Q33</f>
        <v>6</v>
      </c>
      <c r="T36" s="245">
        <f>Owatonna!R17+Owatonna!R33</f>
        <v>0</v>
      </c>
    </row>
    <row r="37" spans="1:20" ht="16.2" customHeight="1" x14ac:dyDescent="0.3">
      <c r="A37" s="208" t="s">
        <v>233</v>
      </c>
      <c r="B37" s="331">
        <v>5.0000000000000001E-3</v>
      </c>
      <c r="C37" s="235">
        <v>2020</v>
      </c>
      <c r="D37" s="209"/>
      <c r="E37" s="210"/>
      <c r="F37" s="134"/>
      <c r="G37" s="134"/>
      <c r="H37" s="134"/>
      <c r="I37" s="134"/>
      <c r="J37" s="134" t="s">
        <v>152</v>
      </c>
      <c r="K37" s="134" t="s">
        <v>152</v>
      </c>
      <c r="L37" s="134" t="s">
        <v>152</v>
      </c>
      <c r="M37" s="134" t="s">
        <v>152</v>
      </c>
      <c r="N37" s="134" t="s">
        <v>152</v>
      </c>
      <c r="O37" s="134" t="s">
        <v>152</v>
      </c>
      <c r="P37" s="134" t="s">
        <v>152</v>
      </c>
      <c r="Q37" s="134" t="s">
        <v>152</v>
      </c>
      <c r="R37" s="134" t="s">
        <v>152</v>
      </c>
      <c r="S37" s="134" t="s">
        <v>152</v>
      </c>
      <c r="T37" s="345">
        <f>Perham!R17+Perham!R33</f>
        <v>187906</v>
      </c>
    </row>
    <row r="38" spans="1:20" ht="16.2" customHeight="1" x14ac:dyDescent="0.3">
      <c r="A38" s="208" t="s">
        <v>16</v>
      </c>
      <c r="B38" s="330" t="s">
        <v>83</v>
      </c>
      <c r="C38" s="236" t="s">
        <v>147</v>
      </c>
      <c r="D38" s="225">
        <f>Proctor!B17+Proctor!B33</f>
        <v>122678</v>
      </c>
      <c r="E38" s="213">
        <f>Proctor!C17+Proctor!C33</f>
        <v>126569.56</v>
      </c>
      <c r="F38" s="131">
        <f>Proctor!D17+Proctor!D33</f>
        <v>151314.59</v>
      </c>
      <c r="G38" s="131">
        <f>Proctor!E17+Proctor!E33</f>
        <v>132581.41</v>
      </c>
      <c r="H38" s="131">
        <f>Proctor!F17+Proctor!F33</f>
        <v>130167.10999999999</v>
      </c>
      <c r="I38" s="131">
        <f>Proctor!G17+Proctor!G33</f>
        <v>154416</v>
      </c>
      <c r="J38" s="131">
        <f>Proctor!H17+Proctor!H33</f>
        <v>150941</v>
      </c>
      <c r="K38" s="131">
        <f>Proctor!I17+Proctor!I33</f>
        <v>151106</v>
      </c>
      <c r="L38" s="131">
        <f>Proctor!J17+Proctor!J33</f>
        <v>162363</v>
      </c>
      <c r="M38" s="131">
        <f>Proctor!K17+Proctor!K33</f>
        <v>213830</v>
      </c>
      <c r="N38" s="131">
        <f>Proctor!L17+Proctor!L33</f>
        <v>183601</v>
      </c>
      <c r="O38" s="131">
        <f>Proctor!M17+Proctor!M33</f>
        <v>213021</v>
      </c>
      <c r="P38" s="131">
        <f>Proctor!N17+Proctor!N33</f>
        <v>221689</v>
      </c>
      <c r="Q38" s="131">
        <f>Proctor!O17+Proctor!O33</f>
        <v>236354</v>
      </c>
      <c r="R38" s="131">
        <f>Proctor!P17+Proctor!P33</f>
        <v>489792</v>
      </c>
      <c r="S38" s="228">
        <f>Proctor!Q17+Proctor!Q33</f>
        <v>405936</v>
      </c>
      <c r="T38" s="137">
        <f>Proctor!R17+Proctor!R33</f>
        <v>195249</v>
      </c>
    </row>
    <row r="39" spans="1:20" ht="16.2" customHeight="1" x14ac:dyDescent="0.3">
      <c r="A39" s="208" t="s">
        <v>17</v>
      </c>
      <c r="B39" s="333" t="s">
        <v>85</v>
      </c>
      <c r="C39" s="235" t="s">
        <v>86</v>
      </c>
      <c r="D39" s="224">
        <f>Rochester!B17+Rochester!B33</f>
        <v>8548150.040000001</v>
      </c>
      <c r="E39" s="134">
        <f>Rochester!C17+Rochester!C33</f>
        <v>8732500.0799999982</v>
      </c>
      <c r="F39" s="134">
        <f>Rochester!D17+Rochester!D33</f>
        <v>9255831.3800000008</v>
      </c>
      <c r="G39" s="134">
        <f>Rochester!E17+Rochester!E33</f>
        <v>9833630.3800000008</v>
      </c>
      <c r="H39" s="134">
        <f>Rochester!F17+Rochester!F33</f>
        <v>9482870.5700000003</v>
      </c>
      <c r="I39" s="134">
        <f>Rochester!G17+Rochester!G33</f>
        <v>9635634</v>
      </c>
      <c r="J39" s="134">
        <f>Rochester!H17+Rochester!H33</f>
        <v>9319670</v>
      </c>
      <c r="K39" s="134">
        <f>Rochester!I17+Rochester!I33</f>
        <v>9658017</v>
      </c>
      <c r="L39" s="134">
        <f>Rochester!J17+Rochester!J33</f>
        <v>10071132</v>
      </c>
      <c r="M39" s="134">
        <f>Rochester!K17+Rochester!K33</f>
        <v>10428422</v>
      </c>
      <c r="N39" s="134">
        <f>Rochester!L17+Rochester!L33</f>
        <v>11052708</v>
      </c>
      <c r="O39" s="134">
        <f>Rochester!M17+Rochester!M33</f>
        <v>11675132</v>
      </c>
      <c r="P39" s="134">
        <f>Rochester!N17+Rochester!N33</f>
        <v>16930492</v>
      </c>
      <c r="Q39" s="134">
        <f>Rochester!O17+Rochester!O33</f>
        <v>17890877</v>
      </c>
      <c r="R39" s="134">
        <f>Rochester!P17+Rochester!P33</f>
        <v>18722256</v>
      </c>
      <c r="S39" s="228">
        <f>Rochester!Q17+Rochester!Q33</f>
        <v>19392444</v>
      </c>
      <c r="T39" s="244">
        <f>Rochester!R17+Rochester!R33</f>
        <v>9018743</v>
      </c>
    </row>
    <row r="40" spans="1:20" ht="16.2" customHeight="1" x14ac:dyDescent="0.3">
      <c r="A40" s="208" t="s">
        <v>231</v>
      </c>
      <c r="B40" s="334">
        <v>2.5000000000000001E-3</v>
      </c>
      <c r="C40" s="236">
        <v>2019</v>
      </c>
      <c r="D40" s="225"/>
      <c r="E40" s="213"/>
      <c r="F40" s="131"/>
      <c r="G40" s="131"/>
      <c r="H40" s="131"/>
      <c r="I40" s="131"/>
      <c r="J40" s="134" t="s">
        <v>152</v>
      </c>
      <c r="K40" s="134" t="s">
        <v>152</v>
      </c>
      <c r="L40" s="134" t="s">
        <v>152</v>
      </c>
      <c r="M40" s="134" t="s">
        <v>152</v>
      </c>
      <c r="N40" s="134" t="s">
        <v>152</v>
      </c>
      <c r="O40" s="134" t="s">
        <v>152</v>
      </c>
      <c r="P40" s="134" t="s">
        <v>152</v>
      </c>
      <c r="Q40" s="134" t="s">
        <v>152</v>
      </c>
      <c r="R40" s="134" t="s">
        <v>152</v>
      </c>
      <c r="S40" s="228">
        <f>Rogers!Q17+Rogers!Q33</f>
        <v>161847</v>
      </c>
      <c r="T40" s="244">
        <f>Rogers!R17+Rogers!R33</f>
        <v>541927</v>
      </c>
    </row>
    <row r="41" spans="1:20" ht="16.2" customHeight="1" x14ac:dyDescent="0.3">
      <c r="A41" s="208" t="s">
        <v>286</v>
      </c>
      <c r="B41" s="333">
        <v>5.0000000000000001E-3</v>
      </c>
      <c r="C41" s="235">
        <v>2020</v>
      </c>
      <c r="D41" s="224"/>
      <c r="E41" s="214"/>
      <c r="F41" s="134"/>
      <c r="G41" s="134"/>
      <c r="H41" s="134"/>
      <c r="I41" s="134"/>
      <c r="J41" s="134" t="s">
        <v>152</v>
      </c>
      <c r="K41" s="134" t="s">
        <v>152</v>
      </c>
      <c r="L41" s="134" t="s">
        <v>152</v>
      </c>
      <c r="M41" s="134" t="s">
        <v>152</v>
      </c>
      <c r="N41" s="134" t="s">
        <v>152</v>
      </c>
      <c r="O41" s="134" t="s">
        <v>152</v>
      </c>
      <c r="P41" s="134" t="s">
        <v>152</v>
      </c>
      <c r="Q41" s="134" t="s">
        <v>152</v>
      </c>
      <c r="R41" s="134" t="s">
        <v>152</v>
      </c>
      <c r="S41" s="134" t="s">
        <v>152</v>
      </c>
      <c r="T41" s="244">
        <f>'Sauk Centre'!R17+'Sauk Centre'!R33</f>
        <v>195515</v>
      </c>
    </row>
    <row r="42" spans="1:20" ht="16.2" customHeight="1" x14ac:dyDescent="0.3">
      <c r="A42" s="208" t="s">
        <v>236</v>
      </c>
      <c r="B42" s="333">
        <v>5.0000000000000001E-3</v>
      </c>
      <c r="C42" s="235">
        <v>2020</v>
      </c>
      <c r="D42" s="224"/>
      <c r="E42" s="214"/>
      <c r="F42" s="134"/>
      <c r="G42" s="134"/>
      <c r="H42" s="134"/>
      <c r="I42" s="134"/>
      <c r="J42" s="134" t="s">
        <v>152</v>
      </c>
      <c r="K42" s="134" t="s">
        <v>152</v>
      </c>
      <c r="L42" s="134" t="s">
        <v>152</v>
      </c>
      <c r="M42" s="134" t="s">
        <v>152</v>
      </c>
      <c r="N42" s="134" t="s">
        <v>152</v>
      </c>
      <c r="O42" s="134" t="s">
        <v>152</v>
      </c>
      <c r="P42" s="134" t="s">
        <v>152</v>
      </c>
      <c r="Q42" s="134" t="s">
        <v>152</v>
      </c>
      <c r="R42" s="134" t="s">
        <v>152</v>
      </c>
      <c r="S42" s="134" t="s">
        <v>152</v>
      </c>
      <c r="T42" s="244">
        <f>Scanlon!R17+Scanlon!R33</f>
        <v>14712</v>
      </c>
    </row>
    <row r="43" spans="1:20" ht="16.2" customHeight="1" x14ac:dyDescent="0.3">
      <c r="A43" s="208" t="s">
        <v>135</v>
      </c>
      <c r="B43" s="334">
        <v>5.0000000000000001E-3</v>
      </c>
      <c r="C43" s="236">
        <v>2017</v>
      </c>
      <c r="D43" s="225" t="s">
        <v>152</v>
      </c>
      <c r="E43" s="213" t="s">
        <v>152</v>
      </c>
      <c r="F43" s="131" t="s">
        <v>152</v>
      </c>
      <c r="G43" s="131" t="s">
        <v>152</v>
      </c>
      <c r="H43" s="131" t="s">
        <v>152</v>
      </c>
      <c r="I43" s="131" t="s">
        <v>152</v>
      </c>
      <c r="J43" s="131" t="s">
        <v>152</v>
      </c>
      <c r="K43" s="131" t="s">
        <v>152</v>
      </c>
      <c r="L43" s="131" t="s">
        <v>152</v>
      </c>
      <c r="M43" s="131" t="s">
        <v>152</v>
      </c>
      <c r="N43" s="131" t="s">
        <v>152</v>
      </c>
      <c r="O43" s="131" t="s">
        <v>152</v>
      </c>
      <c r="P43" s="131" t="s">
        <v>152</v>
      </c>
      <c r="Q43" s="131">
        <f>Spicer!O17+Spicer!O33</f>
        <v>24866</v>
      </c>
      <c r="R43" s="131">
        <f>Spicer!P17+Spicer!P33</f>
        <v>173188</v>
      </c>
      <c r="S43" s="228">
        <f>Spicer!Q17+Spicer!Q33</f>
        <v>175079</v>
      </c>
      <c r="T43" s="244">
        <f>Spicer!R17+Spicer!R33</f>
        <v>82367</v>
      </c>
    </row>
    <row r="44" spans="1:20" ht="16.2" customHeight="1" x14ac:dyDescent="0.3">
      <c r="A44" s="208" t="s">
        <v>18</v>
      </c>
      <c r="B44" s="331">
        <v>5.0000000000000001E-3</v>
      </c>
      <c r="C44" s="235">
        <v>2003</v>
      </c>
      <c r="D44" s="224">
        <f>'St. Cloud Area'!B17+'St. Cloud Area'!B33</f>
        <v>5797345.629999999</v>
      </c>
      <c r="E44" s="214">
        <f>'St. Cloud Area'!C17+'St. Cloud Area'!C33</f>
        <v>6164590.1900000004</v>
      </c>
      <c r="F44" s="134">
        <f>'St. Cloud Area'!D17+'St. Cloud Area'!D33</f>
        <v>8114588.5100000007</v>
      </c>
      <c r="G44" s="134">
        <f>'St. Cloud Area'!E17+'St. Cloud Area'!E33</f>
        <v>8719065.129999999</v>
      </c>
      <c r="H44" s="134">
        <f>'St. Cloud Area'!F17+'St. Cloud Area'!F33</f>
        <v>8434990.7600000016</v>
      </c>
      <c r="I44" s="134">
        <f>'St. Cloud Area'!G17+'St. Cloud Area'!G33</f>
        <v>8250610</v>
      </c>
      <c r="J44" s="134">
        <f>'St. Cloud Area'!H17+'St. Cloud Area'!H33</f>
        <v>8282589</v>
      </c>
      <c r="K44" s="134">
        <f>'St. Cloud Area'!I17+'St. Cloud Area'!I33</f>
        <v>8714584</v>
      </c>
      <c r="L44" s="134">
        <f>'St. Cloud Area'!J17+'St. Cloud Area'!J33</f>
        <v>9175367</v>
      </c>
      <c r="M44" s="134">
        <f>'St. Cloud Area'!K17+'St. Cloud Area'!K33</f>
        <v>9473929</v>
      </c>
      <c r="N44" s="134">
        <f>'St. Cloud Area'!L17+'St. Cloud Area'!L33</f>
        <v>9686975</v>
      </c>
      <c r="O44" s="134">
        <f>'St. Cloud Area'!M17+'St. Cloud Area'!M33</f>
        <v>10033984</v>
      </c>
      <c r="P44" s="134">
        <f>'St. Cloud Area'!N17+'St. Cloud Area'!N33</f>
        <v>10633803</v>
      </c>
      <c r="Q44" s="134">
        <f>'St. Cloud Area'!O17+'St. Cloud Area'!O33</f>
        <v>10585794</v>
      </c>
      <c r="R44" s="134">
        <f>'St. Cloud Area'!P17+'St. Cloud Area'!P33</f>
        <v>10699467</v>
      </c>
      <c r="S44" s="131">
        <f>'St. Cloud Area'!Q17+'St. Cloud Area'!Q33</f>
        <v>11325991</v>
      </c>
      <c r="T44" s="303">
        <f>'St. Cloud Area'!R17+'St. Cloud Area'!R33</f>
        <v>5286044</v>
      </c>
    </row>
    <row r="45" spans="1:20" ht="16.2" customHeight="1" x14ac:dyDescent="0.3">
      <c r="A45" s="208" t="s">
        <v>19</v>
      </c>
      <c r="B45" s="332">
        <v>5.0000000000000001E-3</v>
      </c>
      <c r="C45" s="237">
        <v>1993</v>
      </c>
      <c r="D45" s="226">
        <f>'St. Paul'!B17+'St. Paul'!B33</f>
        <v>14263522.5</v>
      </c>
      <c r="E45" s="227">
        <f>'St. Paul'!C17+'St. Paul'!C33</f>
        <v>14934740.680000002</v>
      </c>
      <c r="F45" s="228">
        <f>'St. Paul'!D17+'St. Paul'!D33</f>
        <v>15452469.149999999</v>
      </c>
      <c r="G45" s="228">
        <f>'St. Paul'!E17+'St. Paul'!E33</f>
        <v>16171672.24</v>
      </c>
      <c r="H45" s="228">
        <f>'St. Paul'!F17+'St. Paul'!F33</f>
        <v>15670878.529999999</v>
      </c>
      <c r="I45" s="228">
        <f>'St. Paul'!G17+'St. Paul'!G33</f>
        <v>15842996</v>
      </c>
      <c r="J45" s="228">
        <f>'St. Paul'!H17+'St. Paul'!H33</f>
        <v>16023319</v>
      </c>
      <c r="K45" s="228">
        <f>'St. Paul'!I17+'St. Paul'!I33</f>
        <v>16383063</v>
      </c>
      <c r="L45" s="228">
        <f>'St. Paul'!J17+'St. Paul'!J33</f>
        <v>16454773</v>
      </c>
      <c r="M45" s="228">
        <f>'St. Paul'!K17+'St. Paul'!K33</f>
        <v>17502316</v>
      </c>
      <c r="N45" s="228">
        <f>'St. Paul'!L17+'St. Paul'!L33</f>
        <v>18110021</v>
      </c>
      <c r="O45" s="228">
        <f>'St. Paul'!M17+'St. Paul'!M33</f>
        <v>18558003</v>
      </c>
      <c r="P45" s="228">
        <f>'St. Paul'!N17+'St. Paul'!N33</f>
        <v>19056604</v>
      </c>
      <c r="Q45" s="228">
        <f>'St. Paul'!O17+'St. Paul'!O33</f>
        <v>19333872</v>
      </c>
      <c r="R45" s="228">
        <f>'St. Paul'!P17+'St. Paul'!P33</f>
        <v>19525456</v>
      </c>
      <c r="S45" s="134">
        <f>'St. Paul'!Q17+'St. Paul'!Q33</f>
        <v>19992107</v>
      </c>
      <c r="T45" s="137">
        <f>'St. Paul'!R17+'St. Paul'!R33</f>
        <v>9026160</v>
      </c>
    </row>
    <row r="46" spans="1:20" ht="16.2" customHeight="1" x14ac:dyDescent="0.3">
      <c r="A46" s="208" t="s">
        <v>20</v>
      </c>
      <c r="B46" s="331">
        <v>5.0000000000000001E-3</v>
      </c>
      <c r="C46" s="235">
        <v>1999</v>
      </c>
      <c r="D46" s="224">
        <f>'Two Harbors'!B17+'Two Harbors'!B33</f>
        <v>204588.49</v>
      </c>
      <c r="E46" s="214">
        <f>'Two Harbors'!C17+'Two Harbors'!C33</f>
        <v>240133.96000000002</v>
      </c>
      <c r="F46" s="134">
        <f>'Two Harbors'!D17+'Two Harbors'!D33</f>
        <v>265107.59999999998</v>
      </c>
      <c r="G46" s="134">
        <f>'Two Harbors'!E17+'Two Harbors'!E33</f>
        <v>270767.35999999999</v>
      </c>
      <c r="H46" s="134">
        <f>'Two Harbors'!F17+'Two Harbors'!F33</f>
        <v>254738.88999999998</v>
      </c>
      <c r="I46" s="134">
        <f>'Two Harbors'!G17+'Two Harbors'!G33</f>
        <v>229402</v>
      </c>
      <c r="J46" s="134">
        <f>'Two Harbors'!H17+'Two Harbors'!H33</f>
        <v>265545</v>
      </c>
      <c r="K46" s="134">
        <f>'Two Harbors'!I17+'Two Harbors'!I33</f>
        <v>311437</v>
      </c>
      <c r="L46" s="134">
        <f>'Two Harbors'!J17+'Two Harbors'!J33</f>
        <v>284653</v>
      </c>
      <c r="M46" s="134">
        <f>'Two Harbors'!K17+'Two Harbors'!K33</f>
        <v>270934</v>
      </c>
      <c r="N46" s="134">
        <f>'Two Harbors'!L17+'Two Harbors'!L33</f>
        <v>300916</v>
      </c>
      <c r="O46" s="134">
        <f>'Two Harbors'!M17+'Two Harbors'!M33</f>
        <v>301742</v>
      </c>
      <c r="P46" s="134">
        <f>'Two Harbors'!N17+'Two Harbors'!N33</f>
        <v>333460</v>
      </c>
      <c r="Q46" s="134">
        <f>'Two Harbors'!O17+'Two Harbors'!O33</f>
        <v>292929</v>
      </c>
      <c r="R46" s="134">
        <f>'Two Harbors'!P17+'Two Harbors'!P33</f>
        <v>339174</v>
      </c>
      <c r="S46" s="131">
        <f>'Two Harbors'!Q17+'Two Harbors'!Q33</f>
        <v>401680</v>
      </c>
      <c r="T46" s="303">
        <f>'Two Harbors'!R17+'Two Harbors'!R33</f>
        <v>310522</v>
      </c>
    </row>
    <row r="47" spans="1:20" ht="16.2" customHeight="1" x14ac:dyDescent="0.3">
      <c r="A47" s="208" t="s">
        <v>160</v>
      </c>
      <c r="B47" s="330">
        <v>1.4999999999999999E-2</v>
      </c>
      <c r="C47" s="236">
        <v>2018</v>
      </c>
      <c r="D47" s="225" t="s">
        <v>152</v>
      </c>
      <c r="E47" s="213" t="s">
        <v>152</v>
      </c>
      <c r="F47" s="131" t="s">
        <v>152</v>
      </c>
      <c r="G47" s="131" t="s">
        <v>152</v>
      </c>
      <c r="H47" s="131" t="s">
        <v>152</v>
      </c>
      <c r="I47" s="131" t="s">
        <v>152</v>
      </c>
      <c r="J47" s="131" t="s">
        <v>152</v>
      </c>
      <c r="K47" s="131" t="s">
        <v>152</v>
      </c>
      <c r="L47" s="131" t="s">
        <v>152</v>
      </c>
      <c r="M47" s="131" t="s">
        <v>152</v>
      </c>
      <c r="N47" s="131" t="s">
        <v>152</v>
      </c>
      <c r="O47" s="131" t="s">
        <v>152</v>
      </c>
      <c r="P47" s="131" t="s">
        <v>152</v>
      </c>
      <c r="Q47" s="131" t="s">
        <v>152</v>
      </c>
      <c r="R47" s="131">
        <f>Walker!P17+Walker!P33</f>
        <v>692201</v>
      </c>
      <c r="S47" s="134">
        <f>Walker!Q17+Walker!Q33</f>
        <v>772605</v>
      </c>
      <c r="T47" s="137">
        <f>Walker!R17+Walker!R33</f>
        <v>289305</v>
      </c>
    </row>
    <row r="48" spans="1:20" ht="16.2" customHeight="1" x14ac:dyDescent="0.3">
      <c r="A48" s="208" t="s">
        <v>235</v>
      </c>
      <c r="B48" s="331">
        <v>5.0000000000000001E-3</v>
      </c>
      <c r="C48" s="235">
        <v>2020</v>
      </c>
      <c r="D48" s="224"/>
      <c r="E48" s="214"/>
      <c r="F48" s="134"/>
      <c r="G48" s="134"/>
      <c r="H48" s="134"/>
      <c r="I48" s="134"/>
      <c r="J48" s="134" t="s">
        <v>152</v>
      </c>
      <c r="K48" s="134" t="s">
        <v>152</v>
      </c>
      <c r="L48" s="134" t="s">
        <v>152</v>
      </c>
      <c r="M48" s="134" t="s">
        <v>152</v>
      </c>
      <c r="N48" s="134" t="s">
        <v>152</v>
      </c>
      <c r="O48" s="134" t="s">
        <v>152</v>
      </c>
      <c r="P48" s="134" t="s">
        <v>152</v>
      </c>
      <c r="Q48" s="134" t="s">
        <v>152</v>
      </c>
      <c r="R48" s="134" t="s">
        <v>152</v>
      </c>
      <c r="S48" s="134" t="s">
        <v>152</v>
      </c>
      <c r="T48" s="137">
        <f>'West St. Paul'!R17+'West St. Paul'!R33</f>
        <v>621854</v>
      </c>
    </row>
    <row r="49" spans="1:20" ht="16.2" customHeight="1" x14ac:dyDescent="0.3">
      <c r="A49" s="208" t="s">
        <v>68</v>
      </c>
      <c r="B49" s="331">
        <v>5.0000000000000001E-3</v>
      </c>
      <c r="C49" s="235" t="s">
        <v>293</v>
      </c>
      <c r="D49" s="219" t="s">
        <v>152</v>
      </c>
      <c r="E49" s="229" t="s">
        <v>152</v>
      </c>
      <c r="F49" s="134">
        <f>Willmar!D17+Willmar!D33</f>
        <v>1475634.05</v>
      </c>
      <c r="G49" s="134">
        <f>Willmar!E17+Willmar!E33</f>
        <v>1794419.1199999999</v>
      </c>
      <c r="H49" s="134">
        <f>Willmar!F17+Willmar!F33</f>
        <v>1751562.9999999998</v>
      </c>
      <c r="I49" s="134">
        <f>Willmar!G17+Willmar!G33</f>
        <v>1733787</v>
      </c>
      <c r="J49" s="134">
        <f>Willmar!H17+Willmar!H33</f>
        <v>1753486</v>
      </c>
      <c r="K49" s="134">
        <f>Willmar!I17+Willmar!I33</f>
        <v>1870799</v>
      </c>
      <c r="L49" s="134">
        <f>Willmar!J17+Willmar!J33</f>
        <v>2064924</v>
      </c>
      <c r="M49" s="242">
        <f>Willmar!K17+Willmar!K33</f>
        <v>429176</v>
      </c>
      <c r="N49" s="242">
        <f>Willmar!L17+Willmar!L33</f>
        <v>44255</v>
      </c>
      <c r="O49" s="243">
        <f>Willmar!M17+Willmar!M33</f>
        <v>-145935</v>
      </c>
      <c r="P49" s="242">
        <f>Willmar!N17+Willmar!N33</f>
        <v>1095</v>
      </c>
      <c r="Q49" s="243">
        <f>Willmar!O17+Willmar!O33</f>
        <v>-5864</v>
      </c>
      <c r="R49" s="243">
        <f>Willmar!P17+Willmar!P33</f>
        <v>312</v>
      </c>
      <c r="S49" s="324">
        <f>Willmar!Q17+Willmar!Q33</f>
        <v>331073</v>
      </c>
      <c r="T49" s="245">
        <f>Willmar!R17+Willmar!R33</f>
        <v>985930</v>
      </c>
    </row>
    <row r="50" spans="1:20" ht="16.2" customHeight="1" x14ac:dyDescent="0.3">
      <c r="A50" s="208" t="s">
        <v>21</v>
      </c>
      <c r="B50" s="331">
        <v>5.0000000000000001E-3</v>
      </c>
      <c r="C50" s="322" t="s">
        <v>297</v>
      </c>
      <c r="D50" s="209" t="s">
        <v>152</v>
      </c>
      <c r="E50" s="216" t="s">
        <v>152</v>
      </c>
      <c r="F50" s="216" t="s">
        <v>152</v>
      </c>
      <c r="G50" s="134" t="s">
        <v>152</v>
      </c>
      <c r="H50" s="134" t="s">
        <v>152</v>
      </c>
      <c r="I50" s="134">
        <f>Worthington!G16+Worthington!G32</f>
        <v>49079</v>
      </c>
      <c r="J50" s="134">
        <f>Worthington!H17+Worthington!H33</f>
        <v>717875</v>
      </c>
      <c r="K50" s="134">
        <f>Worthington!I17+Worthington!I33</f>
        <v>804606</v>
      </c>
      <c r="L50" s="134">
        <f>Worthington!J17+Worthington!J33</f>
        <v>802609</v>
      </c>
      <c r="M50" s="134">
        <f>Worthington!K17+Worthington!K33</f>
        <v>842602</v>
      </c>
      <c r="N50" s="134">
        <f>Worthington!L17+Worthington!L33</f>
        <v>832915</v>
      </c>
      <c r="O50" s="134">
        <f>Worthington!M17+Worthington!M33</f>
        <v>885016</v>
      </c>
      <c r="P50" s="134">
        <f>Worthington!N17+Worthington!N33</f>
        <v>905617</v>
      </c>
      <c r="Q50" s="134">
        <f>Worthington!O17+Worthington!O33</f>
        <v>1530574</v>
      </c>
      <c r="R50" s="134">
        <f>Worthington!P17+Worthington!P33</f>
        <v>836619</v>
      </c>
      <c r="S50" s="134">
        <f>Worthington!Q17+Worthington!Q33</f>
        <v>4196</v>
      </c>
      <c r="T50" s="137">
        <f>Worthington!R17+Worthington!R33</f>
        <v>363815</v>
      </c>
    </row>
    <row r="51" spans="1:20" ht="16.2" customHeight="1" thickBot="1" x14ac:dyDescent="0.35">
      <c r="A51" s="230" t="s">
        <v>234</v>
      </c>
      <c r="B51" s="335">
        <v>0.01</v>
      </c>
      <c r="C51" s="323">
        <v>2020</v>
      </c>
      <c r="D51" s="211"/>
      <c r="E51" s="231"/>
      <c r="F51" s="218"/>
      <c r="G51" s="232"/>
      <c r="H51" s="232"/>
      <c r="I51" s="232"/>
      <c r="J51" s="134" t="s">
        <v>152</v>
      </c>
      <c r="K51" s="134" t="s">
        <v>152</v>
      </c>
      <c r="L51" s="134" t="s">
        <v>152</v>
      </c>
      <c r="M51" s="134" t="s">
        <v>152</v>
      </c>
      <c r="N51" s="134" t="s">
        <v>152</v>
      </c>
      <c r="O51" s="134" t="s">
        <v>152</v>
      </c>
      <c r="P51" s="134" t="s">
        <v>152</v>
      </c>
      <c r="Q51" s="134" t="s">
        <v>152</v>
      </c>
      <c r="R51" s="134" t="s">
        <v>152</v>
      </c>
      <c r="S51" s="134" t="s">
        <v>152</v>
      </c>
      <c r="T51" s="321">
        <f>Virginia!R17+Virginia!R33</f>
        <v>760729</v>
      </c>
    </row>
    <row r="52" spans="1:20" ht="16.2" customHeight="1" thickTop="1" thickBot="1" x14ac:dyDescent="0.35">
      <c r="A52" s="354" t="s">
        <v>223</v>
      </c>
      <c r="B52" s="355"/>
      <c r="C52" s="355"/>
      <c r="D52" s="310">
        <f t="shared" ref="D52:K52" si="0">SUM(D3:D47)</f>
        <v>61477881.619999997</v>
      </c>
      <c r="E52" s="311">
        <f t="shared" si="0"/>
        <v>65137700.310000002</v>
      </c>
      <c r="F52" s="312">
        <f t="shared" si="0"/>
        <v>81652054.299999997</v>
      </c>
      <c r="G52" s="312">
        <f t="shared" si="0"/>
        <v>91662200.309999987</v>
      </c>
      <c r="H52" s="313">
        <f t="shared" si="0"/>
        <v>91660078.99000001</v>
      </c>
      <c r="I52" s="311">
        <f t="shared" si="0"/>
        <v>89570601</v>
      </c>
      <c r="J52" s="312">
        <f t="shared" si="0"/>
        <v>90639195</v>
      </c>
      <c r="K52" s="312">
        <f t="shared" si="0"/>
        <v>95230353</v>
      </c>
      <c r="L52" s="312">
        <f t="shared" ref="L52:Q52" si="1">SUM(L3:L47)</f>
        <v>99840404</v>
      </c>
      <c r="M52" s="312">
        <f t="shared" si="1"/>
        <v>106795885</v>
      </c>
      <c r="N52" s="312">
        <f t="shared" si="1"/>
        <v>112682707</v>
      </c>
      <c r="O52" s="312">
        <f t="shared" si="1"/>
        <v>116471714</v>
      </c>
      <c r="P52" s="312">
        <f t="shared" si="1"/>
        <v>123940221</v>
      </c>
      <c r="Q52" s="312">
        <f t="shared" si="1"/>
        <v>124229971</v>
      </c>
      <c r="R52" s="312">
        <f>SUM(R3:R47)</f>
        <v>133102430</v>
      </c>
      <c r="S52" s="314">
        <f>SUM(S3:S47)</f>
        <v>149903060</v>
      </c>
      <c r="T52" s="346">
        <f>SUM(T3:T47)</f>
        <v>70415740</v>
      </c>
    </row>
    <row r="53" spans="1:20" ht="16.2" customHeight="1" x14ac:dyDescent="0.3">
      <c r="A53" s="348" t="s">
        <v>224</v>
      </c>
      <c r="B53" s="349"/>
      <c r="C53" s="349"/>
      <c r="D53" s="320" t="s">
        <v>152</v>
      </c>
      <c r="E53" s="320" t="s">
        <v>152</v>
      </c>
      <c r="F53" s="320" t="s">
        <v>152</v>
      </c>
      <c r="G53" s="320" t="s">
        <v>152</v>
      </c>
      <c r="H53" s="318">
        <f>Austin!F49+Baxter!F49+Bemidji!F49+Brainerd!F49+Duluth!F49+Hermantown!F49+Mankato!F49+Minneapolis!F49+'New Ulm'!F49+Owatonna!F49+Rochester!F49+'St. Cloud Area'!F49+'St. Paul'!F49+Willmar!F49</f>
        <v>-38874</v>
      </c>
      <c r="I53" s="319">
        <f>Austin!G49+Baxter!G49+Bemidji!G49+Brainerd!G49+Duluth!G49+Hermantown!G49+Mankato!G49+Minneapolis!G49+'New Ulm'!G49+Owatonna!G49+Rochester!G49+'St. Cloud Area'!G49+'St. Paul'!G49+Willmar!G49+'Albert Lea'!G49+Clearwater!G49+'North Mankato'!G49+Proctor!G49+'Two Harbors'!G49+Worthington!G49</f>
        <v>-2416019</v>
      </c>
      <c r="J53" s="317">
        <f>Austin!H49+Baxter!H49+Bemidji!H49+Brainerd!H49+Duluth!H49+Hermantown!H49+Mankato!H49+Minneapolis!H49+'New Ulm'!H49+Owatonna!H49+Rochester!H49+'St. Cloud Area'!H49+'St. Paul'!H49+Willmar!H49+'Albert Lea'!H49+Clearwater!H49+'North Mankato'!H49+Proctor!H49+'Two Harbors'!H49+Worthington!H49</f>
        <v>-2240120</v>
      </c>
      <c r="K53" s="316">
        <f>Austin!I49+Baxter!I49+Bemidji!I49+Brainerd!I49+Duluth!I49+Hermantown!I49+Mankato!I49+Minneapolis!I49+'New Ulm'!I49+Owatonna!I49+Rochester!I49+'St. Cloud Area'!I49+'St. Paul'!I49+Willmar!I49+'Albert Lea'!I49+Clearwater!I49+'North Mankato'!I49+Proctor!I49+'Two Harbors'!I49+Worthington!I49</f>
        <v>-2654686</v>
      </c>
      <c r="L53" s="316">
        <f>Austin!J49+Baxter!J49+Bemidji!J49+Brainerd!J49+Duluth!J49+Hermantown!J49+Mankato!J49+Minneapolis!J49+'New Ulm'!J49+Owatonna!J49+Rochester!J49+'St. Cloud Area'!J49+'St. Paul'!J49+Willmar!J49+'Albert Lea'!J49+Clearwater!J49+'North Mankato'!J49+Proctor!J49+'Two Harbors'!J49+Worthington!J49+'Fergus Falls'!J49+Hutchinson!J49+Lanesboro!J49</f>
        <v>-2385605</v>
      </c>
      <c r="M53" s="316">
        <f>Austin!K49+Baxter!K49+Bemidji!K49+Brainerd!K49+Duluth!K49+Hermantown!K49+Mankato!K49+Minneapolis!K49+'New Ulm'!K49+Owatonna!K49+Rochester!K49+'St. Cloud Area'!K49+'St. Paul'!K49+Willmar!K49+'Albert Lea'!K49+Clearwater!K49+'North Mankato'!K49+Proctor!K49+'Two Harbors'!K49+Worthington!K49+'Fergus Falls'!K49+Hutchinson!K49+Lanesboro!K49+Cloquet!K49+Marshall!K49+Medford!K49</f>
        <v>-2715801</v>
      </c>
      <c r="N53" s="316">
        <f>Austin!L49+Baxter!L49+Bemidji!L49+Brainerd!L49+Duluth!L49+Hermantown!L49+Mankato!L49+Minneapolis!L49+'New Ulm'!L49+Owatonna!L49+Rochester!L49+'St. Cloud Area'!L49+'St. Paul'!L49+Willmar!L49+'Albert Lea'!L49+Clearwater!L49+'North Mankato'!L49+Proctor!L49+'Two Harbors'!L49+Worthington!L49+'Fergus Falls'!L49+Hutchinson!L49+Lanesboro!L49+Cloquet!L49+Marshall!L49+Medford!L49</f>
        <v>-2865424</v>
      </c>
      <c r="O53" s="316">
        <f>Austin!M49+Baxter!M49+Bemidji!M49+Brainerd!M49+Duluth!M49+Hermantown!M49+Mankato!M49+Minneapolis!M49+'New Ulm'!M49+Owatonna!M49+Rochester!M49+'St. Cloud Area'!M49+'St. Paul'!M49+Willmar!M49+'Albert Lea'!M49+Clearwater!M49+'North Mankato'!M49+Proctor!M49+'Two Harbors'!M49+Worthington!M49+'Fergus Falls'!M49+Hutchinson!M49+Lanesboro!M49+Cloquet!M49+Marshall!M49+Medford!M49</f>
        <v>-2817964</v>
      </c>
      <c r="P53" s="316">
        <f>Austin!N49+Baxter!N49+Bemidji!N49+Brainerd!N49+Duluth!N49+Hermantown!N49+Mankato!N49+Minneapolis!N49+'New Ulm'!N49+Owatonna!N49+Rochester!N49+'St. Cloud Area'!N49+'St. Paul'!N49+Willmar!N49+'Albert Lea'!N49+Clearwater!N49+'North Mankato'!N49+Proctor!N49+'Two Harbors'!N49+Worthington!N49+'Fergus Falls'!N49+Hutchinson!N49+Lanesboro!N49+Cloquet!N49+Marshall!N49+Medford!N49</f>
        <v>-2357249</v>
      </c>
      <c r="Q53" s="316">
        <f>Austin!O49+Baxter!O49+Bemidji!O49+Brainerd!O49+Duluth!O49+Hermantown!O49+Mankato!O49+Minneapolis!O49+'New Ulm'!O49+Owatonna!O49+Rochester!O49+'St. Cloud Area'!O49+'St. Paul'!O49+Willmar!O49+'Albert Lea'!O49+Clearwater!O49+'North Mankato'!O49+Proctor!O49+'Two Harbors'!O49+Worthington!O49+'Fergus Falls'!O49+Hutchinson!O49+Lanesboro!O49+Cloquet!O49+Marshall!O49+Medford!O49+Fairmont!O49+'Moose Lake'!O49+'New London'!O49+Spicer!O49</f>
        <v>-2011896</v>
      </c>
      <c r="R53" s="316">
        <f>Austin!P49+Baxter!P49+Bemidji!P49+Brainerd!P49+Duluth!P49+Hermantown!P49+Mankato!P49+Minneapolis!P49+'New Ulm'!P49+Owatonna!P49+Rochester!P49+'St. Cloud Area'!P49+'St. Paul'!P49+Willmar!P49+'Albert Lea'!P49+Clearwater!P49+'North Mankato'!P49+Proctor!P49+'Two Harbors'!P49+Worthington!P49+'Fergus Falls'!P49+Hutchinson!P49+Lanesboro!P49+Cloquet!P49+Marshall!P49+Medford!P49+Fairmont!P49+'Moose Lake'!P49+'New London'!P49+Spicer!P49+'East Grand Forks'!P49+'GKWMLL Sanitary'!P49+Walker!P49</f>
        <v>-2649021</v>
      </c>
      <c r="S53" s="341">
        <f>Austin!Q49+Baxter!Q49+Bemidji!Q49+Brainerd!Q49+Duluth!Q49+Hermantown!Q49+Mankato!Q49+Minneapolis!Q49+'New Ulm'!Q49+Owatonna!Q49+Rochester!Q49+'St. Cloud Area'!Q49+'St. Paul'!Q49+Willmar!Q49+'Albert Lea'!Q49+Clearwater!Q49+'North Mankato'!Q49+Proctor!Q49+'Two Harbors'!Q49+Worthington!Q49+'Fergus Falls'!Q49+Hutchinson!Q49+Lanesboro!Q49+Cloquet!Q49+Marshall!Q49+Medford!Q49+Fairmont!Q49+'Moose Lake'!Q49+'New London'!Q49+Spicer!Q49+'East Grand Forks'!Q49+'GKWMLL Sanitary'!Q49+Walker!Q49+'Detroit Lakes'!Q49+Avon!Q49+'Blue Earth'!Q49+Cambridge!Q49+'Elk River'!Q49+Excelsior!Q49+'Int. Falls'!Q49+Rogers!Q49</f>
        <v>-3147146</v>
      </c>
      <c r="T53" s="315">
        <f>Austin!R49+Baxter!R49+Bemidji!R49+Brainerd!R49+Duluth!R49+Hermantown!R49+Mankato!R49+Minneapolis!R49+'New Ulm'!R49+Owatonna!R49+Rochester!R49+'St. Cloud Area'!R49+'St. Paul'!R49+Willmar!R49+'Albert Lea'!R49+Clearwater!R49+'North Mankato'!R49+Proctor!R49+'Two Harbors'!R49+Worthington!R49+'Fergus Falls'!R49+Hutchinson!R49+Lanesboro!R49+Cloquet!R49+Marshall!R49+Medford!R49+Fairmont!R49+'Moose Lake'!R49+'New London'!R49+Spicer!R49+'East Grand Forks'!R49+'GKWMLL Sanitary'!R49+Walker!R49+'Detroit Lakes'!R49+Avon!R49+'Blue Earth'!R49+Cambridge!R49+'Elk River'!R49+Excelsior!R49+'Int. Falls'!R49+Rogers!R49+Glenwood!R49+Perham!R49+Virginia!R49+'West St. Paul'!R49+'Sauk Centre'!R49+Scanlon!R49</f>
        <v>-2167800</v>
      </c>
    </row>
    <row r="54" spans="1:20" s="69" customFormat="1" ht="6.6" x14ac:dyDescent="0.3">
      <c r="A54" s="353" t="s">
        <v>174</v>
      </c>
      <c r="B54" s="353"/>
      <c r="C54" s="353"/>
      <c r="D54" s="353"/>
      <c r="E54" s="353"/>
      <c r="F54" s="353"/>
      <c r="G54" s="353"/>
      <c r="H54" s="353"/>
      <c r="I54" s="353"/>
      <c r="J54" s="353"/>
      <c r="K54" s="353"/>
      <c r="L54" s="353"/>
      <c r="M54" s="353"/>
      <c r="N54" s="353"/>
      <c r="O54" s="353"/>
      <c r="P54" s="353"/>
      <c r="Q54" s="353"/>
      <c r="R54" s="353"/>
      <c r="S54" s="353"/>
      <c r="T54" s="353"/>
    </row>
    <row r="55" spans="1:20" s="105" customFormat="1" ht="13.8" x14ac:dyDescent="0.3">
      <c r="A55" s="347" t="s">
        <v>178</v>
      </c>
      <c r="B55" s="347"/>
      <c r="C55" s="347"/>
      <c r="D55" s="347"/>
      <c r="E55" s="347"/>
      <c r="F55" s="347"/>
      <c r="G55" s="347"/>
      <c r="H55" s="347"/>
      <c r="I55" s="347"/>
      <c r="J55" s="347"/>
      <c r="K55" s="347"/>
      <c r="L55" s="347"/>
      <c r="M55" s="347"/>
      <c r="N55" s="347"/>
      <c r="O55" s="347"/>
      <c r="P55" s="347"/>
      <c r="Q55" s="347"/>
      <c r="R55" s="347"/>
      <c r="S55" s="347"/>
      <c r="T55" s="347"/>
    </row>
    <row r="56" spans="1:20" s="105" customFormat="1" ht="13.8" x14ac:dyDescent="0.3">
      <c r="A56" s="356" t="s">
        <v>294</v>
      </c>
      <c r="B56" s="356"/>
      <c r="C56" s="356"/>
      <c r="D56" s="356"/>
      <c r="E56" s="356"/>
      <c r="F56" s="356"/>
      <c r="G56" s="356"/>
      <c r="H56" s="356"/>
      <c r="I56" s="356"/>
      <c r="J56" s="356"/>
      <c r="K56" s="356"/>
      <c r="L56" s="356"/>
      <c r="M56" s="356"/>
      <c r="N56" s="356"/>
      <c r="O56" s="356"/>
      <c r="P56" s="356"/>
      <c r="Q56" s="356"/>
      <c r="R56" s="356"/>
      <c r="S56" s="356"/>
      <c r="T56" s="356"/>
    </row>
    <row r="57" spans="1:20" s="105" customFormat="1" ht="13.8" x14ac:dyDescent="0.3">
      <c r="A57" s="357" t="s">
        <v>292</v>
      </c>
      <c r="B57" s="357"/>
      <c r="C57" s="357"/>
      <c r="D57" s="357"/>
      <c r="E57" s="357"/>
      <c r="F57" s="357"/>
      <c r="G57" s="357"/>
      <c r="H57" s="357"/>
      <c r="I57" s="357"/>
      <c r="J57" s="357"/>
      <c r="K57" s="357"/>
      <c r="L57" s="357"/>
      <c r="M57" s="357"/>
      <c r="N57" s="357"/>
      <c r="O57" s="357"/>
      <c r="P57" s="357"/>
      <c r="Q57" s="357"/>
      <c r="R57" s="357"/>
      <c r="S57" s="357"/>
      <c r="T57" s="357"/>
    </row>
    <row r="58" spans="1:20" s="105" customFormat="1" ht="13.8" x14ac:dyDescent="0.3">
      <c r="A58" s="356" t="s">
        <v>99</v>
      </c>
      <c r="B58" s="356"/>
      <c r="C58" s="356"/>
      <c r="D58" s="356"/>
      <c r="E58" s="356"/>
      <c r="F58" s="356"/>
      <c r="G58" s="356"/>
      <c r="H58" s="356"/>
      <c r="I58" s="356"/>
      <c r="J58" s="356"/>
      <c r="K58" s="356"/>
      <c r="L58" s="356"/>
      <c r="M58" s="356"/>
      <c r="N58" s="356"/>
      <c r="O58" s="356"/>
      <c r="P58" s="356"/>
      <c r="Q58" s="356"/>
      <c r="R58" s="356"/>
      <c r="S58" s="356"/>
      <c r="T58" s="356"/>
    </row>
    <row r="59" spans="1:20" s="105" customFormat="1" ht="13.8" x14ac:dyDescent="0.3">
      <c r="A59" s="357" t="s">
        <v>183</v>
      </c>
      <c r="B59" s="357"/>
      <c r="C59" s="357"/>
      <c r="D59" s="357"/>
      <c r="E59" s="357"/>
      <c r="F59" s="357"/>
      <c r="G59" s="357"/>
      <c r="H59" s="357"/>
      <c r="I59" s="357"/>
      <c r="J59" s="357"/>
      <c r="K59" s="357"/>
      <c r="L59" s="357"/>
      <c r="M59" s="357"/>
      <c r="N59" s="357"/>
      <c r="O59" s="357"/>
      <c r="P59" s="357"/>
      <c r="Q59" s="357"/>
      <c r="R59" s="357"/>
      <c r="S59" s="357"/>
      <c r="T59" s="357"/>
    </row>
    <row r="60" spans="1:20" s="105" customFormat="1" ht="13.8" x14ac:dyDescent="0.3">
      <c r="A60" s="358" t="s">
        <v>295</v>
      </c>
      <c r="B60" s="358"/>
      <c r="C60" s="358"/>
      <c r="D60" s="358"/>
      <c r="E60" s="358"/>
      <c r="F60" s="358"/>
      <c r="G60" s="358"/>
      <c r="H60" s="358"/>
      <c r="I60" s="358"/>
      <c r="J60" s="358"/>
      <c r="K60" s="358"/>
      <c r="L60" s="358"/>
      <c r="M60" s="358"/>
      <c r="N60" s="358"/>
      <c r="O60" s="358"/>
      <c r="P60" s="358"/>
      <c r="Q60" s="358"/>
      <c r="R60" s="358"/>
      <c r="S60" s="358"/>
      <c r="T60" s="358"/>
    </row>
    <row r="61" spans="1:20" s="105" customFormat="1" ht="13.8" x14ac:dyDescent="0.3">
      <c r="A61" s="186" t="s">
        <v>151</v>
      </c>
      <c r="B61" s="186"/>
      <c r="C61" s="186"/>
      <c r="D61" s="186"/>
      <c r="E61" s="186"/>
      <c r="F61" s="186"/>
      <c r="G61" s="186"/>
      <c r="H61" s="186"/>
      <c r="I61" s="186"/>
      <c r="J61" s="186"/>
      <c r="K61" s="186"/>
      <c r="L61" s="186"/>
      <c r="M61" s="186"/>
      <c r="N61" s="186"/>
      <c r="O61" s="186"/>
      <c r="P61" s="186"/>
      <c r="Q61" s="186"/>
      <c r="R61" s="186"/>
      <c r="S61" s="186"/>
      <c r="T61" s="186"/>
    </row>
  </sheetData>
  <mergeCells count="12">
    <mergeCell ref="A56:T56"/>
    <mergeCell ref="A57:T57"/>
    <mergeCell ref="A58:T58"/>
    <mergeCell ref="A59:T59"/>
    <mergeCell ref="A60:T60"/>
    <mergeCell ref="A55:T55"/>
    <mergeCell ref="A53:C53"/>
    <mergeCell ref="A1:T1"/>
    <mergeCell ref="A2:T2"/>
    <mergeCell ref="A3:T3"/>
    <mergeCell ref="A54:T54"/>
    <mergeCell ref="A52:C52"/>
  </mergeCells>
  <hyperlinks>
    <hyperlink ref="A21" location="'Fergus Falls'!A1" tooltip="Fergus Falls" display="Fergus Falls" xr:uid="{00000000-0004-0000-0000-000000000000}"/>
    <hyperlink ref="A24" location="Hermantown!A1" tooltip="Hermantown" display="Hermantown" xr:uid="{00000000-0004-0000-0000-000001000000}"/>
    <hyperlink ref="A25" location="Hutchinson!A1" tooltip="Hutchinson" display="Hutchinson" xr:uid="{00000000-0004-0000-0000-000002000000}"/>
    <hyperlink ref="A27" location="Lanesboro!A1" tooltip="Lanesboro" display="Lanesboro" xr:uid="{00000000-0004-0000-0000-000003000000}"/>
    <hyperlink ref="A31" location="Minneapolis!A1" tooltip="Minneapolis" display="Minneapolis" xr:uid="{00000000-0004-0000-0000-000004000000}"/>
    <hyperlink ref="A34" location="'New Ulm'!A1" tooltip="New Ulm" display="New Ulm" xr:uid="{00000000-0004-0000-0000-000005000000}"/>
    <hyperlink ref="A35" location="'North Mankato'!A1" tooltip="North Mankato" display="North Mankato" xr:uid="{00000000-0004-0000-0000-000006000000}"/>
    <hyperlink ref="A36" location="Owatonna!A1" tooltip="Owatonna" display="Owatonna" xr:uid="{00000000-0004-0000-0000-000007000000}"/>
    <hyperlink ref="A38" location="Proctor!A1" tooltip="Proctor" display="Proctor" xr:uid="{00000000-0004-0000-0000-000008000000}"/>
    <hyperlink ref="A39" location="Rochester!A1" tooltip="Rochester" display="Rochester" xr:uid="{00000000-0004-0000-0000-000009000000}"/>
    <hyperlink ref="A44" location="'St. Cloud Area'!A1" tooltip="St. Cloud Area" display="St. Cloud Area" xr:uid="{00000000-0004-0000-0000-00000A000000}"/>
    <hyperlink ref="A45" location="'St. Paul'!A1" tooltip="St. Paul" display="St. Paul" xr:uid="{00000000-0004-0000-0000-00000B000000}"/>
    <hyperlink ref="A46" location="'Two Harbors'!A1" tooltip="Two Harbors" display="Two Harbors" xr:uid="{00000000-0004-0000-0000-00000C000000}"/>
    <hyperlink ref="A5" location="'Albert Lea'!A1" tooltip="Albert Lea" display="Albert Lea" xr:uid="{00000000-0004-0000-0000-00000E000000}"/>
    <hyperlink ref="A6" location="Austin!A1" tooltip="Austin" display="Austin" xr:uid="{00000000-0004-0000-0000-00000F000000}"/>
    <hyperlink ref="A8" location="Baxter!A1" tooltip="Baxter" display="Baxter" xr:uid="{00000000-0004-0000-0000-000010000000}"/>
    <hyperlink ref="A9" location="Bemidji!A1" tooltip="Bemidji" display="Bemidji" xr:uid="{00000000-0004-0000-0000-000011000000}"/>
    <hyperlink ref="A11" location="Brainerd!A1" tooltip="Brainerd" display="Brainerd" xr:uid="{00000000-0004-0000-0000-000012000000}"/>
    <hyperlink ref="A13" location="Clearwater!A1" tooltip="Clearwater" display="Clearwater" xr:uid="{00000000-0004-0000-0000-000013000000}"/>
    <hyperlink ref="A16" location="Duluth!A1" tooltip="Duluth" display="Duluth" xr:uid="{00000000-0004-0000-0000-000014000000}"/>
    <hyperlink ref="A49" location="Willmar!A1" tooltip="Willmar" display="Willmar" xr:uid="{00000000-0004-0000-0000-000015000000}"/>
    <hyperlink ref="A29" location="Marshall!A1" tooltip="Marshall" display="Marshall" xr:uid="{00000000-0004-0000-0000-000016000000}"/>
    <hyperlink ref="A28" location="Mankato!A1" tooltip="Mankato" display="Mankato" xr:uid="{00000000-0004-0000-0000-000017000000}"/>
    <hyperlink ref="A30" location="Medford!A1" tooltip="Medford" display="Medford" xr:uid="{00000000-0004-0000-0000-000018000000}"/>
    <hyperlink ref="A14" location="Cloquet!A1" tooltip="Cloquet" display="Cloquet" xr:uid="{00000000-0004-0000-0000-000019000000}"/>
    <hyperlink ref="A20" location="Fairmont!A1" tooltip="Fairmont" display="Fairmont" xr:uid="{00000000-0004-0000-0000-00001A000000}"/>
    <hyperlink ref="A32" location="'Moose Lake'!A1" tooltip="Moose Lake" display="Moose Lake" xr:uid="{00000000-0004-0000-0000-00001B000000}"/>
    <hyperlink ref="A33" location="'New London'!A1" tooltip="New London" display="New London" xr:uid="{00000000-0004-0000-0000-00001C000000}"/>
    <hyperlink ref="A43" location="Spicer!A1" tooltip="Spicer" display="Spicer" xr:uid="{00000000-0004-0000-0000-00001D000000}"/>
    <hyperlink ref="A17" location="'East Grand Forks'!A1" tooltip="East Grand Forks" display="East Grand Forks" xr:uid="{00000000-0004-0000-0000-00001E000000}"/>
    <hyperlink ref="A47" location="Walker!A1" tooltip="Walker" display="Walker" xr:uid="{00000000-0004-0000-0000-00001F000000}"/>
    <hyperlink ref="A23" location="'GKWMLL Sanitary'!A1" tooltip="GKWMLL Sanitary" display="GKWMLL Sanitary" xr:uid="{00000000-0004-0000-0000-000020000000}"/>
    <hyperlink ref="A15" location="'Detroit Lakes'!Print_Area" display="Detroit Lakes" xr:uid="{84B78841-6569-412F-94E7-0659A958D741}"/>
    <hyperlink ref="A50" location="Worthington!A1" tooltip="Worthington" display="Worthington" xr:uid="{B8D03D0C-1EA2-47B0-A00D-4EE90B50E9C1}"/>
    <hyperlink ref="A7" location="Avon!A1" display="Avon" xr:uid="{FC321E21-8063-461F-8CC7-5BE90CB06830}"/>
    <hyperlink ref="A10" location="'Blue Earth'!A1" display="Blue Earth" xr:uid="{C641F263-F94D-4E3B-B329-B92E00E5AE3C}"/>
    <hyperlink ref="A12" location="Cambridge!A1" display="Cambridge" xr:uid="{5D06FFB7-6EFF-4806-B4AE-3E6C67861939}"/>
    <hyperlink ref="A18" location="'Elk River'!A1" display="Elk River" xr:uid="{EAA5C4EF-E388-48A5-A0C2-0CB096DE5324}"/>
    <hyperlink ref="A19" location="Excelsior!A1" display="Excelsior" xr:uid="{71BCC1C7-CFE9-45AA-8351-E9C07E43C324}"/>
    <hyperlink ref="A22" location="Glenwood!A1" display="Glenwood" xr:uid="{C14277CA-DBA2-4897-8A62-432C5525C68F}"/>
    <hyperlink ref="A26" location="'Int. Falls'!A1" display="Int. Falls" xr:uid="{3FA6A81B-2690-4443-A4DF-39AE1CE40B77}"/>
    <hyperlink ref="A37" location="Perham!A1" display="Perham" xr:uid="{E275153D-AF40-48D6-B094-81F4F4D14A43}"/>
    <hyperlink ref="A40" location="Rogers!A1" display="Rogers" xr:uid="{FFACAF9B-3AC8-4BCE-9404-0C3D2DAEA59A}"/>
    <hyperlink ref="A41" location="'Sauk Centre'!A1" display="Sauk Centre" xr:uid="{38C00789-2A54-4981-AE53-28AA8C697B2E}"/>
    <hyperlink ref="A42" location="Scanlon!A1" display="Scanlon" xr:uid="{724A2DCE-49DB-4626-AE93-33B2DE0B9EF2}"/>
    <hyperlink ref="A48" location="'West St. Paul'!A1" display="West St. Paul" xr:uid="{608F213C-7A86-44E6-9249-2F7B375932FC}"/>
    <hyperlink ref="A51" location="Virginia!A1" display="Virginia" xr:uid="{35B69669-0034-4D94-8CED-9435661E5C9E}"/>
  </hyperlinks>
  <pageMargins left="0.25" right="0" top="0" bottom="0" header="0.3" footer="0.3"/>
  <pageSetup scale="6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R54"/>
  <sheetViews>
    <sheetView showGridLines="0" zoomScaleNormal="100" workbookViewId="0">
      <pane ySplit="1" topLeftCell="A2" activePane="bottomLeft" state="frozen"/>
      <selection pane="bottomLeft" sqref="A1:R1"/>
    </sheetView>
  </sheetViews>
  <sheetFormatPr defaultColWidth="12.5546875" defaultRowHeight="14.4" x14ac:dyDescent="0.3"/>
  <cols>
    <col min="1" max="1" width="12.5546875" style="6"/>
    <col min="2" max="3" width="13.5546875" style="6" hidden="1" customWidth="1"/>
    <col min="4" max="17" width="13.5546875" style="6" customWidth="1"/>
    <col min="18" max="18" width="13.5546875" style="145" customWidth="1"/>
    <col min="19" max="16384" width="12.5546875" style="6"/>
  </cols>
  <sheetData>
    <row r="1" spans="1:18" ht="21" x14ac:dyDescent="0.4">
      <c r="A1" s="359" t="s">
        <v>188</v>
      </c>
      <c r="B1" s="359"/>
      <c r="C1" s="359"/>
      <c r="D1" s="359"/>
      <c r="E1" s="359"/>
      <c r="F1" s="359"/>
      <c r="G1" s="359"/>
      <c r="H1" s="359"/>
      <c r="I1" s="359"/>
      <c r="J1" s="359"/>
      <c r="K1" s="359"/>
      <c r="L1" s="359"/>
      <c r="M1" s="359"/>
      <c r="N1" s="359"/>
      <c r="O1" s="359"/>
      <c r="P1" s="359"/>
      <c r="Q1" s="359"/>
      <c r="R1" s="359"/>
    </row>
    <row r="2" spans="1:18" ht="18" x14ac:dyDescent="0.35">
      <c r="A2" s="360" t="str">
        <f>'Local SUT'!A2</f>
        <v>CY 2004-2020</v>
      </c>
      <c r="B2" s="360"/>
      <c r="C2" s="360"/>
      <c r="D2" s="360"/>
      <c r="E2" s="360"/>
      <c r="F2" s="360"/>
      <c r="G2" s="360"/>
      <c r="H2" s="360"/>
      <c r="I2" s="360"/>
      <c r="J2" s="360"/>
      <c r="K2" s="360"/>
      <c r="L2" s="360"/>
      <c r="M2" s="360"/>
      <c r="N2" s="360"/>
      <c r="O2" s="360"/>
      <c r="P2" s="360"/>
      <c r="Q2" s="360"/>
      <c r="R2" s="360"/>
    </row>
    <row r="3" spans="1:18" s="115" customFormat="1" ht="18" x14ac:dyDescent="0.35">
      <c r="A3" s="361" t="s">
        <v>22</v>
      </c>
      <c r="B3" s="361"/>
      <c r="C3" s="361"/>
      <c r="D3" s="361"/>
      <c r="E3" s="361"/>
      <c r="F3" s="361"/>
      <c r="G3" s="361"/>
      <c r="H3" s="361"/>
      <c r="I3" s="361"/>
      <c r="J3" s="361"/>
      <c r="K3" s="361"/>
      <c r="L3" s="361"/>
      <c r="M3" s="361"/>
      <c r="N3" s="361"/>
      <c r="O3" s="361"/>
      <c r="P3" s="361"/>
      <c r="Q3" s="361"/>
      <c r="R3" s="361"/>
    </row>
    <row r="4" spans="1:18" s="115" customFormat="1" ht="15.6" x14ac:dyDescent="0.3">
      <c r="A4" s="95" t="s">
        <v>23</v>
      </c>
      <c r="B4" s="52">
        <v>2004</v>
      </c>
      <c r="C4" s="53">
        <v>2005</v>
      </c>
      <c r="D4" s="53">
        <v>2006</v>
      </c>
      <c r="E4" s="53">
        <v>2007</v>
      </c>
      <c r="F4" s="53">
        <v>2008</v>
      </c>
      <c r="G4" s="53">
        <v>2009</v>
      </c>
      <c r="H4" s="53">
        <v>2010</v>
      </c>
      <c r="I4" s="53">
        <v>2011</v>
      </c>
      <c r="J4" s="54">
        <v>2012</v>
      </c>
      <c r="K4" s="54">
        <v>2013</v>
      </c>
      <c r="L4" s="54">
        <v>2014</v>
      </c>
      <c r="M4" s="54">
        <v>2015</v>
      </c>
      <c r="N4" s="54">
        <v>2016</v>
      </c>
      <c r="O4" s="54">
        <v>2017</v>
      </c>
      <c r="P4" s="54">
        <v>2018</v>
      </c>
      <c r="Q4" s="54">
        <v>2019</v>
      </c>
      <c r="R4" s="49">
        <v>2020</v>
      </c>
    </row>
    <row r="5" spans="1:18" s="115" customFormat="1" ht="15.6" x14ac:dyDescent="0.3">
      <c r="A5" s="4" t="s">
        <v>24</v>
      </c>
      <c r="B5" s="20" t="s">
        <v>152</v>
      </c>
      <c r="C5" s="20" t="s">
        <v>152</v>
      </c>
      <c r="D5" s="19" t="s">
        <v>152</v>
      </c>
      <c r="E5" s="247">
        <f>109211+83</f>
        <v>109294</v>
      </c>
      <c r="F5" s="247">
        <v>122464.81</v>
      </c>
      <c r="G5" s="248">
        <v>116687</v>
      </c>
      <c r="H5" s="247">
        <v>111436</v>
      </c>
      <c r="I5" s="247">
        <v>119333</v>
      </c>
      <c r="J5" s="247">
        <v>119752</v>
      </c>
      <c r="K5" s="247">
        <v>123958</v>
      </c>
      <c r="L5" s="247">
        <v>119374</v>
      </c>
      <c r="M5" s="247">
        <v>124069</v>
      </c>
      <c r="N5" s="247">
        <v>129085</v>
      </c>
      <c r="O5" s="247">
        <v>129546</v>
      </c>
      <c r="P5" s="247">
        <v>134557</v>
      </c>
      <c r="Q5" s="247">
        <v>137541</v>
      </c>
      <c r="R5" s="286">
        <v>128737</v>
      </c>
    </row>
    <row r="6" spans="1:18" s="115" customFormat="1" ht="15.6" x14ac:dyDescent="0.3">
      <c r="A6" s="34" t="s">
        <v>25</v>
      </c>
      <c r="B6" s="20" t="s">
        <v>152</v>
      </c>
      <c r="C6" s="20" t="s">
        <v>152</v>
      </c>
      <c r="D6" s="20" t="s">
        <v>152</v>
      </c>
      <c r="E6" s="20">
        <v>82364.11</v>
      </c>
      <c r="F6" s="20">
        <v>84692.19</v>
      </c>
      <c r="G6" s="21">
        <v>94176</v>
      </c>
      <c r="H6" s="20">
        <v>85199</v>
      </c>
      <c r="I6" s="20">
        <v>90391</v>
      </c>
      <c r="J6" s="20">
        <v>97970</v>
      </c>
      <c r="K6" s="20">
        <v>89684</v>
      </c>
      <c r="L6" s="20">
        <v>100708</v>
      </c>
      <c r="M6" s="20">
        <v>105133</v>
      </c>
      <c r="N6" s="20">
        <v>102189</v>
      </c>
      <c r="O6" s="20">
        <v>104153</v>
      </c>
      <c r="P6" s="20">
        <v>107084</v>
      </c>
      <c r="Q6" s="20">
        <v>105974</v>
      </c>
      <c r="R6" s="287">
        <v>107556</v>
      </c>
    </row>
    <row r="7" spans="1:18" s="115" customFormat="1" ht="15.6" x14ac:dyDescent="0.3">
      <c r="A7" s="34" t="s">
        <v>26</v>
      </c>
      <c r="B7" s="20" t="s">
        <v>152</v>
      </c>
      <c r="C7" s="20" t="s">
        <v>152</v>
      </c>
      <c r="D7" s="20" t="s">
        <v>152</v>
      </c>
      <c r="E7" s="20">
        <v>75678.84</v>
      </c>
      <c r="F7" s="20">
        <f>80835.41+53</f>
        <v>80888.41</v>
      </c>
      <c r="G7" s="21">
        <v>87233</v>
      </c>
      <c r="H7" s="20">
        <v>87419</v>
      </c>
      <c r="I7" s="20">
        <v>88695</v>
      </c>
      <c r="J7" s="20">
        <v>95332</v>
      </c>
      <c r="K7" s="20">
        <v>90587</v>
      </c>
      <c r="L7" s="20">
        <v>88841</v>
      </c>
      <c r="M7" s="20">
        <v>105689</v>
      </c>
      <c r="N7" s="20">
        <v>98100</v>
      </c>
      <c r="O7" s="20">
        <v>95994</v>
      </c>
      <c r="P7" s="20">
        <v>93914</v>
      </c>
      <c r="Q7" s="20">
        <v>98441</v>
      </c>
      <c r="R7" s="287">
        <v>111239</v>
      </c>
    </row>
    <row r="8" spans="1:18" s="115" customFormat="1" ht="15.6" x14ac:dyDescent="0.3">
      <c r="A8" s="34" t="s">
        <v>27</v>
      </c>
      <c r="B8" s="20" t="s">
        <v>152</v>
      </c>
      <c r="C8" s="20" t="s">
        <v>152</v>
      </c>
      <c r="D8" s="246">
        <v>35</v>
      </c>
      <c r="E8" s="20">
        <v>95239.33</v>
      </c>
      <c r="F8" s="20">
        <v>93499.59</v>
      </c>
      <c r="G8" s="21">
        <v>93490</v>
      </c>
      <c r="H8" s="20">
        <v>102574</v>
      </c>
      <c r="I8" s="20">
        <v>103632</v>
      </c>
      <c r="J8" s="20">
        <v>104735</v>
      </c>
      <c r="K8" s="20">
        <v>100498</v>
      </c>
      <c r="L8" s="20">
        <v>107344</v>
      </c>
      <c r="M8" s="20">
        <v>121554</v>
      </c>
      <c r="N8" s="20">
        <v>113981</v>
      </c>
      <c r="O8" s="20">
        <v>115655</v>
      </c>
      <c r="P8" s="20">
        <v>114790</v>
      </c>
      <c r="Q8" s="20">
        <v>122702</v>
      </c>
      <c r="R8" s="287">
        <v>116778</v>
      </c>
    </row>
    <row r="9" spans="1:18" s="115" customFormat="1" ht="15.6" x14ac:dyDescent="0.3">
      <c r="A9" s="119" t="s">
        <v>28</v>
      </c>
      <c r="B9" s="20" t="s">
        <v>152</v>
      </c>
      <c r="C9" s="20" t="s">
        <v>152</v>
      </c>
      <c r="D9" s="15">
        <v>62302</v>
      </c>
      <c r="E9" s="15">
        <v>87272.05</v>
      </c>
      <c r="F9" s="15">
        <v>93516.71</v>
      </c>
      <c r="G9" s="17">
        <v>94775</v>
      </c>
      <c r="H9" s="15">
        <v>95213</v>
      </c>
      <c r="I9" s="15">
        <v>103968</v>
      </c>
      <c r="J9" s="15">
        <v>97401</v>
      </c>
      <c r="K9" s="15">
        <v>107455</v>
      </c>
      <c r="L9" s="15">
        <v>104672</v>
      </c>
      <c r="M9" s="15">
        <v>113592</v>
      </c>
      <c r="N9" s="15">
        <v>111660</v>
      </c>
      <c r="O9" s="15">
        <v>112928</v>
      </c>
      <c r="P9" s="15">
        <v>105897</v>
      </c>
      <c r="Q9" s="15">
        <v>125534</v>
      </c>
      <c r="R9" s="287">
        <v>118583</v>
      </c>
    </row>
    <row r="10" spans="1:18" s="115" customFormat="1" ht="15.6" x14ac:dyDescent="0.3">
      <c r="A10" s="119" t="s">
        <v>29</v>
      </c>
      <c r="B10" s="20" t="s">
        <v>152</v>
      </c>
      <c r="C10" s="20" t="s">
        <v>152</v>
      </c>
      <c r="D10" s="20">
        <v>70776</v>
      </c>
      <c r="E10" s="20">
        <v>99889.52</v>
      </c>
      <c r="F10" s="20">
        <v>108420.2</v>
      </c>
      <c r="G10" s="21">
        <v>106400</v>
      </c>
      <c r="H10" s="20">
        <v>116349</v>
      </c>
      <c r="I10" s="20">
        <v>115476</v>
      </c>
      <c r="J10" s="20">
        <v>109792</v>
      </c>
      <c r="K10" s="20">
        <v>116295</v>
      </c>
      <c r="L10" s="20">
        <v>118807</v>
      </c>
      <c r="M10" s="20">
        <v>130615</v>
      </c>
      <c r="N10" s="20">
        <v>125175</v>
      </c>
      <c r="O10" s="20">
        <v>125382</v>
      </c>
      <c r="P10" s="20">
        <v>129633</v>
      </c>
      <c r="Q10" s="20">
        <v>142041</v>
      </c>
      <c r="R10" s="287">
        <v>142330</v>
      </c>
    </row>
    <row r="11" spans="1:18" s="115" customFormat="1" ht="15.6" x14ac:dyDescent="0.3">
      <c r="A11" s="119" t="s">
        <v>30</v>
      </c>
      <c r="B11" s="20" t="s">
        <v>152</v>
      </c>
      <c r="C11" s="20" t="s">
        <v>152</v>
      </c>
      <c r="D11" s="15">
        <v>73257</v>
      </c>
      <c r="E11" s="15">
        <f>94695.65-83</f>
        <v>94612.65</v>
      </c>
      <c r="F11" s="15">
        <v>102785.95</v>
      </c>
      <c r="G11" s="17">
        <v>101111</v>
      </c>
      <c r="H11" s="15">
        <v>118739</v>
      </c>
      <c r="I11" s="15">
        <v>110545</v>
      </c>
      <c r="J11" s="15">
        <v>107744</v>
      </c>
      <c r="K11" s="15">
        <v>117208</v>
      </c>
      <c r="L11" s="15">
        <v>116530</v>
      </c>
      <c r="M11" s="15">
        <v>119946</v>
      </c>
      <c r="N11" s="15">
        <v>119645</v>
      </c>
      <c r="O11" s="15">
        <v>119499</v>
      </c>
      <c r="P11" s="15">
        <v>120403</v>
      </c>
      <c r="Q11" s="15">
        <v>132645</v>
      </c>
      <c r="R11" s="291" t="s">
        <v>152</v>
      </c>
    </row>
    <row r="12" spans="1:18" s="115" customFormat="1" ht="15.6" x14ac:dyDescent="0.3">
      <c r="A12" s="35" t="s">
        <v>31</v>
      </c>
      <c r="B12" s="20" t="s">
        <v>152</v>
      </c>
      <c r="C12" s="20" t="s">
        <v>152</v>
      </c>
      <c r="D12" s="20">
        <v>89590</v>
      </c>
      <c r="E12" s="20">
        <v>105786.65</v>
      </c>
      <c r="F12" s="20">
        <v>113287.37</v>
      </c>
      <c r="G12" s="21">
        <v>122518</v>
      </c>
      <c r="H12" s="20">
        <v>145809</v>
      </c>
      <c r="I12" s="20">
        <v>123318</v>
      </c>
      <c r="J12" s="20">
        <v>122704</v>
      </c>
      <c r="K12" s="20">
        <v>127558</v>
      </c>
      <c r="L12" s="20">
        <v>130113</v>
      </c>
      <c r="M12" s="20">
        <v>137809</v>
      </c>
      <c r="N12" s="20">
        <v>132996</v>
      </c>
      <c r="O12" s="20">
        <v>131831</v>
      </c>
      <c r="P12" s="20">
        <v>137453</v>
      </c>
      <c r="Q12" s="20">
        <v>148180</v>
      </c>
      <c r="R12" s="295" t="s">
        <v>152</v>
      </c>
    </row>
    <row r="13" spans="1:18" s="115" customFormat="1" ht="15.6" x14ac:dyDescent="0.3">
      <c r="A13" s="34" t="s">
        <v>32</v>
      </c>
      <c r="B13" s="20" t="s">
        <v>152</v>
      </c>
      <c r="C13" s="20" t="s">
        <v>152</v>
      </c>
      <c r="D13" s="15">
        <f>82714+4896</f>
        <v>87610</v>
      </c>
      <c r="E13" s="15">
        <v>99001.39</v>
      </c>
      <c r="F13" s="15">
        <f>102355.85+24573</f>
        <v>126928.85</v>
      </c>
      <c r="G13" s="17">
        <v>98858</v>
      </c>
      <c r="H13" s="15">
        <v>114997</v>
      </c>
      <c r="I13" s="15">
        <v>121799</v>
      </c>
      <c r="J13" s="15">
        <v>110687</v>
      </c>
      <c r="K13" s="15">
        <v>111068</v>
      </c>
      <c r="L13" s="15">
        <v>116463</v>
      </c>
      <c r="M13" s="15">
        <v>120810</v>
      </c>
      <c r="N13" s="15">
        <v>123484</v>
      </c>
      <c r="O13" s="15">
        <v>123526</v>
      </c>
      <c r="P13" s="15">
        <v>130409</v>
      </c>
      <c r="Q13" s="25">
        <v>140018</v>
      </c>
      <c r="R13" s="295" t="s">
        <v>152</v>
      </c>
    </row>
    <row r="14" spans="1:18" s="115" customFormat="1" ht="15.6" x14ac:dyDescent="0.3">
      <c r="A14" s="119" t="s">
        <v>33</v>
      </c>
      <c r="B14" s="20" t="s">
        <v>152</v>
      </c>
      <c r="C14" s="20" t="s">
        <v>152</v>
      </c>
      <c r="D14" s="20">
        <v>93752</v>
      </c>
      <c r="E14" s="20">
        <v>96225.9</v>
      </c>
      <c r="F14" s="20">
        <f>105012.87+292.36</f>
        <v>105305.23</v>
      </c>
      <c r="G14" s="21">
        <v>104010</v>
      </c>
      <c r="H14" s="20">
        <v>127556</v>
      </c>
      <c r="I14" s="20">
        <v>117503</v>
      </c>
      <c r="J14" s="20">
        <v>110105</v>
      </c>
      <c r="K14" s="20">
        <v>106244</v>
      </c>
      <c r="L14" s="20">
        <v>112884</v>
      </c>
      <c r="M14" s="20">
        <v>146849</v>
      </c>
      <c r="N14" s="20">
        <v>121775</v>
      </c>
      <c r="O14" s="20">
        <v>121878</v>
      </c>
      <c r="P14" s="20">
        <v>130046</v>
      </c>
      <c r="Q14" s="20">
        <v>129571</v>
      </c>
      <c r="R14" s="295" t="s">
        <v>152</v>
      </c>
    </row>
    <row r="15" spans="1:18" s="115" customFormat="1" ht="15.6" x14ac:dyDescent="0.3">
      <c r="A15" s="119" t="s">
        <v>34</v>
      </c>
      <c r="B15" s="20" t="s">
        <v>152</v>
      </c>
      <c r="C15" s="20" t="s">
        <v>152</v>
      </c>
      <c r="D15" s="20">
        <v>86704.09</v>
      </c>
      <c r="E15" s="20">
        <v>92197.81</v>
      </c>
      <c r="F15" s="20" t="s">
        <v>35</v>
      </c>
      <c r="G15" s="21">
        <v>94945</v>
      </c>
      <c r="H15" s="20">
        <v>106127</v>
      </c>
      <c r="I15" s="20">
        <v>104475</v>
      </c>
      <c r="J15" s="20">
        <v>102624</v>
      </c>
      <c r="K15" s="20">
        <v>102450</v>
      </c>
      <c r="L15" s="20">
        <v>117998</v>
      </c>
      <c r="M15" s="20">
        <v>111761</v>
      </c>
      <c r="N15" s="20">
        <v>114939</v>
      </c>
      <c r="O15" s="20">
        <v>117642</v>
      </c>
      <c r="P15" s="20">
        <v>129224</v>
      </c>
      <c r="Q15" s="20">
        <v>132817</v>
      </c>
      <c r="R15" s="295" t="s">
        <v>152</v>
      </c>
    </row>
    <row r="16" spans="1:18" s="115" customFormat="1" ht="16.2" thickBot="1" x14ac:dyDescent="0.35">
      <c r="A16" s="4" t="s">
        <v>36</v>
      </c>
      <c r="B16" s="26" t="s">
        <v>152</v>
      </c>
      <c r="C16" s="27" t="s">
        <v>152</v>
      </c>
      <c r="D16" s="16">
        <v>83456.92</v>
      </c>
      <c r="E16" s="17">
        <v>93176.94</v>
      </c>
      <c r="F16" s="17">
        <v>192197</v>
      </c>
      <c r="G16" s="16">
        <v>88714</v>
      </c>
      <c r="H16" s="18">
        <v>103684</v>
      </c>
      <c r="I16" s="18">
        <v>115629</v>
      </c>
      <c r="J16" s="15">
        <v>97600</v>
      </c>
      <c r="K16" s="15">
        <v>104542</v>
      </c>
      <c r="L16" s="18">
        <v>123729</v>
      </c>
      <c r="M16" s="18">
        <v>89502</v>
      </c>
      <c r="N16" s="18">
        <v>112217</v>
      </c>
      <c r="O16" s="15">
        <v>106914</v>
      </c>
      <c r="P16" s="15">
        <v>124087</v>
      </c>
      <c r="Q16" s="18">
        <v>128617</v>
      </c>
      <c r="R16" s="292" t="s">
        <v>152</v>
      </c>
    </row>
    <row r="17" spans="1:18" s="115" customFormat="1" ht="16.2" thickTop="1" x14ac:dyDescent="0.3">
      <c r="A17" s="55" t="s">
        <v>37</v>
      </c>
      <c r="B17" s="56" t="s">
        <v>152</v>
      </c>
      <c r="C17" s="57" t="s">
        <v>152</v>
      </c>
      <c r="D17" s="249">
        <f t="shared" ref="D17:J17" si="0">SUM(D5:D16)</f>
        <v>647483.01</v>
      </c>
      <c r="E17" s="249">
        <f t="shared" si="0"/>
        <v>1130739.19</v>
      </c>
      <c r="F17" s="249">
        <f t="shared" si="0"/>
        <v>1223986.31</v>
      </c>
      <c r="G17" s="249">
        <f t="shared" si="0"/>
        <v>1202917</v>
      </c>
      <c r="H17" s="249">
        <f t="shared" si="0"/>
        <v>1315102</v>
      </c>
      <c r="I17" s="249">
        <f t="shared" si="0"/>
        <v>1314764</v>
      </c>
      <c r="J17" s="249">
        <f t="shared" si="0"/>
        <v>1276446</v>
      </c>
      <c r="K17" s="249">
        <f t="shared" ref="K17:P17" si="1">SUM(K5:K16)</f>
        <v>1297547</v>
      </c>
      <c r="L17" s="249">
        <f t="shared" si="1"/>
        <v>1357463</v>
      </c>
      <c r="M17" s="249">
        <f t="shared" si="1"/>
        <v>1427329</v>
      </c>
      <c r="N17" s="249">
        <f t="shared" si="1"/>
        <v>1405246</v>
      </c>
      <c r="O17" s="249">
        <f t="shared" si="1"/>
        <v>1404948</v>
      </c>
      <c r="P17" s="249">
        <f t="shared" si="1"/>
        <v>1457497</v>
      </c>
      <c r="Q17" s="249">
        <f t="shared" ref="Q17:R17" si="2">SUM(Q5:Q16)</f>
        <v>1544081</v>
      </c>
      <c r="R17" s="288">
        <f t="shared" si="2"/>
        <v>725223</v>
      </c>
    </row>
    <row r="18" spans="1:18" s="116" customFormat="1" ht="6.6" x14ac:dyDescent="0.15">
      <c r="A18" s="362" t="s">
        <v>174</v>
      </c>
      <c r="B18" s="362"/>
      <c r="C18" s="362"/>
      <c r="D18" s="362"/>
      <c r="E18" s="362"/>
      <c r="F18" s="362"/>
      <c r="G18" s="362"/>
      <c r="H18" s="362"/>
      <c r="I18" s="362"/>
      <c r="J18" s="362"/>
      <c r="K18" s="362"/>
      <c r="L18" s="362"/>
      <c r="M18" s="362"/>
      <c r="N18" s="362"/>
      <c r="O18" s="362"/>
      <c r="P18" s="362"/>
      <c r="Q18" s="362"/>
      <c r="R18" s="362"/>
    </row>
    <row r="19" spans="1:18" s="115" customFormat="1" ht="18" x14ac:dyDescent="0.35">
      <c r="A19" s="361" t="s">
        <v>38</v>
      </c>
      <c r="B19" s="361"/>
      <c r="C19" s="361"/>
      <c r="D19" s="361"/>
      <c r="E19" s="361"/>
      <c r="F19" s="361"/>
      <c r="G19" s="361"/>
      <c r="H19" s="361"/>
      <c r="I19" s="361"/>
      <c r="J19" s="361"/>
      <c r="K19" s="361"/>
      <c r="L19" s="361"/>
      <c r="M19" s="361"/>
      <c r="N19" s="361"/>
      <c r="O19" s="361"/>
      <c r="P19" s="361"/>
      <c r="Q19" s="361"/>
      <c r="R19" s="361"/>
    </row>
    <row r="20" spans="1:18" s="115" customFormat="1" ht="15.6" x14ac:dyDescent="0.3">
      <c r="A20" s="43" t="s">
        <v>23</v>
      </c>
      <c r="B20" s="45">
        <v>2004</v>
      </c>
      <c r="C20" s="50">
        <v>2005</v>
      </c>
      <c r="D20" s="50">
        <v>2006</v>
      </c>
      <c r="E20" s="46">
        <v>2007</v>
      </c>
      <c r="F20" s="45">
        <v>2008</v>
      </c>
      <c r="G20" s="46">
        <v>2009</v>
      </c>
      <c r="H20" s="45">
        <v>2010</v>
      </c>
      <c r="I20" s="46">
        <v>2011</v>
      </c>
      <c r="J20" s="48">
        <v>2012</v>
      </c>
      <c r="K20" s="47">
        <v>2013</v>
      </c>
      <c r="L20" s="48">
        <v>2014</v>
      </c>
      <c r="M20" s="47">
        <v>2015</v>
      </c>
      <c r="N20" s="48">
        <v>2016</v>
      </c>
      <c r="O20" s="47">
        <v>2017</v>
      </c>
      <c r="P20" s="47">
        <v>2018</v>
      </c>
      <c r="Q20" s="54">
        <v>2019</v>
      </c>
      <c r="R20" s="49">
        <v>2020</v>
      </c>
    </row>
    <row r="21" spans="1:18" s="115" customFormat="1" ht="15.6" x14ac:dyDescent="0.3">
      <c r="A21" s="33" t="s">
        <v>24</v>
      </c>
      <c r="B21" s="29" t="s">
        <v>152</v>
      </c>
      <c r="C21" s="27" t="s">
        <v>152</v>
      </c>
      <c r="D21" s="1" t="s">
        <v>152</v>
      </c>
      <c r="E21" s="251">
        <v>7853</v>
      </c>
      <c r="F21" s="252">
        <v>12337</v>
      </c>
      <c r="G21" s="253">
        <v>7871</v>
      </c>
      <c r="H21" s="252">
        <v>19231</v>
      </c>
      <c r="I21" s="251">
        <v>3966</v>
      </c>
      <c r="J21" s="252">
        <v>8702</v>
      </c>
      <c r="K21" s="251">
        <v>10377</v>
      </c>
      <c r="L21" s="252">
        <v>9544</v>
      </c>
      <c r="M21" s="251">
        <v>7569</v>
      </c>
      <c r="N21" s="252">
        <v>7073</v>
      </c>
      <c r="O21" s="251">
        <v>9801</v>
      </c>
      <c r="P21" s="251">
        <v>8230</v>
      </c>
      <c r="Q21" s="285">
        <v>5743</v>
      </c>
      <c r="R21" s="286">
        <v>5172</v>
      </c>
    </row>
    <row r="22" spans="1:18" s="115" customFormat="1" ht="15.6" x14ac:dyDescent="0.3">
      <c r="A22" s="34" t="s">
        <v>25</v>
      </c>
      <c r="B22" s="22" t="s">
        <v>152</v>
      </c>
      <c r="C22" s="20" t="s">
        <v>152</v>
      </c>
      <c r="D22" s="24" t="s">
        <v>152</v>
      </c>
      <c r="E22" s="20">
        <v>11398.12</v>
      </c>
      <c r="F22" s="24">
        <v>3221</v>
      </c>
      <c r="G22" s="21">
        <v>9576</v>
      </c>
      <c r="H22" s="24">
        <v>4069</v>
      </c>
      <c r="I22" s="20">
        <v>5760</v>
      </c>
      <c r="J22" s="24">
        <v>3908</v>
      </c>
      <c r="K22" s="20">
        <v>4357</v>
      </c>
      <c r="L22" s="24">
        <v>7528</v>
      </c>
      <c r="M22" s="20">
        <v>8160</v>
      </c>
      <c r="N22" s="24">
        <v>3162</v>
      </c>
      <c r="O22" s="20">
        <v>3876</v>
      </c>
      <c r="P22" s="20">
        <v>8334</v>
      </c>
      <c r="Q22" s="20">
        <v>4172</v>
      </c>
      <c r="R22" s="287">
        <v>5485</v>
      </c>
    </row>
    <row r="23" spans="1:18" s="115" customFormat="1" ht="15.6" x14ac:dyDescent="0.3">
      <c r="A23" s="35" t="s">
        <v>26</v>
      </c>
      <c r="B23" s="32" t="s">
        <v>152</v>
      </c>
      <c r="C23" s="15" t="s">
        <v>152</v>
      </c>
      <c r="D23" s="2" t="s">
        <v>152</v>
      </c>
      <c r="E23" s="15">
        <v>1744</v>
      </c>
      <c r="F23" s="2">
        <v>3307.21</v>
      </c>
      <c r="G23" s="17">
        <v>1084</v>
      </c>
      <c r="H23" s="2">
        <v>2913</v>
      </c>
      <c r="I23" s="15">
        <v>6636</v>
      </c>
      <c r="J23" s="2">
        <v>17827</v>
      </c>
      <c r="K23" s="15">
        <v>3948</v>
      </c>
      <c r="L23" s="2">
        <v>4163</v>
      </c>
      <c r="M23" s="15">
        <v>5029</v>
      </c>
      <c r="N23" s="2">
        <v>1224</v>
      </c>
      <c r="O23" s="15">
        <v>3033</v>
      </c>
      <c r="P23" s="15">
        <v>6555</v>
      </c>
      <c r="Q23" s="15">
        <v>3101</v>
      </c>
      <c r="R23" s="287">
        <v>3808</v>
      </c>
    </row>
    <row r="24" spans="1:18" s="115" customFormat="1" ht="15.6" x14ac:dyDescent="0.3">
      <c r="A24" s="34" t="s">
        <v>27</v>
      </c>
      <c r="B24" s="22" t="s">
        <v>152</v>
      </c>
      <c r="C24" s="20" t="s">
        <v>152</v>
      </c>
      <c r="D24" s="250">
        <v>0</v>
      </c>
      <c r="E24" s="20">
        <v>3236</v>
      </c>
      <c r="F24" s="24">
        <v>11517.27</v>
      </c>
      <c r="G24" s="21">
        <v>16751</v>
      </c>
      <c r="H24" s="24">
        <v>10312</v>
      </c>
      <c r="I24" s="20">
        <v>7106</v>
      </c>
      <c r="J24" s="24">
        <v>5581</v>
      </c>
      <c r="K24" s="20">
        <v>4244</v>
      </c>
      <c r="L24" s="24">
        <v>7238</v>
      </c>
      <c r="M24" s="20">
        <v>9384</v>
      </c>
      <c r="N24" s="24">
        <v>6191</v>
      </c>
      <c r="O24" s="20">
        <v>5901</v>
      </c>
      <c r="P24" s="20">
        <v>5010</v>
      </c>
      <c r="Q24" s="20">
        <v>4852</v>
      </c>
      <c r="R24" s="287">
        <v>5434</v>
      </c>
    </row>
    <row r="25" spans="1:18" s="115" customFormat="1" ht="15.6" x14ac:dyDescent="0.3">
      <c r="A25" s="35" t="s">
        <v>28</v>
      </c>
      <c r="B25" s="32" t="s">
        <v>152</v>
      </c>
      <c r="C25" s="15" t="s">
        <v>152</v>
      </c>
      <c r="D25" s="2">
        <v>1422</v>
      </c>
      <c r="E25" s="15">
        <v>2012</v>
      </c>
      <c r="F25" s="2">
        <v>4300.84</v>
      </c>
      <c r="G25" s="17">
        <v>4786</v>
      </c>
      <c r="H25" s="2">
        <v>4708</v>
      </c>
      <c r="I25" s="15">
        <v>5397</v>
      </c>
      <c r="J25" s="2">
        <v>2680</v>
      </c>
      <c r="K25" s="15">
        <v>2750</v>
      </c>
      <c r="L25" s="2">
        <v>6411</v>
      </c>
      <c r="M25" s="15">
        <v>6151</v>
      </c>
      <c r="N25" s="2">
        <v>4465</v>
      </c>
      <c r="O25" s="15">
        <v>5812</v>
      </c>
      <c r="P25" s="15">
        <v>3301</v>
      </c>
      <c r="Q25" s="15">
        <v>6794</v>
      </c>
      <c r="R25" s="287">
        <v>5850</v>
      </c>
    </row>
    <row r="26" spans="1:18" s="115" customFormat="1" ht="15.6" x14ac:dyDescent="0.3">
      <c r="A26" s="34" t="s">
        <v>29</v>
      </c>
      <c r="B26" s="22" t="s">
        <v>152</v>
      </c>
      <c r="C26" s="20" t="s">
        <v>152</v>
      </c>
      <c r="D26" s="24">
        <v>2046</v>
      </c>
      <c r="E26" s="20">
        <v>3898.27</v>
      </c>
      <c r="F26" s="24">
        <v>5339.16</v>
      </c>
      <c r="G26" s="21">
        <v>13410</v>
      </c>
      <c r="H26" s="24">
        <v>3717</v>
      </c>
      <c r="I26" s="20">
        <v>17113</v>
      </c>
      <c r="J26" s="24">
        <v>4277</v>
      </c>
      <c r="K26" s="20">
        <v>4238</v>
      </c>
      <c r="L26" s="24">
        <v>4937</v>
      </c>
      <c r="M26" s="20">
        <v>8742</v>
      </c>
      <c r="N26" s="24">
        <v>7082</v>
      </c>
      <c r="O26" s="20">
        <v>4209</v>
      </c>
      <c r="P26" s="20">
        <v>3572</v>
      </c>
      <c r="Q26" s="20">
        <v>5861</v>
      </c>
      <c r="R26" s="287">
        <v>4284</v>
      </c>
    </row>
    <row r="27" spans="1:18" s="115" customFormat="1" ht="15.6" x14ac:dyDescent="0.3">
      <c r="A27" s="35" t="s">
        <v>30</v>
      </c>
      <c r="B27" s="32" t="s">
        <v>152</v>
      </c>
      <c r="C27" s="15" t="s">
        <v>152</v>
      </c>
      <c r="D27" s="2">
        <v>5057</v>
      </c>
      <c r="E27" s="15">
        <v>5200</v>
      </c>
      <c r="F27" s="2">
        <v>6744.99</v>
      </c>
      <c r="G27" s="17">
        <v>16503</v>
      </c>
      <c r="H27" s="2">
        <v>36458</v>
      </c>
      <c r="I27" s="15">
        <v>7055</v>
      </c>
      <c r="J27" s="2">
        <v>17059</v>
      </c>
      <c r="K27" s="15">
        <v>7558</v>
      </c>
      <c r="L27" s="2">
        <v>7946</v>
      </c>
      <c r="M27" s="15">
        <v>7157</v>
      </c>
      <c r="N27" s="2">
        <v>7614</v>
      </c>
      <c r="O27" s="15">
        <v>4429</v>
      </c>
      <c r="P27" s="15">
        <v>4598</v>
      </c>
      <c r="Q27" s="15">
        <v>5786</v>
      </c>
      <c r="R27" s="295" t="s">
        <v>152</v>
      </c>
    </row>
    <row r="28" spans="1:18" s="115" customFormat="1" ht="15.6" x14ac:dyDescent="0.3">
      <c r="A28" s="34" t="s">
        <v>31</v>
      </c>
      <c r="B28" s="22" t="s">
        <v>152</v>
      </c>
      <c r="C28" s="20" t="s">
        <v>152</v>
      </c>
      <c r="D28" s="24">
        <v>2444</v>
      </c>
      <c r="E28" s="20">
        <v>3116.5</v>
      </c>
      <c r="F28" s="24">
        <v>2367.91</v>
      </c>
      <c r="G28" s="21">
        <v>5605</v>
      </c>
      <c r="H28" s="24">
        <v>3594</v>
      </c>
      <c r="I28" s="20">
        <v>-9823</v>
      </c>
      <c r="J28" s="24">
        <v>5010</v>
      </c>
      <c r="K28" s="20">
        <v>3645</v>
      </c>
      <c r="L28" s="24">
        <v>5446</v>
      </c>
      <c r="M28" s="20">
        <v>5222</v>
      </c>
      <c r="N28" s="24">
        <v>6126</v>
      </c>
      <c r="O28" s="20">
        <v>4760</v>
      </c>
      <c r="P28" s="20">
        <v>7451</v>
      </c>
      <c r="Q28" s="20">
        <v>6580</v>
      </c>
      <c r="R28" s="295" t="s">
        <v>152</v>
      </c>
    </row>
    <row r="29" spans="1:18" s="115" customFormat="1" ht="15.6" x14ac:dyDescent="0.3">
      <c r="A29" s="35" t="s">
        <v>32</v>
      </c>
      <c r="B29" s="32" t="s">
        <v>152</v>
      </c>
      <c r="C29" s="15" t="s">
        <v>152</v>
      </c>
      <c r="D29" s="2">
        <v>2817</v>
      </c>
      <c r="E29" s="15">
        <v>5297.79</v>
      </c>
      <c r="F29" s="2">
        <v>2973.27</v>
      </c>
      <c r="G29" s="17">
        <v>4483</v>
      </c>
      <c r="H29" s="2">
        <v>5256</v>
      </c>
      <c r="I29" s="15">
        <v>5200</v>
      </c>
      <c r="J29" s="2">
        <v>4640</v>
      </c>
      <c r="K29" s="15">
        <v>4198</v>
      </c>
      <c r="L29" s="2">
        <v>4961</v>
      </c>
      <c r="M29" s="15">
        <v>5000</v>
      </c>
      <c r="N29" s="2">
        <v>5443</v>
      </c>
      <c r="O29" s="15">
        <v>5308</v>
      </c>
      <c r="P29" s="15">
        <v>4061</v>
      </c>
      <c r="Q29" s="15">
        <v>4531</v>
      </c>
      <c r="R29" s="295" t="s">
        <v>152</v>
      </c>
    </row>
    <row r="30" spans="1:18" s="115" customFormat="1" ht="15.6" x14ac:dyDescent="0.3">
      <c r="A30" s="34" t="s">
        <v>33</v>
      </c>
      <c r="B30" s="20" t="s">
        <v>152</v>
      </c>
      <c r="C30" s="20" t="s">
        <v>152</v>
      </c>
      <c r="D30" s="24">
        <v>4917</v>
      </c>
      <c r="E30" s="20">
        <v>10435.68</v>
      </c>
      <c r="F30" s="24">
        <f>11767.59+120.9</f>
        <v>11888.49</v>
      </c>
      <c r="G30" s="21">
        <v>11778</v>
      </c>
      <c r="H30" s="24">
        <v>5227</v>
      </c>
      <c r="I30" s="20">
        <v>4171</v>
      </c>
      <c r="J30" s="24">
        <v>5253</v>
      </c>
      <c r="K30" s="20">
        <v>8150</v>
      </c>
      <c r="L30" s="24">
        <v>6989</v>
      </c>
      <c r="M30" s="20">
        <v>5437</v>
      </c>
      <c r="N30" s="24">
        <v>7540</v>
      </c>
      <c r="O30" s="20">
        <v>8053</v>
      </c>
      <c r="P30" s="20">
        <v>4100</v>
      </c>
      <c r="Q30" s="20">
        <v>4997</v>
      </c>
      <c r="R30" s="295" t="s">
        <v>152</v>
      </c>
    </row>
    <row r="31" spans="1:18" s="115" customFormat="1" ht="15.6" x14ac:dyDescent="0.3">
      <c r="A31" s="34" t="s">
        <v>34</v>
      </c>
      <c r="B31" s="20" t="s">
        <v>152</v>
      </c>
      <c r="C31" s="20" t="s">
        <v>152</v>
      </c>
      <c r="D31" s="24">
        <v>2399.19</v>
      </c>
      <c r="E31" s="20">
        <v>2934.39</v>
      </c>
      <c r="F31" s="24" t="s">
        <v>35</v>
      </c>
      <c r="G31" s="21">
        <v>5062</v>
      </c>
      <c r="H31" s="24">
        <v>3240</v>
      </c>
      <c r="I31" s="20">
        <v>3896</v>
      </c>
      <c r="J31" s="24">
        <v>6684</v>
      </c>
      <c r="K31" s="20">
        <v>6195</v>
      </c>
      <c r="L31" s="24">
        <v>7914</v>
      </c>
      <c r="M31" s="20">
        <v>5901</v>
      </c>
      <c r="N31" s="24">
        <v>5607</v>
      </c>
      <c r="O31" s="20">
        <v>4232</v>
      </c>
      <c r="P31" s="20">
        <v>8550</v>
      </c>
      <c r="Q31" s="20">
        <v>4354</v>
      </c>
      <c r="R31" s="295" t="s">
        <v>152</v>
      </c>
    </row>
    <row r="32" spans="1:18" s="115" customFormat="1" ht="16.2" thickBot="1" x14ac:dyDescent="0.35">
      <c r="A32" s="5" t="s">
        <v>36</v>
      </c>
      <c r="B32" s="15" t="s">
        <v>152</v>
      </c>
      <c r="C32" s="15" t="s">
        <v>152</v>
      </c>
      <c r="D32" s="3">
        <v>3929.07</v>
      </c>
      <c r="E32" s="17">
        <v>5777.59</v>
      </c>
      <c r="F32" s="3">
        <v>7304</v>
      </c>
      <c r="G32" s="17">
        <v>2571</v>
      </c>
      <c r="H32" s="2">
        <v>4054</v>
      </c>
      <c r="I32" s="15">
        <v>13944</v>
      </c>
      <c r="J32" s="2">
        <v>3889</v>
      </c>
      <c r="K32" s="15">
        <v>14520</v>
      </c>
      <c r="L32" s="2">
        <v>5268</v>
      </c>
      <c r="M32" s="15">
        <v>4740</v>
      </c>
      <c r="N32" s="2">
        <v>4285</v>
      </c>
      <c r="O32" s="15">
        <v>1632</v>
      </c>
      <c r="P32" s="15">
        <v>5198</v>
      </c>
      <c r="Q32" s="15">
        <v>4295</v>
      </c>
      <c r="R32" s="292" t="s">
        <v>152</v>
      </c>
    </row>
    <row r="33" spans="1:18" s="115" customFormat="1" ht="16.2" thickTop="1" x14ac:dyDescent="0.3">
      <c r="A33" s="55" t="s">
        <v>37</v>
      </c>
      <c r="B33" s="56" t="s">
        <v>152</v>
      </c>
      <c r="C33" s="57" t="s">
        <v>152</v>
      </c>
      <c r="D33" s="254">
        <f t="shared" ref="D33:J33" si="3">SUM(D21:D32)</f>
        <v>25031.26</v>
      </c>
      <c r="E33" s="249">
        <f t="shared" si="3"/>
        <v>62903.34</v>
      </c>
      <c r="F33" s="254">
        <f t="shared" si="3"/>
        <v>71301.139999999985</v>
      </c>
      <c r="G33" s="249">
        <f t="shared" si="3"/>
        <v>99480</v>
      </c>
      <c r="H33" s="254">
        <f t="shared" si="3"/>
        <v>102779</v>
      </c>
      <c r="I33" s="249">
        <f t="shared" si="3"/>
        <v>70421</v>
      </c>
      <c r="J33" s="254">
        <f t="shared" si="3"/>
        <v>85510</v>
      </c>
      <c r="K33" s="249">
        <f t="shared" ref="K33:P33" si="4">SUM(K21:K32)</f>
        <v>74180</v>
      </c>
      <c r="L33" s="254">
        <f t="shared" si="4"/>
        <v>78345</v>
      </c>
      <c r="M33" s="249">
        <f t="shared" si="4"/>
        <v>78492</v>
      </c>
      <c r="N33" s="254">
        <f t="shared" si="4"/>
        <v>65812</v>
      </c>
      <c r="O33" s="249">
        <f t="shared" si="4"/>
        <v>61046</v>
      </c>
      <c r="P33" s="249">
        <f t="shared" si="4"/>
        <v>68960</v>
      </c>
      <c r="Q33" s="249">
        <f t="shared" ref="Q33:R33" si="5">SUM(Q21:Q32)</f>
        <v>61066</v>
      </c>
      <c r="R33" s="288">
        <f t="shared" si="5"/>
        <v>30033</v>
      </c>
    </row>
    <row r="34" spans="1:18" s="116" customFormat="1" ht="6.6" x14ac:dyDescent="0.15">
      <c r="A34" s="362" t="s">
        <v>174</v>
      </c>
      <c r="B34" s="362"/>
      <c r="C34" s="362"/>
      <c r="D34" s="362"/>
      <c r="E34" s="362"/>
      <c r="F34" s="362"/>
      <c r="G34" s="362"/>
      <c r="H34" s="362"/>
      <c r="I34" s="362"/>
      <c r="J34" s="362"/>
      <c r="K34" s="362"/>
      <c r="L34" s="362"/>
      <c r="M34" s="362"/>
      <c r="N34" s="362"/>
      <c r="O34" s="362"/>
      <c r="P34" s="362"/>
      <c r="Q34" s="362"/>
      <c r="R34" s="362"/>
    </row>
    <row r="35" spans="1:18" s="115" customFormat="1" ht="18" x14ac:dyDescent="0.35">
      <c r="A35" s="361" t="s">
        <v>106</v>
      </c>
      <c r="B35" s="361"/>
      <c r="C35" s="361"/>
      <c r="D35" s="361"/>
      <c r="E35" s="361"/>
      <c r="F35" s="361"/>
      <c r="G35" s="361"/>
      <c r="H35" s="361"/>
      <c r="I35" s="361"/>
      <c r="J35" s="361"/>
      <c r="K35" s="361"/>
      <c r="L35" s="361"/>
      <c r="M35" s="361"/>
      <c r="N35" s="361"/>
      <c r="O35" s="361"/>
      <c r="P35" s="361"/>
      <c r="Q35" s="361"/>
      <c r="R35" s="361"/>
    </row>
    <row r="36" spans="1:18" s="115" customFormat="1" ht="15.6" x14ac:dyDescent="0.3">
      <c r="A36" s="43" t="s">
        <v>23</v>
      </c>
      <c r="B36" s="44">
        <v>2004</v>
      </c>
      <c r="C36" s="45">
        <v>2005</v>
      </c>
      <c r="D36" s="46">
        <v>2006</v>
      </c>
      <c r="E36" s="45">
        <v>2007</v>
      </c>
      <c r="F36" s="46">
        <v>2008</v>
      </c>
      <c r="G36" s="45">
        <v>2009</v>
      </c>
      <c r="H36" s="46">
        <v>2010</v>
      </c>
      <c r="I36" s="45">
        <v>2011</v>
      </c>
      <c r="J36" s="47">
        <v>2012</v>
      </c>
      <c r="K36" s="48">
        <v>2013</v>
      </c>
      <c r="L36" s="47">
        <v>2014</v>
      </c>
      <c r="M36" s="48">
        <v>2015</v>
      </c>
      <c r="N36" s="47">
        <v>2016</v>
      </c>
      <c r="O36" s="48">
        <v>2017</v>
      </c>
      <c r="P36" s="47">
        <v>2018</v>
      </c>
      <c r="Q36" s="54">
        <v>2019</v>
      </c>
      <c r="R36" s="49">
        <v>2020</v>
      </c>
    </row>
    <row r="37" spans="1:18" s="115" customFormat="1" ht="15.6" x14ac:dyDescent="0.3">
      <c r="A37" s="37" t="s">
        <v>24</v>
      </c>
      <c r="B37" s="22" t="s">
        <v>152</v>
      </c>
      <c r="C37" s="20" t="s">
        <v>152</v>
      </c>
      <c r="D37" s="14" t="s">
        <v>152</v>
      </c>
      <c r="E37" s="1" t="s">
        <v>152</v>
      </c>
      <c r="F37" s="14" t="s">
        <v>152</v>
      </c>
      <c r="G37" s="255">
        <v>-368</v>
      </c>
      <c r="H37" s="251">
        <v>0</v>
      </c>
      <c r="I37" s="252">
        <v>0</v>
      </c>
      <c r="J37" s="251">
        <v>-12639</v>
      </c>
      <c r="K37" s="252">
        <v>-327</v>
      </c>
      <c r="L37" s="251">
        <v>-10440</v>
      </c>
      <c r="M37" s="252">
        <v>-7912</v>
      </c>
      <c r="N37" s="251">
        <v>-3282</v>
      </c>
      <c r="O37" s="252">
        <v>-3793</v>
      </c>
      <c r="P37" s="251">
        <v>-304</v>
      </c>
      <c r="Q37" s="251">
        <v>-877</v>
      </c>
      <c r="R37" s="286">
        <v>-16</v>
      </c>
    </row>
    <row r="38" spans="1:18" s="115" customFormat="1" ht="15.6" x14ac:dyDescent="0.3">
      <c r="A38" s="36" t="s">
        <v>25</v>
      </c>
      <c r="B38" s="22" t="s">
        <v>152</v>
      </c>
      <c r="C38" s="20" t="s">
        <v>152</v>
      </c>
      <c r="D38" s="20" t="s">
        <v>152</v>
      </c>
      <c r="E38" s="24" t="s">
        <v>152</v>
      </c>
      <c r="F38" s="20" t="s">
        <v>152</v>
      </c>
      <c r="G38" s="31">
        <v>-619</v>
      </c>
      <c r="H38" s="20">
        <v>-1399</v>
      </c>
      <c r="I38" s="24">
        <v>-94777</v>
      </c>
      <c r="J38" s="20">
        <v>-28</v>
      </c>
      <c r="K38" s="24">
        <v>-16419</v>
      </c>
      <c r="L38" s="20">
        <v>-11415</v>
      </c>
      <c r="M38" s="24">
        <v>-3122</v>
      </c>
      <c r="N38" s="20">
        <v>0</v>
      </c>
      <c r="O38" s="24">
        <v>-1984</v>
      </c>
      <c r="P38" s="20">
        <v>-1543</v>
      </c>
      <c r="Q38" s="20">
        <v>0</v>
      </c>
      <c r="R38" s="287">
        <v>-1868</v>
      </c>
    </row>
    <row r="39" spans="1:18" s="115" customFormat="1" ht="15.6" x14ac:dyDescent="0.3">
      <c r="A39" s="4" t="s">
        <v>26</v>
      </c>
      <c r="B39" s="22" t="s">
        <v>152</v>
      </c>
      <c r="C39" s="20" t="s">
        <v>152</v>
      </c>
      <c r="D39" s="15" t="s">
        <v>152</v>
      </c>
      <c r="E39" s="2" t="s">
        <v>152</v>
      </c>
      <c r="F39" s="15" t="s">
        <v>152</v>
      </c>
      <c r="G39" s="3">
        <v>-15858</v>
      </c>
      <c r="H39" s="15">
        <v>-6709</v>
      </c>
      <c r="I39" s="2">
        <v>-435</v>
      </c>
      <c r="J39" s="15">
        <v>-15684</v>
      </c>
      <c r="K39" s="2">
        <v>-2160</v>
      </c>
      <c r="L39" s="15">
        <v>-2762</v>
      </c>
      <c r="M39" s="2">
        <v>-7349</v>
      </c>
      <c r="N39" s="15">
        <v>-34801</v>
      </c>
      <c r="O39" s="2">
        <v>0</v>
      </c>
      <c r="P39" s="15">
        <v>-4833</v>
      </c>
      <c r="Q39" s="15">
        <v>0</v>
      </c>
      <c r="R39" s="287">
        <v>-986</v>
      </c>
    </row>
    <row r="40" spans="1:18" s="115" customFormat="1" ht="15.6" x14ac:dyDescent="0.3">
      <c r="A40" s="13" t="s">
        <v>27</v>
      </c>
      <c r="B40" s="22" t="s">
        <v>152</v>
      </c>
      <c r="C40" s="20" t="s">
        <v>152</v>
      </c>
      <c r="D40" s="23" t="s">
        <v>152</v>
      </c>
      <c r="E40" s="24" t="s">
        <v>152</v>
      </c>
      <c r="F40" s="20" t="s">
        <v>152</v>
      </c>
      <c r="G40" s="31">
        <v>-13465</v>
      </c>
      <c r="H40" s="20">
        <v>-10718</v>
      </c>
      <c r="I40" s="24">
        <v>-4454</v>
      </c>
      <c r="J40" s="20">
        <v>-4508</v>
      </c>
      <c r="K40" s="24">
        <v>0</v>
      </c>
      <c r="L40" s="20">
        <v>-1495</v>
      </c>
      <c r="M40" s="24">
        <v>-1026</v>
      </c>
      <c r="N40" s="20">
        <v>-1500</v>
      </c>
      <c r="O40" s="24">
        <v>-319</v>
      </c>
      <c r="P40" s="20">
        <v>-21437</v>
      </c>
      <c r="Q40" s="20">
        <v>-1</v>
      </c>
      <c r="R40" s="287">
        <v>0</v>
      </c>
    </row>
    <row r="41" spans="1:18" s="115" customFormat="1" ht="15.6" x14ac:dyDescent="0.3">
      <c r="A41" s="36" t="s">
        <v>28</v>
      </c>
      <c r="B41" s="22" t="s">
        <v>152</v>
      </c>
      <c r="C41" s="20" t="s">
        <v>152</v>
      </c>
      <c r="D41" s="15" t="s">
        <v>152</v>
      </c>
      <c r="E41" s="2" t="s">
        <v>152</v>
      </c>
      <c r="F41" s="15" t="s">
        <v>152</v>
      </c>
      <c r="G41" s="3">
        <v>-62</v>
      </c>
      <c r="H41" s="15">
        <v>-23833</v>
      </c>
      <c r="I41" s="2">
        <v>-1348</v>
      </c>
      <c r="J41" s="15">
        <v>-22511</v>
      </c>
      <c r="K41" s="2">
        <v>-316</v>
      </c>
      <c r="L41" s="15">
        <v>-452</v>
      </c>
      <c r="M41" s="2">
        <v>-36</v>
      </c>
      <c r="N41" s="15">
        <v>-8881</v>
      </c>
      <c r="O41" s="2">
        <v>0</v>
      </c>
      <c r="P41" s="15">
        <v>0</v>
      </c>
      <c r="Q41" s="15">
        <v>-2898</v>
      </c>
      <c r="R41" s="287">
        <v>-41</v>
      </c>
    </row>
    <row r="42" spans="1:18" s="115" customFormat="1" ht="15.6" x14ac:dyDescent="0.3">
      <c r="A42" s="4" t="s">
        <v>29</v>
      </c>
      <c r="B42" s="22" t="s">
        <v>152</v>
      </c>
      <c r="C42" s="20" t="s">
        <v>152</v>
      </c>
      <c r="D42" s="20" t="s">
        <v>152</v>
      </c>
      <c r="E42" s="24" t="s">
        <v>152</v>
      </c>
      <c r="F42" s="20" t="s">
        <v>152</v>
      </c>
      <c r="G42" s="31">
        <v>0</v>
      </c>
      <c r="H42" s="20">
        <v>0</v>
      </c>
      <c r="I42" s="24">
        <v>-770</v>
      </c>
      <c r="J42" s="20">
        <v>0</v>
      </c>
      <c r="K42" s="24">
        <v>-18624</v>
      </c>
      <c r="L42" s="20">
        <v>-17751</v>
      </c>
      <c r="M42" s="24">
        <v>-36048</v>
      </c>
      <c r="N42" s="20">
        <v>6</v>
      </c>
      <c r="O42" s="24">
        <v>-73</v>
      </c>
      <c r="P42" s="20">
        <v>0</v>
      </c>
      <c r="Q42" s="20">
        <v>0</v>
      </c>
      <c r="R42" s="287">
        <v>-1448</v>
      </c>
    </row>
    <row r="43" spans="1:18" s="115" customFormat="1" ht="15.6" x14ac:dyDescent="0.3">
      <c r="A43" s="13" t="s">
        <v>30</v>
      </c>
      <c r="B43" s="22" t="s">
        <v>152</v>
      </c>
      <c r="C43" s="20" t="s">
        <v>152</v>
      </c>
      <c r="D43" s="15" t="s">
        <v>152</v>
      </c>
      <c r="E43" s="2" t="s">
        <v>152</v>
      </c>
      <c r="F43" s="15" t="s">
        <v>152</v>
      </c>
      <c r="G43" s="3">
        <v>-1671</v>
      </c>
      <c r="H43" s="15">
        <v>0</v>
      </c>
      <c r="I43" s="2">
        <v>-663</v>
      </c>
      <c r="J43" s="15">
        <v>-1335</v>
      </c>
      <c r="K43" s="2">
        <v>-1450</v>
      </c>
      <c r="L43" s="15">
        <v>-67</v>
      </c>
      <c r="M43" s="2">
        <v>-6</v>
      </c>
      <c r="N43" s="15">
        <v>-211</v>
      </c>
      <c r="O43" s="2">
        <v>0</v>
      </c>
      <c r="P43" s="15">
        <v>0</v>
      </c>
      <c r="Q43" s="15">
        <v>-921</v>
      </c>
      <c r="R43" s="295" t="s">
        <v>152</v>
      </c>
    </row>
    <row r="44" spans="1:18" s="115" customFormat="1" ht="15.6" x14ac:dyDescent="0.3">
      <c r="A44" s="13" t="s">
        <v>31</v>
      </c>
      <c r="B44" s="22" t="s">
        <v>152</v>
      </c>
      <c r="C44" s="20" t="s">
        <v>152</v>
      </c>
      <c r="D44" s="20" t="s">
        <v>152</v>
      </c>
      <c r="E44" s="24" t="s">
        <v>152</v>
      </c>
      <c r="F44" s="20" t="s">
        <v>152</v>
      </c>
      <c r="G44" s="31">
        <v>-2846</v>
      </c>
      <c r="H44" s="20">
        <v>0</v>
      </c>
      <c r="I44" s="24">
        <v>-1942</v>
      </c>
      <c r="J44" s="20">
        <v>-3404</v>
      </c>
      <c r="K44" s="24">
        <v>-4366</v>
      </c>
      <c r="L44" s="20">
        <v>-20149</v>
      </c>
      <c r="M44" s="24">
        <v>-548</v>
      </c>
      <c r="N44" s="20">
        <v>-2952</v>
      </c>
      <c r="O44" s="24">
        <v>-47</v>
      </c>
      <c r="P44" s="20">
        <v>0</v>
      </c>
      <c r="Q44" s="20">
        <v>0</v>
      </c>
      <c r="R44" s="295" t="s">
        <v>152</v>
      </c>
    </row>
    <row r="45" spans="1:18" s="115" customFormat="1" ht="15.6" x14ac:dyDescent="0.3">
      <c r="A45" s="36" t="s">
        <v>32</v>
      </c>
      <c r="B45" s="22" t="s">
        <v>152</v>
      </c>
      <c r="C45" s="20" t="s">
        <v>152</v>
      </c>
      <c r="D45" s="15" t="s">
        <v>152</v>
      </c>
      <c r="E45" s="2" t="s">
        <v>152</v>
      </c>
      <c r="F45" s="15" t="s">
        <v>152</v>
      </c>
      <c r="G45" s="3">
        <v>-1039</v>
      </c>
      <c r="H45" s="15">
        <v>-256</v>
      </c>
      <c r="I45" s="2">
        <v>-161</v>
      </c>
      <c r="J45" s="15">
        <v>-4436</v>
      </c>
      <c r="K45" s="2">
        <v>-3020</v>
      </c>
      <c r="L45" s="15">
        <v>-127</v>
      </c>
      <c r="M45" s="2">
        <v>-963</v>
      </c>
      <c r="N45" s="15">
        <v>0</v>
      </c>
      <c r="O45" s="2">
        <v>-3367</v>
      </c>
      <c r="P45" s="15">
        <v>-172</v>
      </c>
      <c r="Q45" s="15">
        <v>-1620</v>
      </c>
      <c r="R45" s="295" t="s">
        <v>152</v>
      </c>
    </row>
    <row r="46" spans="1:18" s="115" customFormat="1" ht="15.6" x14ac:dyDescent="0.3">
      <c r="A46" s="36" t="s">
        <v>33</v>
      </c>
      <c r="B46" s="22" t="s">
        <v>152</v>
      </c>
      <c r="C46" s="20" t="s">
        <v>152</v>
      </c>
      <c r="D46" s="20" t="s">
        <v>152</v>
      </c>
      <c r="E46" s="24" t="s">
        <v>152</v>
      </c>
      <c r="F46" s="20" t="s">
        <v>152</v>
      </c>
      <c r="G46" s="31">
        <v>-77</v>
      </c>
      <c r="H46" s="20">
        <v>-2683</v>
      </c>
      <c r="I46" s="24">
        <v>-4813</v>
      </c>
      <c r="J46" s="20">
        <v>-399</v>
      </c>
      <c r="K46" s="24">
        <v>-285</v>
      </c>
      <c r="L46" s="20">
        <v>-691</v>
      </c>
      <c r="M46" s="24">
        <v>-2182</v>
      </c>
      <c r="N46" s="20">
        <v>-160</v>
      </c>
      <c r="O46" s="24">
        <v>-62</v>
      </c>
      <c r="P46" s="20">
        <v>-89</v>
      </c>
      <c r="Q46" s="20">
        <v>-15</v>
      </c>
      <c r="R46" s="295" t="s">
        <v>152</v>
      </c>
    </row>
    <row r="47" spans="1:18" s="115" customFormat="1" ht="15.6" x14ac:dyDescent="0.3">
      <c r="A47" s="36" t="s">
        <v>34</v>
      </c>
      <c r="B47" s="20" t="s">
        <v>152</v>
      </c>
      <c r="C47" s="20" t="s">
        <v>152</v>
      </c>
      <c r="D47" s="15" t="s">
        <v>152</v>
      </c>
      <c r="E47" s="2" t="s">
        <v>152</v>
      </c>
      <c r="F47" s="15" t="s">
        <v>152</v>
      </c>
      <c r="G47" s="3">
        <v>-3308</v>
      </c>
      <c r="H47" s="15">
        <v>-22195</v>
      </c>
      <c r="I47" s="2">
        <v>0</v>
      </c>
      <c r="J47" s="15">
        <v>-4636</v>
      </c>
      <c r="K47" s="2">
        <v>-1</v>
      </c>
      <c r="L47" s="15">
        <v>-510</v>
      </c>
      <c r="M47" s="2">
        <v>-536</v>
      </c>
      <c r="N47" s="15">
        <v>-3342</v>
      </c>
      <c r="O47" s="2">
        <v>-45</v>
      </c>
      <c r="P47" s="15">
        <v>-473</v>
      </c>
      <c r="Q47" s="15">
        <v>-1853</v>
      </c>
      <c r="R47" s="295" t="s">
        <v>152</v>
      </c>
    </row>
    <row r="48" spans="1:18" s="115" customFormat="1" ht="16.2" thickBot="1" x14ac:dyDescent="0.35">
      <c r="A48" s="4" t="s">
        <v>36</v>
      </c>
      <c r="B48" s="27" t="s">
        <v>152</v>
      </c>
      <c r="C48" s="28" t="s">
        <v>152</v>
      </c>
      <c r="D48" s="39" t="s">
        <v>152</v>
      </c>
      <c r="E48" s="40" t="s">
        <v>152</v>
      </c>
      <c r="F48" s="39" t="s">
        <v>152</v>
      </c>
      <c r="G48" s="40">
        <v>0</v>
      </c>
      <c r="H48" s="28">
        <v>-172</v>
      </c>
      <c r="I48" s="41">
        <v>-2725</v>
      </c>
      <c r="J48" s="28">
        <v>-12</v>
      </c>
      <c r="K48" s="41">
        <v>-10914</v>
      </c>
      <c r="L48" s="28">
        <v>-665</v>
      </c>
      <c r="M48" s="41">
        <v>-509</v>
      </c>
      <c r="N48" s="28">
        <v>0</v>
      </c>
      <c r="O48" s="41">
        <v>-1570</v>
      </c>
      <c r="P48" s="28">
        <v>0</v>
      </c>
      <c r="Q48" s="28">
        <v>-986</v>
      </c>
      <c r="R48" s="292" t="s">
        <v>152</v>
      </c>
    </row>
    <row r="49" spans="1:18" s="115" customFormat="1" ht="16.2" thickTop="1" x14ac:dyDescent="0.3">
      <c r="A49" s="55" t="s">
        <v>37</v>
      </c>
      <c r="B49" s="56" t="s">
        <v>152</v>
      </c>
      <c r="C49" s="57" t="s">
        <v>152</v>
      </c>
      <c r="D49" s="59" t="s">
        <v>152</v>
      </c>
      <c r="E49" s="60" t="s">
        <v>152</v>
      </c>
      <c r="F49" s="58" t="s">
        <v>152</v>
      </c>
      <c r="G49" s="257">
        <f t="shared" ref="G49:P49" si="6">SUM(G37:G48)</f>
        <v>-39313</v>
      </c>
      <c r="H49" s="256">
        <f t="shared" si="6"/>
        <v>-67965</v>
      </c>
      <c r="I49" s="257">
        <f t="shared" si="6"/>
        <v>-112088</v>
      </c>
      <c r="J49" s="256">
        <f t="shared" si="6"/>
        <v>-69592</v>
      </c>
      <c r="K49" s="257">
        <f t="shared" si="6"/>
        <v>-57882</v>
      </c>
      <c r="L49" s="249">
        <f t="shared" si="6"/>
        <v>-66524</v>
      </c>
      <c r="M49" s="257">
        <f t="shared" si="6"/>
        <v>-60237</v>
      </c>
      <c r="N49" s="249">
        <f t="shared" si="6"/>
        <v>-55123</v>
      </c>
      <c r="O49" s="257">
        <f t="shared" si="6"/>
        <v>-11260</v>
      </c>
      <c r="P49" s="256">
        <f t="shared" si="6"/>
        <v>-28851</v>
      </c>
      <c r="Q49" s="270">
        <f t="shared" ref="Q49:R49" si="7">SUM(Q37:Q48)</f>
        <v>-9171</v>
      </c>
      <c r="R49" s="288">
        <f t="shared" si="7"/>
        <v>-4359</v>
      </c>
    </row>
    <row r="50" spans="1:18" s="116" customFormat="1" ht="6.6" x14ac:dyDescent="0.15">
      <c r="A50" s="362" t="s">
        <v>174</v>
      </c>
      <c r="B50" s="362"/>
      <c r="C50" s="362"/>
      <c r="D50" s="362"/>
      <c r="E50" s="362"/>
      <c r="F50" s="362"/>
      <c r="G50" s="362"/>
      <c r="H50" s="362"/>
      <c r="I50" s="362"/>
      <c r="J50" s="362"/>
      <c r="K50" s="362"/>
      <c r="L50" s="362"/>
      <c r="M50" s="362"/>
      <c r="N50" s="362"/>
      <c r="O50" s="362"/>
      <c r="P50" s="362"/>
      <c r="Q50" s="362"/>
      <c r="R50" s="362"/>
    </row>
    <row r="51" spans="1:18" s="117" customFormat="1" ht="13.8" x14ac:dyDescent="0.3">
      <c r="A51" s="366" t="s">
        <v>173</v>
      </c>
      <c r="B51" s="366"/>
      <c r="C51" s="366"/>
      <c r="D51" s="366"/>
      <c r="E51" s="366"/>
      <c r="F51" s="366"/>
      <c r="G51" s="366"/>
      <c r="H51" s="366"/>
      <c r="I51" s="366"/>
      <c r="J51" s="366"/>
      <c r="K51" s="366"/>
      <c r="L51" s="366"/>
      <c r="M51" s="366"/>
      <c r="N51" s="366"/>
      <c r="O51" s="366"/>
      <c r="P51" s="366"/>
      <c r="Q51" s="366"/>
      <c r="R51" s="366"/>
    </row>
    <row r="52" spans="1:18" s="117" customFormat="1" ht="13.8" x14ac:dyDescent="0.3">
      <c r="A52" s="363" t="s">
        <v>39</v>
      </c>
      <c r="B52" s="363"/>
      <c r="C52" s="363"/>
      <c r="D52" s="363"/>
      <c r="E52" s="363"/>
      <c r="F52" s="363"/>
      <c r="G52" s="363"/>
      <c r="H52" s="363"/>
      <c r="I52" s="363"/>
      <c r="J52" s="363"/>
      <c r="K52" s="363"/>
      <c r="L52" s="363"/>
      <c r="M52" s="363"/>
      <c r="N52" s="363"/>
      <c r="O52" s="363"/>
      <c r="P52" s="363"/>
      <c r="Q52" s="363"/>
      <c r="R52" s="363"/>
    </row>
    <row r="53" spans="1:18" s="117" customFormat="1" ht="13.8" x14ac:dyDescent="0.3">
      <c r="A53" s="364" t="str">
        <f>'Local SUT'!A60</f>
        <v>Source:  Minnesota Department of Revenue, Tax Research Division, February 2021</v>
      </c>
      <c r="B53" s="364"/>
      <c r="C53" s="364"/>
      <c r="D53" s="364"/>
      <c r="E53" s="364"/>
      <c r="F53" s="364"/>
      <c r="G53" s="364"/>
      <c r="H53" s="364"/>
      <c r="I53" s="364"/>
      <c r="J53" s="364"/>
      <c r="K53" s="364"/>
      <c r="L53" s="364"/>
      <c r="M53" s="364"/>
      <c r="N53" s="364"/>
      <c r="O53" s="364"/>
      <c r="P53" s="364"/>
      <c r="Q53" s="364"/>
      <c r="R53" s="364"/>
    </row>
    <row r="54" spans="1:18" s="117" customFormat="1" ht="13.8" x14ac:dyDescent="0.3">
      <c r="A54" s="365" t="s">
        <v>151</v>
      </c>
      <c r="B54" s="365"/>
      <c r="C54" s="365"/>
      <c r="D54" s="365"/>
      <c r="E54" s="365"/>
      <c r="F54" s="365"/>
      <c r="G54" s="365"/>
      <c r="H54" s="365"/>
      <c r="I54" s="365"/>
      <c r="J54" s="365"/>
      <c r="K54" s="365"/>
      <c r="L54" s="365"/>
      <c r="M54" s="365"/>
      <c r="N54" s="365"/>
      <c r="O54" s="365"/>
      <c r="P54" s="365"/>
      <c r="Q54" s="365"/>
      <c r="R54" s="365"/>
    </row>
  </sheetData>
  <mergeCells count="12">
    <mergeCell ref="A53:R53"/>
    <mergeCell ref="A54:R54"/>
    <mergeCell ref="A19:R19"/>
    <mergeCell ref="A34:R34"/>
    <mergeCell ref="A35:R35"/>
    <mergeCell ref="A50:R50"/>
    <mergeCell ref="A51:R51"/>
    <mergeCell ref="A1:R1"/>
    <mergeCell ref="A2:R2"/>
    <mergeCell ref="A3:R3"/>
    <mergeCell ref="A18:R18"/>
    <mergeCell ref="A52:R52"/>
  </mergeCells>
  <pageMargins left="0" right="0" top="0.75" bottom="0.75" header="0.3" footer="0.3"/>
  <pageSetup scale="73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R54"/>
  <sheetViews>
    <sheetView showGridLines="0" workbookViewId="0">
      <pane ySplit="1" topLeftCell="A2" activePane="bottomLeft" state="frozen"/>
      <selection pane="bottomLeft" sqref="A1:R1"/>
    </sheetView>
  </sheetViews>
  <sheetFormatPr defaultColWidth="12.5546875" defaultRowHeight="14.4" x14ac:dyDescent="0.3"/>
  <cols>
    <col min="1" max="1" width="12.5546875" style="6" customWidth="1"/>
    <col min="2" max="4" width="13.5546875" style="6" hidden="1" customWidth="1"/>
    <col min="5" max="17" width="13.5546875" style="6" customWidth="1"/>
    <col min="18" max="18" width="13.5546875" style="145" customWidth="1"/>
    <col min="19" max="16384" width="12.5546875" style="6"/>
  </cols>
  <sheetData>
    <row r="1" spans="1:18" ht="21" x14ac:dyDescent="0.4">
      <c r="A1" s="359" t="s">
        <v>189</v>
      </c>
      <c r="B1" s="359"/>
      <c r="C1" s="359"/>
      <c r="D1" s="359"/>
      <c r="E1" s="359"/>
      <c r="F1" s="359"/>
      <c r="G1" s="359"/>
      <c r="H1" s="359"/>
      <c r="I1" s="359"/>
      <c r="J1" s="359"/>
      <c r="K1" s="359"/>
      <c r="L1" s="359"/>
      <c r="M1" s="359"/>
      <c r="N1" s="359"/>
      <c r="O1" s="359"/>
      <c r="P1" s="359"/>
      <c r="Q1" s="359"/>
      <c r="R1" s="359"/>
    </row>
    <row r="2" spans="1:18" ht="18" x14ac:dyDescent="0.35">
      <c r="A2" s="360" t="str">
        <f>'Local SUT'!A2</f>
        <v>CY 2004-2020</v>
      </c>
      <c r="B2" s="360"/>
      <c r="C2" s="360"/>
      <c r="D2" s="360"/>
      <c r="E2" s="360"/>
      <c r="F2" s="360"/>
      <c r="G2" s="360"/>
      <c r="H2" s="360"/>
      <c r="I2" s="360"/>
      <c r="J2" s="360"/>
      <c r="K2" s="360"/>
      <c r="L2" s="360"/>
      <c r="M2" s="360"/>
      <c r="N2" s="360"/>
      <c r="O2" s="360"/>
      <c r="P2" s="360"/>
      <c r="Q2" s="360"/>
      <c r="R2" s="360"/>
    </row>
    <row r="3" spans="1:18" s="120" customFormat="1" ht="18" x14ac:dyDescent="0.35">
      <c r="A3" s="361" t="s">
        <v>40</v>
      </c>
      <c r="B3" s="361"/>
      <c r="C3" s="361"/>
      <c r="D3" s="361"/>
      <c r="E3" s="361"/>
      <c r="F3" s="361"/>
      <c r="G3" s="361"/>
      <c r="H3" s="361"/>
      <c r="I3" s="361"/>
      <c r="J3" s="361"/>
      <c r="K3" s="361"/>
      <c r="L3" s="361"/>
      <c r="M3" s="361"/>
      <c r="N3" s="361"/>
      <c r="O3" s="361"/>
      <c r="P3" s="361"/>
      <c r="Q3" s="361"/>
      <c r="R3" s="361"/>
    </row>
    <row r="4" spans="1:18" s="115" customFormat="1" ht="15.6" x14ac:dyDescent="0.3">
      <c r="A4" s="99" t="s">
        <v>23</v>
      </c>
      <c r="B4" s="96">
        <v>2004</v>
      </c>
      <c r="C4" s="53">
        <v>2005</v>
      </c>
      <c r="D4" s="53">
        <v>2006</v>
      </c>
      <c r="E4" s="53">
        <v>2007</v>
      </c>
      <c r="F4" s="53">
        <v>2008</v>
      </c>
      <c r="G4" s="53">
        <v>2009</v>
      </c>
      <c r="H4" s="53">
        <v>2010</v>
      </c>
      <c r="I4" s="53">
        <v>2011</v>
      </c>
      <c r="J4" s="54">
        <v>2012</v>
      </c>
      <c r="K4" s="54">
        <v>2013</v>
      </c>
      <c r="L4" s="54">
        <v>2014</v>
      </c>
      <c r="M4" s="54">
        <v>2015</v>
      </c>
      <c r="N4" s="54">
        <v>2016</v>
      </c>
      <c r="O4" s="54">
        <v>2017</v>
      </c>
      <c r="P4" s="54">
        <v>2018</v>
      </c>
      <c r="Q4" s="54">
        <v>2019</v>
      </c>
      <c r="R4" s="49">
        <v>2020</v>
      </c>
    </row>
    <row r="5" spans="1:18" s="115" customFormat="1" ht="15.6" x14ac:dyDescent="0.3">
      <c r="A5" s="36" t="s">
        <v>24</v>
      </c>
      <c r="B5" s="121" t="s">
        <v>152</v>
      </c>
      <c r="C5" s="38" t="s">
        <v>152</v>
      </c>
      <c r="D5" s="38" t="s">
        <v>152</v>
      </c>
      <c r="E5" s="38" t="s">
        <v>152</v>
      </c>
      <c r="F5" s="259">
        <v>117148</v>
      </c>
      <c r="G5" s="260">
        <v>121911</v>
      </c>
      <c r="H5" s="259">
        <v>138725</v>
      </c>
      <c r="I5" s="259">
        <v>139051</v>
      </c>
      <c r="J5" s="259">
        <v>148602</v>
      </c>
      <c r="K5" s="259">
        <v>145941</v>
      </c>
      <c r="L5" s="259">
        <v>154653</v>
      </c>
      <c r="M5" s="259">
        <v>156723</v>
      </c>
      <c r="N5" s="259">
        <v>149774</v>
      </c>
      <c r="O5" s="259">
        <v>143344</v>
      </c>
      <c r="P5" s="259">
        <v>129705</v>
      </c>
      <c r="Q5" s="259">
        <v>144602</v>
      </c>
      <c r="R5" s="286">
        <v>153574</v>
      </c>
    </row>
    <row r="6" spans="1:18" s="115" customFormat="1" ht="15.6" x14ac:dyDescent="0.3">
      <c r="A6" s="13" t="s">
        <v>25</v>
      </c>
      <c r="B6" s="22" t="s">
        <v>152</v>
      </c>
      <c r="C6" s="20" t="s">
        <v>152</v>
      </c>
      <c r="D6" s="20" t="s">
        <v>152</v>
      </c>
      <c r="E6" s="20" t="s">
        <v>152</v>
      </c>
      <c r="F6" s="122">
        <v>83053.2</v>
      </c>
      <c r="G6" s="123">
        <v>98273</v>
      </c>
      <c r="H6" s="122">
        <v>106946</v>
      </c>
      <c r="I6" s="122">
        <v>107843</v>
      </c>
      <c r="J6" s="122">
        <v>114331</v>
      </c>
      <c r="K6" s="122">
        <v>120125</v>
      </c>
      <c r="L6" s="122">
        <v>130131</v>
      </c>
      <c r="M6" s="122">
        <v>117091</v>
      </c>
      <c r="N6" s="122">
        <v>104026</v>
      </c>
      <c r="O6" s="122">
        <v>112024</v>
      </c>
      <c r="P6" s="122">
        <v>103946</v>
      </c>
      <c r="Q6" s="122">
        <v>108837</v>
      </c>
      <c r="R6" s="287">
        <v>114104</v>
      </c>
    </row>
    <row r="7" spans="1:18" s="115" customFormat="1" ht="15.6" x14ac:dyDescent="0.3">
      <c r="A7" s="13" t="s">
        <v>26</v>
      </c>
      <c r="B7" s="22" t="s">
        <v>152</v>
      </c>
      <c r="C7" s="20" t="s">
        <v>152</v>
      </c>
      <c r="D7" s="20" t="s">
        <v>152</v>
      </c>
      <c r="E7" s="20" t="s">
        <v>152</v>
      </c>
      <c r="F7" s="122">
        <v>82544.47</v>
      </c>
      <c r="G7" s="123">
        <v>84573</v>
      </c>
      <c r="H7" s="122">
        <v>104909</v>
      </c>
      <c r="I7" s="122">
        <v>115290</v>
      </c>
      <c r="J7" s="122">
        <v>106109</v>
      </c>
      <c r="K7" s="122">
        <v>114271</v>
      </c>
      <c r="L7" s="122">
        <v>120653</v>
      </c>
      <c r="M7" s="122">
        <v>115207</v>
      </c>
      <c r="N7" s="122">
        <v>106391</v>
      </c>
      <c r="O7" s="122">
        <v>104896</v>
      </c>
      <c r="P7" s="122">
        <v>99075</v>
      </c>
      <c r="Q7" s="122">
        <v>107489</v>
      </c>
      <c r="R7" s="287">
        <v>106357</v>
      </c>
    </row>
    <row r="8" spans="1:18" s="115" customFormat="1" ht="15.6" x14ac:dyDescent="0.3">
      <c r="A8" s="13" t="s">
        <v>27</v>
      </c>
      <c r="B8" s="124" t="s">
        <v>152</v>
      </c>
      <c r="C8" s="23" t="s">
        <v>152</v>
      </c>
      <c r="D8" s="23" t="s">
        <v>152</v>
      </c>
      <c r="E8" s="258">
        <v>0</v>
      </c>
      <c r="F8" s="122">
        <v>91146.43</v>
      </c>
      <c r="G8" s="123">
        <v>93916</v>
      </c>
      <c r="H8" s="122">
        <v>123003</v>
      </c>
      <c r="I8" s="122">
        <v>123552</v>
      </c>
      <c r="J8" s="122">
        <v>120869</v>
      </c>
      <c r="K8" s="122">
        <v>130266</v>
      </c>
      <c r="L8" s="122">
        <v>130164</v>
      </c>
      <c r="M8" s="122">
        <v>127055</v>
      </c>
      <c r="N8" s="122">
        <v>125230</v>
      </c>
      <c r="O8" s="122">
        <v>120114</v>
      </c>
      <c r="P8" s="122">
        <v>117834</v>
      </c>
      <c r="Q8" s="122">
        <v>126219</v>
      </c>
      <c r="R8" s="287">
        <v>120591</v>
      </c>
    </row>
    <row r="9" spans="1:18" s="115" customFormat="1" ht="15.6" x14ac:dyDescent="0.3">
      <c r="A9" s="13" t="s">
        <v>28</v>
      </c>
      <c r="B9" s="22" t="s">
        <v>152</v>
      </c>
      <c r="C9" s="20" t="s">
        <v>152</v>
      </c>
      <c r="D9" s="20" t="s">
        <v>152</v>
      </c>
      <c r="E9" s="122">
        <v>62677</v>
      </c>
      <c r="F9" s="122">
        <v>82803.91</v>
      </c>
      <c r="G9" s="123">
        <v>102243</v>
      </c>
      <c r="H9" s="122">
        <v>116762</v>
      </c>
      <c r="I9" s="122">
        <v>118560</v>
      </c>
      <c r="J9" s="122">
        <v>115648</v>
      </c>
      <c r="K9" s="122">
        <v>116117</v>
      </c>
      <c r="L9" s="122">
        <v>130934</v>
      </c>
      <c r="M9" s="122">
        <v>121675</v>
      </c>
      <c r="N9" s="122">
        <v>111461</v>
      </c>
      <c r="O9" s="122">
        <v>113592</v>
      </c>
      <c r="P9" s="122">
        <v>109776</v>
      </c>
      <c r="Q9" s="122">
        <v>135708</v>
      </c>
      <c r="R9" s="287">
        <v>113172</v>
      </c>
    </row>
    <row r="10" spans="1:18" s="115" customFormat="1" ht="15.6" x14ac:dyDescent="0.3">
      <c r="A10" s="13" t="s">
        <v>29</v>
      </c>
      <c r="B10" s="22" t="s">
        <v>152</v>
      </c>
      <c r="C10" s="20" t="s">
        <v>152</v>
      </c>
      <c r="D10" s="20" t="s">
        <v>152</v>
      </c>
      <c r="E10" s="122">
        <v>80268</v>
      </c>
      <c r="F10" s="122">
        <v>97177.64</v>
      </c>
      <c r="G10" s="123">
        <v>109831</v>
      </c>
      <c r="H10" s="122">
        <v>116362</v>
      </c>
      <c r="I10" s="122">
        <v>122316</v>
      </c>
      <c r="J10" s="122">
        <v>122156</v>
      </c>
      <c r="K10" s="122">
        <v>123442</v>
      </c>
      <c r="L10" s="122">
        <v>145275</v>
      </c>
      <c r="M10" s="122">
        <v>134607</v>
      </c>
      <c r="N10" s="122">
        <v>132202</v>
      </c>
      <c r="O10" s="122">
        <v>123072</v>
      </c>
      <c r="P10" s="122">
        <v>125049</v>
      </c>
      <c r="Q10" s="122">
        <v>135869</v>
      </c>
      <c r="R10" s="287">
        <v>133741</v>
      </c>
    </row>
    <row r="11" spans="1:18" s="115" customFormat="1" ht="15.6" x14ac:dyDescent="0.3">
      <c r="A11" s="13" t="s">
        <v>30</v>
      </c>
      <c r="B11" s="22" t="s">
        <v>152</v>
      </c>
      <c r="C11" s="20" t="s">
        <v>152</v>
      </c>
      <c r="D11" s="20" t="s">
        <v>152</v>
      </c>
      <c r="E11" s="122">
        <v>123009</v>
      </c>
      <c r="F11" s="122">
        <v>95673.53</v>
      </c>
      <c r="G11" s="123">
        <v>102973</v>
      </c>
      <c r="H11" s="122">
        <v>104763</v>
      </c>
      <c r="I11" s="122">
        <v>116365</v>
      </c>
      <c r="J11" s="122">
        <v>116467</v>
      </c>
      <c r="K11" s="122">
        <v>117674</v>
      </c>
      <c r="L11" s="122">
        <v>124262</v>
      </c>
      <c r="M11" s="122">
        <v>115016</v>
      </c>
      <c r="N11" s="122">
        <v>118327</v>
      </c>
      <c r="O11" s="122">
        <v>-2993</v>
      </c>
      <c r="P11" s="122">
        <v>109875</v>
      </c>
      <c r="Q11" s="20">
        <v>120906</v>
      </c>
      <c r="R11" s="291" t="s">
        <v>152</v>
      </c>
    </row>
    <row r="12" spans="1:18" s="115" customFormat="1" ht="15.6" x14ac:dyDescent="0.3">
      <c r="A12" s="13" t="s">
        <v>31</v>
      </c>
      <c r="B12" s="22" t="s">
        <v>152</v>
      </c>
      <c r="C12" s="20" t="s">
        <v>152</v>
      </c>
      <c r="D12" s="20" t="s">
        <v>152</v>
      </c>
      <c r="E12" s="122">
        <v>100332</v>
      </c>
      <c r="F12" s="122">
        <v>115409.36</v>
      </c>
      <c r="G12" s="123">
        <v>133874</v>
      </c>
      <c r="H12" s="122">
        <v>138827</v>
      </c>
      <c r="I12" s="122">
        <v>141502</v>
      </c>
      <c r="J12" s="122">
        <v>137340</v>
      </c>
      <c r="K12" s="122">
        <v>137804</v>
      </c>
      <c r="L12" s="122">
        <v>149919</v>
      </c>
      <c r="M12" s="122">
        <v>173394</v>
      </c>
      <c r="N12" s="122">
        <v>142060</v>
      </c>
      <c r="O12" s="122">
        <v>-288829</v>
      </c>
      <c r="P12" s="122">
        <v>145196</v>
      </c>
      <c r="Q12" s="20">
        <v>153320</v>
      </c>
      <c r="R12" s="295" t="s">
        <v>152</v>
      </c>
    </row>
    <row r="13" spans="1:18" s="115" customFormat="1" ht="15.6" x14ac:dyDescent="0.3">
      <c r="A13" s="13" t="s">
        <v>32</v>
      </c>
      <c r="B13" s="22" t="s">
        <v>152</v>
      </c>
      <c r="C13" s="20" t="s">
        <v>152</v>
      </c>
      <c r="D13" s="20" t="s">
        <v>152</v>
      </c>
      <c r="E13" s="122">
        <v>87300</v>
      </c>
      <c r="F13" s="122">
        <v>97246.31</v>
      </c>
      <c r="G13" s="123">
        <v>109637</v>
      </c>
      <c r="H13" s="122">
        <v>116421</v>
      </c>
      <c r="I13" s="122">
        <v>130122</v>
      </c>
      <c r="J13" s="122">
        <v>119907</v>
      </c>
      <c r="K13" s="122">
        <v>127355</v>
      </c>
      <c r="L13" s="122">
        <v>134266</v>
      </c>
      <c r="M13" s="122">
        <v>130131</v>
      </c>
      <c r="N13" s="122">
        <v>128178</v>
      </c>
      <c r="O13" s="122">
        <v>124749</v>
      </c>
      <c r="P13" s="122">
        <v>145956</v>
      </c>
      <c r="Q13" s="20">
        <v>134130</v>
      </c>
      <c r="R13" s="295" t="s">
        <v>152</v>
      </c>
    </row>
    <row r="14" spans="1:18" s="115" customFormat="1" ht="15.6" x14ac:dyDescent="0.3">
      <c r="A14" s="13" t="s">
        <v>33</v>
      </c>
      <c r="B14" s="22" t="s">
        <v>152</v>
      </c>
      <c r="C14" s="20" t="s">
        <v>152</v>
      </c>
      <c r="D14" s="20" t="s">
        <v>152</v>
      </c>
      <c r="E14" s="122">
        <v>99586</v>
      </c>
      <c r="F14" s="122">
        <v>104669.13</v>
      </c>
      <c r="G14" s="123">
        <v>123714</v>
      </c>
      <c r="H14" s="122">
        <v>119361</v>
      </c>
      <c r="I14" s="122">
        <v>129536</v>
      </c>
      <c r="J14" s="122">
        <v>128079</v>
      </c>
      <c r="K14" s="122">
        <v>123850</v>
      </c>
      <c r="L14" s="122">
        <v>142994</v>
      </c>
      <c r="M14" s="122">
        <v>137355</v>
      </c>
      <c r="N14" s="122">
        <v>129659</v>
      </c>
      <c r="O14" s="122">
        <v>130160</v>
      </c>
      <c r="P14" s="122">
        <v>124296</v>
      </c>
      <c r="Q14" s="20">
        <v>135712</v>
      </c>
      <c r="R14" s="295" t="s">
        <v>152</v>
      </c>
    </row>
    <row r="15" spans="1:18" s="115" customFormat="1" ht="15.6" x14ac:dyDescent="0.3">
      <c r="A15" s="13" t="s">
        <v>34</v>
      </c>
      <c r="B15" s="22" t="s">
        <v>152</v>
      </c>
      <c r="C15" s="20" t="s">
        <v>152</v>
      </c>
      <c r="D15" s="20" t="s">
        <v>152</v>
      </c>
      <c r="E15" s="122">
        <v>87498.49</v>
      </c>
      <c r="F15" s="20" t="s">
        <v>35</v>
      </c>
      <c r="G15" s="123">
        <v>109685</v>
      </c>
      <c r="H15" s="122">
        <v>109489</v>
      </c>
      <c r="I15" s="122">
        <v>124164</v>
      </c>
      <c r="J15" s="122">
        <v>118747</v>
      </c>
      <c r="K15" s="122">
        <v>128852</v>
      </c>
      <c r="L15" s="122">
        <v>168502</v>
      </c>
      <c r="M15" s="122">
        <v>129828</v>
      </c>
      <c r="N15" s="122">
        <v>125356</v>
      </c>
      <c r="O15" s="122">
        <v>113051</v>
      </c>
      <c r="P15" s="122">
        <v>122340</v>
      </c>
      <c r="Q15" s="20">
        <v>135657</v>
      </c>
      <c r="R15" s="295" t="s">
        <v>152</v>
      </c>
    </row>
    <row r="16" spans="1:18" s="115" customFormat="1" ht="16.2" thickBot="1" x14ac:dyDescent="0.35">
      <c r="A16" s="100" t="s">
        <v>36</v>
      </c>
      <c r="B16" s="125" t="s">
        <v>152</v>
      </c>
      <c r="C16" s="39" t="s">
        <v>152</v>
      </c>
      <c r="D16" s="39" t="s">
        <v>152</v>
      </c>
      <c r="E16" s="126">
        <v>85267.22</v>
      </c>
      <c r="F16" s="126">
        <v>191595</v>
      </c>
      <c r="G16" s="126">
        <v>112461</v>
      </c>
      <c r="H16" s="127">
        <v>115787</v>
      </c>
      <c r="I16" s="127">
        <v>133862</v>
      </c>
      <c r="J16" s="127">
        <v>126380</v>
      </c>
      <c r="K16" s="127">
        <v>133506</v>
      </c>
      <c r="L16" s="127">
        <v>234876</v>
      </c>
      <c r="M16" s="127">
        <v>125745</v>
      </c>
      <c r="N16" s="127">
        <v>122290</v>
      </c>
      <c r="O16" s="127">
        <v>107213</v>
      </c>
      <c r="P16" s="127">
        <v>120781</v>
      </c>
      <c r="Q16" s="28">
        <v>128417</v>
      </c>
      <c r="R16" s="292" t="s">
        <v>152</v>
      </c>
    </row>
    <row r="17" spans="1:18" s="115" customFormat="1" ht="16.2" thickTop="1" x14ac:dyDescent="0.3">
      <c r="A17" s="94" t="s">
        <v>37</v>
      </c>
      <c r="B17" s="128" t="s">
        <v>152</v>
      </c>
      <c r="C17" s="59" t="s">
        <v>152</v>
      </c>
      <c r="D17" s="59" t="s">
        <v>152</v>
      </c>
      <c r="E17" s="261">
        <f t="shared" ref="E17:K17" si="0">SUM(E5:E16)</f>
        <v>725937.71</v>
      </c>
      <c r="F17" s="261">
        <f t="shared" si="0"/>
        <v>1158466.98</v>
      </c>
      <c r="G17" s="261">
        <f t="shared" si="0"/>
        <v>1303091</v>
      </c>
      <c r="H17" s="261">
        <f t="shared" si="0"/>
        <v>1411355</v>
      </c>
      <c r="I17" s="261">
        <f t="shared" si="0"/>
        <v>1502163</v>
      </c>
      <c r="J17" s="261">
        <f t="shared" si="0"/>
        <v>1474635</v>
      </c>
      <c r="K17" s="261">
        <f t="shared" si="0"/>
        <v>1519203</v>
      </c>
      <c r="L17" s="261">
        <f t="shared" ref="L17:R17" si="1">SUM(L5:L16)</f>
        <v>1766629</v>
      </c>
      <c r="M17" s="261">
        <f t="shared" si="1"/>
        <v>1583827</v>
      </c>
      <c r="N17" s="261">
        <f t="shared" si="1"/>
        <v>1494954</v>
      </c>
      <c r="O17" s="261">
        <f t="shared" si="1"/>
        <v>900393</v>
      </c>
      <c r="P17" s="261">
        <f t="shared" si="1"/>
        <v>1453829</v>
      </c>
      <c r="Q17" s="261">
        <f t="shared" si="1"/>
        <v>1566866</v>
      </c>
      <c r="R17" s="288">
        <f t="shared" si="1"/>
        <v>741539</v>
      </c>
    </row>
    <row r="18" spans="1:18" s="116" customFormat="1" ht="6.6" x14ac:dyDescent="0.15">
      <c r="A18" s="367" t="s">
        <v>174</v>
      </c>
      <c r="B18" s="367"/>
      <c r="C18" s="367"/>
      <c r="D18" s="367"/>
      <c r="E18" s="367"/>
      <c r="F18" s="367"/>
      <c r="G18" s="367"/>
      <c r="H18" s="367"/>
      <c r="I18" s="367"/>
      <c r="J18" s="367"/>
      <c r="K18" s="367"/>
      <c r="L18" s="367"/>
      <c r="M18" s="367"/>
      <c r="N18" s="367"/>
      <c r="O18" s="367"/>
      <c r="P18" s="367"/>
      <c r="Q18" s="367"/>
      <c r="R18" s="367"/>
    </row>
    <row r="19" spans="1:18" s="79" customFormat="1" ht="18" x14ac:dyDescent="0.35">
      <c r="A19" s="361" t="s">
        <v>41</v>
      </c>
      <c r="B19" s="361"/>
      <c r="C19" s="361"/>
      <c r="D19" s="361"/>
      <c r="E19" s="361"/>
      <c r="F19" s="361"/>
      <c r="G19" s="361"/>
      <c r="H19" s="361"/>
      <c r="I19" s="361"/>
      <c r="J19" s="361"/>
      <c r="K19" s="361"/>
      <c r="L19" s="361"/>
      <c r="M19" s="361"/>
      <c r="N19" s="361"/>
      <c r="O19" s="361"/>
      <c r="P19" s="361"/>
      <c r="Q19" s="361"/>
      <c r="R19" s="361"/>
    </row>
    <row r="20" spans="1:18" s="78" customFormat="1" ht="15.6" x14ac:dyDescent="0.3">
      <c r="A20" s="99" t="s">
        <v>23</v>
      </c>
      <c r="B20" s="96">
        <v>2004</v>
      </c>
      <c r="C20" s="53">
        <v>2005</v>
      </c>
      <c r="D20" s="53">
        <v>2006</v>
      </c>
      <c r="E20" s="53">
        <v>2007</v>
      </c>
      <c r="F20" s="53">
        <v>2008</v>
      </c>
      <c r="G20" s="53">
        <v>2009</v>
      </c>
      <c r="H20" s="53">
        <v>2010</v>
      </c>
      <c r="I20" s="53">
        <v>2011</v>
      </c>
      <c r="J20" s="54">
        <v>2012</v>
      </c>
      <c r="K20" s="54">
        <v>2013</v>
      </c>
      <c r="L20" s="54">
        <v>2014</v>
      </c>
      <c r="M20" s="54">
        <v>2015</v>
      </c>
      <c r="N20" s="54">
        <v>2016</v>
      </c>
      <c r="O20" s="54">
        <v>2017</v>
      </c>
      <c r="P20" s="54">
        <v>2018</v>
      </c>
      <c r="Q20" s="54">
        <v>2019</v>
      </c>
      <c r="R20" s="49">
        <v>2020</v>
      </c>
    </row>
    <row r="21" spans="1:18" s="115" customFormat="1" ht="15.6" x14ac:dyDescent="0.3">
      <c r="A21" s="36" t="s">
        <v>24</v>
      </c>
      <c r="B21" s="121" t="s">
        <v>152</v>
      </c>
      <c r="C21" s="38" t="s">
        <v>152</v>
      </c>
      <c r="D21" s="38" t="s">
        <v>152</v>
      </c>
      <c r="E21" s="38" t="s">
        <v>152</v>
      </c>
      <c r="F21" s="259">
        <v>10452.4</v>
      </c>
      <c r="G21" s="260">
        <v>7606</v>
      </c>
      <c r="H21" s="259">
        <v>11030</v>
      </c>
      <c r="I21" s="259">
        <v>26798</v>
      </c>
      <c r="J21" s="259">
        <v>14802</v>
      </c>
      <c r="K21" s="259">
        <v>10212</v>
      </c>
      <c r="L21" s="259">
        <v>7566</v>
      </c>
      <c r="M21" s="259">
        <v>7537</v>
      </c>
      <c r="N21" s="259">
        <v>4410</v>
      </c>
      <c r="O21" s="259">
        <v>5461</v>
      </c>
      <c r="P21" s="259">
        <v>4385</v>
      </c>
      <c r="Q21" s="259">
        <v>4013</v>
      </c>
      <c r="R21" s="286">
        <v>3966</v>
      </c>
    </row>
    <row r="22" spans="1:18" s="115" customFormat="1" ht="15.6" x14ac:dyDescent="0.3">
      <c r="A22" s="13" t="s">
        <v>25</v>
      </c>
      <c r="B22" s="22" t="s">
        <v>152</v>
      </c>
      <c r="C22" s="20" t="s">
        <v>152</v>
      </c>
      <c r="D22" s="20" t="s">
        <v>152</v>
      </c>
      <c r="E22" s="20" t="s">
        <v>152</v>
      </c>
      <c r="F22" s="122">
        <v>7589.4</v>
      </c>
      <c r="G22" s="123">
        <v>7376</v>
      </c>
      <c r="H22" s="122">
        <v>2895</v>
      </c>
      <c r="I22" s="122">
        <v>4632</v>
      </c>
      <c r="J22" s="122">
        <v>7199</v>
      </c>
      <c r="K22" s="122">
        <v>6613</v>
      </c>
      <c r="L22" s="122">
        <v>9396</v>
      </c>
      <c r="M22" s="122">
        <v>8513</v>
      </c>
      <c r="N22" s="122">
        <v>6784</v>
      </c>
      <c r="O22" s="122">
        <v>4987</v>
      </c>
      <c r="P22" s="122">
        <v>4034</v>
      </c>
      <c r="Q22" s="122">
        <v>3928</v>
      </c>
      <c r="R22" s="287">
        <v>3449</v>
      </c>
    </row>
    <row r="23" spans="1:18" s="115" customFormat="1" ht="15.6" x14ac:dyDescent="0.3">
      <c r="A23" s="13" t="s">
        <v>26</v>
      </c>
      <c r="B23" s="22" t="s">
        <v>152</v>
      </c>
      <c r="C23" s="20" t="s">
        <v>152</v>
      </c>
      <c r="D23" s="20" t="s">
        <v>152</v>
      </c>
      <c r="E23" s="20" t="s">
        <v>152</v>
      </c>
      <c r="F23" s="122">
        <v>15323.48</v>
      </c>
      <c r="G23" s="123">
        <v>10161</v>
      </c>
      <c r="H23" s="122">
        <v>10032</v>
      </c>
      <c r="I23" s="122">
        <v>6626</v>
      </c>
      <c r="J23" s="122">
        <v>6920</v>
      </c>
      <c r="K23" s="122">
        <v>5671</v>
      </c>
      <c r="L23" s="122">
        <v>7454</v>
      </c>
      <c r="M23" s="122">
        <v>11553</v>
      </c>
      <c r="N23" s="122">
        <v>4374</v>
      </c>
      <c r="O23" s="122">
        <v>4086</v>
      </c>
      <c r="P23" s="122">
        <v>3361</v>
      </c>
      <c r="Q23" s="122">
        <v>3345</v>
      </c>
      <c r="R23" s="287">
        <v>5369</v>
      </c>
    </row>
    <row r="24" spans="1:18" s="115" customFormat="1" ht="15.6" x14ac:dyDescent="0.3">
      <c r="A24" s="13" t="s">
        <v>27</v>
      </c>
      <c r="B24" s="124" t="s">
        <v>152</v>
      </c>
      <c r="C24" s="23" t="s">
        <v>152</v>
      </c>
      <c r="D24" s="23" t="s">
        <v>152</v>
      </c>
      <c r="E24" s="258">
        <v>0</v>
      </c>
      <c r="F24" s="122">
        <v>12388</v>
      </c>
      <c r="G24" s="123">
        <v>10043</v>
      </c>
      <c r="H24" s="122">
        <v>9660</v>
      </c>
      <c r="I24" s="122">
        <v>8201</v>
      </c>
      <c r="J24" s="122">
        <v>6249</v>
      </c>
      <c r="K24" s="122">
        <v>7146</v>
      </c>
      <c r="L24" s="122">
        <v>9706</v>
      </c>
      <c r="M24" s="122">
        <v>7165</v>
      </c>
      <c r="N24" s="122">
        <v>5279</v>
      </c>
      <c r="O24" s="122">
        <v>7676</v>
      </c>
      <c r="P24" s="122">
        <v>-1648</v>
      </c>
      <c r="Q24" s="122">
        <v>6973</v>
      </c>
      <c r="R24" s="287">
        <v>3444</v>
      </c>
    </row>
    <row r="25" spans="1:18" s="115" customFormat="1" ht="15.6" x14ac:dyDescent="0.3">
      <c r="A25" s="13" t="s">
        <v>28</v>
      </c>
      <c r="B25" s="22" t="s">
        <v>152</v>
      </c>
      <c r="C25" s="20" t="s">
        <v>152</v>
      </c>
      <c r="D25" s="20" t="s">
        <v>152</v>
      </c>
      <c r="E25" s="122">
        <v>2147</v>
      </c>
      <c r="F25" s="122">
        <v>14793.35</v>
      </c>
      <c r="G25" s="123">
        <v>8737</v>
      </c>
      <c r="H25" s="122">
        <v>9896</v>
      </c>
      <c r="I25" s="122">
        <v>10640</v>
      </c>
      <c r="J25" s="122">
        <v>5443</v>
      </c>
      <c r="K25" s="122">
        <v>12262</v>
      </c>
      <c r="L25" s="122">
        <v>8098</v>
      </c>
      <c r="M25" s="122">
        <v>-2952</v>
      </c>
      <c r="N25" s="122">
        <v>3921</v>
      </c>
      <c r="O25" s="122">
        <v>4540</v>
      </c>
      <c r="P25" s="122">
        <v>2706</v>
      </c>
      <c r="Q25" s="122">
        <v>8206</v>
      </c>
      <c r="R25" s="287">
        <v>3899</v>
      </c>
    </row>
    <row r="26" spans="1:18" s="115" customFormat="1" ht="15.6" x14ac:dyDescent="0.3">
      <c r="A26" s="13" t="s">
        <v>29</v>
      </c>
      <c r="B26" s="22" t="s">
        <v>152</v>
      </c>
      <c r="C26" s="20" t="s">
        <v>152</v>
      </c>
      <c r="D26" s="20" t="s">
        <v>152</v>
      </c>
      <c r="E26" s="122">
        <v>8368</v>
      </c>
      <c r="F26" s="122">
        <v>16638.16</v>
      </c>
      <c r="G26" s="123">
        <v>10419</v>
      </c>
      <c r="H26" s="122">
        <v>11372</v>
      </c>
      <c r="I26" s="122">
        <v>4993</v>
      </c>
      <c r="J26" s="122">
        <v>7481</v>
      </c>
      <c r="K26" s="122">
        <v>7046</v>
      </c>
      <c r="L26" s="122">
        <v>9384</v>
      </c>
      <c r="M26" s="122">
        <v>16957</v>
      </c>
      <c r="N26" s="122">
        <v>7560</v>
      </c>
      <c r="O26" s="122">
        <v>1253</v>
      </c>
      <c r="P26" s="122">
        <v>4867</v>
      </c>
      <c r="Q26" s="122">
        <v>3500</v>
      </c>
      <c r="R26" s="287">
        <v>6520</v>
      </c>
    </row>
    <row r="27" spans="1:18" s="115" customFormat="1" ht="15.6" x14ac:dyDescent="0.3">
      <c r="A27" s="13" t="s">
        <v>30</v>
      </c>
      <c r="B27" s="22" t="s">
        <v>152</v>
      </c>
      <c r="C27" s="20" t="s">
        <v>152</v>
      </c>
      <c r="D27" s="20" t="s">
        <v>152</v>
      </c>
      <c r="E27" s="122">
        <v>5787</v>
      </c>
      <c r="F27" s="122">
        <v>3446</v>
      </c>
      <c r="G27" s="123">
        <v>4065</v>
      </c>
      <c r="H27" s="122">
        <v>2459</v>
      </c>
      <c r="I27" s="122">
        <v>2485</v>
      </c>
      <c r="J27" s="122">
        <v>4739</v>
      </c>
      <c r="K27" s="122">
        <v>4049</v>
      </c>
      <c r="L27" s="122">
        <v>6426</v>
      </c>
      <c r="M27" s="122">
        <v>4926</v>
      </c>
      <c r="N27" s="122">
        <v>4219</v>
      </c>
      <c r="O27" s="122">
        <v>2147</v>
      </c>
      <c r="P27" s="122">
        <v>5338</v>
      </c>
      <c r="Q27" s="20">
        <v>5483</v>
      </c>
      <c r="R27" s="295" t="s">
        <v>152</v>
      </c>
    </row>
    <row r="28" spans="1:18" s="115" customFormat="1" ht="15.6" x14ac:dyDescent="0.3">
      <c r="A28" s="13" t="s">
        <v>31</v>
      </c>
      <c r="B28" s="22" t="s">
        <v>152</v>
      </c>
      <c r="C28" s="20" t="s">
        <v>152</v>
      </c>
      <c r="D28" s="20" t="s">
        <v>152</v>
      </c>
      <c r="E28" s="122">
        <v>27799.95</v>
      </c>
      <c r="F28" s="122">
        <v>20786.82</v>
      </c>
      <c r="G28" s="123">
        <v>13744</v>
      </c>
      <c r="H28" s="122">
        <v>14968</v>
      </c>
      <c r="I28" s="122">
        <v>8740</v>
      </c>
      <c r="J28" s="122">
        <v>18728</v>
      </c>
      <c r="K28" s="122">
        <v>8842</v>
      </c>
      <c r="L28" s="122">
        <v>12413</v>
      </c>
      <c r="M28" s="122">
        <v>15538</v>
      </c>
      <c r="N28" s="122">
        <v>7735</v>
      </c>
      <c r="O28" s="122">
        <v>-367</v>
      </c>
      <c r="P28" s="122">
        <v>3794</v>
      </c>
      <c r="Q28" s="20">
        <v>4094</v>
      </c>
      <c r="R28" s="295" t="s">
        <v>152</v>
      </c>
    </row>
    <row r="29" spans="1:18" s="115" customFormat="1" ht="15.6" x14ac:dyDescent="0.3">
      <c r="A29" s="13" t="s">
        <v>32</v>
      </c>
      <c r="B29" s="22" t="s">
        <v>152</v>
      </c>
      <c r="C29" s="20" t="s">
        <v>152</v>
      </c>
      <c r="D29" s="20" t="s">
        <v>152</v>
      </c>
      <c r="E29" s="122">
        <v>18159</v>
      </c>
      <c r="F29" s="122">
        <v>18690</v>
      </c>
      <c r="G29" s="123">
        <v>8015</v>
      </c>
      <c r="H29" s="122">
        <v>8521</v>
      </c>
      <c r="I29" s="122">
        <v>6449</v>
      </c>
      <c r="J29" s="122">
        <v>79373</v>
      </c>
      <c r="K29" s="122">
        <v>6927</v>
      </c>
      <c r="L29" s="122">
        <v>9909</v>
      </c>
      <c r="M29" s="122">
        <v>5910</v>
      </c>
      <c r="N29" s="122">
        <v>8025</v>
      </c>
      <c r="O29" s="122">
        <v>2448</v>
      </c>
      <c r="P29" s="122">
        <v>3263</v>
      </c>
      <c r="Q29" s="20">
        <v>1004</v>
      </c>
      <c r="R29" s="295" t="s">
        <v>152</v>
      </c>
    </row>
    <row r="30" spans="1:18" s="115" customFormat="1" ht="15.6" x14ac:dyDescent="0.3">
      <c r="A30" s="13" t="s">
        <v>33</v>
      </c>
      <c r="B30" s="22" t="s">
        <v>152</v>
      </c>
      <c r="C30" s="20" t="s">
        <v>152</v>
      </c>
      <c r="D30" s="20" t="s">
        <v>152</v>
      </c>
      <c r="E30" s="122">
        <v>13936</v>
      </c>
      <c r="F30" s="122">
        <v>7377.58</v>
      </c>
      <c r="G30" s="123">
        <v>10823</v>
      </c>
      <c r="H30" s="122">
        <v>9312</v>
      </c>
      <c r="I30" s="122">
        <v>7400</v>
      </c>
      <c r="J30" s="122">
        <v>10226</v>
      </c>
      <c r="K30" s="122">
        <v>8885</v>
      </c>
      <c r="L30" s="122">
        <v>8361</v>
      </c>
      <c r="M30" s="122">
        <v>7437</v>
      </c>
      <c r="N30" s="122">
        <v>6792</v>
      </c>
      <c r="O30" s="122">
        <v>3165</v>
      </c>
      <c r="P30" s="122">
        <v>3950</v>
      </c>
      <c r="Q30" s="20">
        <v>5076</v>
      </c>
      <c r="R30" s="295" t="s">
        <v>152</v>
      </c>
    </row>
    <row r="31" spans="1:18" s="115" customFormat="1" ht="15.6" x14ac:dyDescent="0.3">
      <c r="A31" s="13" t="s">
        <v>34</v>
      </c>
      <c r="B31" s="22" t="s">
        <v>152</v>
      </c>
      <c r="C31" s="20" t="s">
        <v>152</v>
      </c>
      <c r="D31" s="20" t="s">
        <v>152</v>
      </c>
      <c r="E31" s="122">
        <v>8868.7800000000007</v>
      </c>
      <c r="F31" s="20" t="s">
        <v>35</v>
      </c>
      <c r="G31" s="123">
        <v>12866</v>
      </c>
      <c r="H31" s="122">
        <v>9020</v>
      </c>
      <c r="I31" s="122">
        <v>8947</v>
      </c>
      <c r="J31" s="122">
        <v>9921</v>
      </c>
      <c r="K31" s="122">
        <v>8981</v>
      </c>
      <c r="L31" s="122">
        <v>7549</v>
      </c>
      <c r="M31" s="122">
        <v>4977</v>
      </c>
      <c r="N31" s="122">
        <v>4640</v>
      </c>
      <c r="O31" s="122">
        <v>6942</v>
      </c>
      <c r="P31" s="122">
        <v>4759</v>
      </c>
      <c r="Q31" s="20">
        <v>4512</v>
      </c>
      <c r="R31" s="295" t="s">
        <v>152</v>
      </c>
    </row>
    <row r="32" spans="1:18" s="115" customFormat="1" ht="16.2" thickBot="1" x14ac:dyDescent="0.35">
      <c r="A32" s="100" t="s">
        <v>36</v>
      </c>
      <c r="B32" s="125" t="s">
        <v>152</v>
      </c>
      <c r="C32" s="39" t="s">
        <v>152</v>
      </c>
      <c r="D32" s="39" t="s">
        <v>152</v>
      </c>
      <c r="E32" s="126">
        <v>13836</v>
      </c>
      <c r="F32" s="126">
        <v>20292</v>
      </c>
      <c r="G32" s="126">
        <v>8719</v>
      </c>
      <c r="H32" s="127">
        <v>10973</v>
      </c>
      <c r="I32" s="127">
        <v>4816</v>
      </c>
      <c r="J32" s="127">
        <v>9271</v>
      </c>
      <c r="K32" s="127">
        <v>20288</v>
      </c>
      <c r="L32" s="127">
        <v>7763</v>
      </c>
      <c r="M32" s="127">
        <v>5308</v>
      </c>
      <c r="N32" s="127">
        <v>3031</v>
      </c>
      <c r="O32" s="127">
        <v>1677</v>
      </c>
      <c r="P32" s="127">
        <v>2153</v>
      </c>
      <c r="Q32" s="28">
        <v>3306</v>
      </c>
      <c r="R32" s="292" t="s">
        <v>152</v>
      </c>
    </row>
    <row r="33" spans="1:18" s="115" customFormat="1" ht="16.2" thickTop="1" x14ac:dyDescent="0.3">
      <c r="A33" s="94" t="s">
        <v>37</v>
      </c>
      <c r="B33" s="128" t="s">
        <v>152</v>
      </c>
      <c r="C33" s="59" t="s">
        <v>152</v>
      </c>
      <c r="D33" s="59" t="s">
        <v>152</v>
      </c>
      <c r="E33" s="261">
        <f t="shared" ref="E33:K33" si="2">SUM(E21:E32)</f>
        <v>98901.73</v>
      </c>
      <c r="F33" s="261">
        <f t="shared" si="2"/>
        <v>147777.19</v>
      </c>
      <c r="G33" s="261">
        <f t="shared" si="2"/>
        <v>112574</v>
      </c>
      <c r="H33" s="261">
        <f t="shared" si="2"/>
        <v>110138</v>
      </c>
      <c r="I33" s="261">
        <f t="shared" si="2"/>
        <v>100727</v>
      </c>
      <c r="J33" s="261">
        <f t="shared" si="2"/>
        <v>180352</v>
      </c>
      <c r="K33" s="261">
        <f t="shared" si="2"/>
        <v>106922</v>
      </c>
      <c r="L33" s="261">
        <f t="shared" ref="L33:R33" si="3">SUM(L21:L32)</f>
        <v>104025</v>
      </c>
      <c r="M33" s="261">
        <f t="shared" si="3"/>
        <v>92869</v>
      </c>
      <c r="N33" s="261">
        <f t="shared" si="3"/>
        <v>66770</v>
      </c>
      <c r="O33" s="261">
        <f t="shared" si="3"/>
        <v>44015</v>
      </c>
      <c r="P33" s="261">
        <f t="shared" si="3"/>
        <v>40962</v>
      </c>
      <c r="Q33" s="261">
        <f t="shared" si="3"/>
        <v>53440</v>
      </c>
      <c r="R33" s="288">
        <f t="shared" si="3"/>
        <v>26647</v>
      </c>
    </row>
    <row r="34" spans="1:18" s="116" customFormat="1" ht="6.6" x14ac:dyDescent="0.15">
      <c r="A34" s="367" t="s">
        <v>174</v>
      </c>
      <c r="B34" s="367"/>
      <c r="C34" s="367"/>
      <c r="D34" s="367"/>
      <c r="E34" s="367"/>
      <c r="F34" s="367"/>
      <c r="G34" s="367"/>
      <c r="H34" s="367"/>
      <c r="I34" s="367"/>
      <c r="J34" s="367"/>
      <c r="K34" s="367"/>
      <c r="L34" s="367"/>
      <c r="M34" s="367"/>
      <c r="N34" s="367"/>
      <c r="O34" s="367"/>
      <c r="P34" s="367"/>
      <c r="Q34" s="367"/>
      <c r="R34" s="367"/>
    </row>
    <row r="35" spans="1:18" s="120" customFormat="1" ht="18" x14ac:dyDescent="0.35">
      <c r="A35" s="361" t="s">
        <v>107</v>
      </c>
      <c r="B35" s="361"/>
      <c r="C35" s="361"/>
      <c r="D35" s="361"/>
      <c r="E35" s="361"/>
      <c r="F35" s="361"/>
      <c r="G35" s="361"/>
      <c r="H35" s="361"/>
      <c r="I35" s="361"/>
      <c r="J35" s="361"/>
      <c r="K35" s="361"/>
      <c r="L35" s="361"/>
      <c r="M35" s="361"/>
      <c r="N35" s="361"/>
      <c r="O35" s="361"/>
      <c r="P35" s="361"/>
      <c r="Q35" s="361"/>
      <c r="R35" s="361"/>
    </row>
    <row r="36" spans="1:18" s="115" customFormat="1" ht="15.6" x14ac:dyDescent="0.3">
      <c r="A36" s="99" t="s">
        <v>23</v>
      </c>
      <c r="B36" s="96">
        <v>2004</v>
      </c>
      <c r="C36" s="53">
        <v>2005</v>
      </c>
      <c r="D36" s="53">
        <v>2006</v>
      </c>
      <c r="E36" s="53">
        <v>2007</v>
      </c>
      <c r="F36" s="53">
        <v>2008</v>
      </c>
      <c r="G36" s="53">
        <v>2009</v>
      </c>
      <c r="H36" s="53">
        <v>2010</v>
      </c>
      <c r="I36" s="53">
        <v>2011</v>
      </c>
      <c r="J36" s="54">
        <v>2012</v>
      </c>
      <c r="K36" s="54">
        <v>2013</v>
      </c>
      <c r="L36" s="54">
        <v>2014</v>
      </c>
      <c r="M36" s="54">
        <v>2015</v>
      </c>
      <c r="N36" s="54">
        <v>2016</v>
      </c>
      <c r="O36" s="54">
        <v>2017</v>
      </c>
      <c r="P36" s="54">
        <v>2018</v>
      </c>
      <c r="Q36" s="54">
        <v>2019</v>
      </c>
      <c r="R36" s="49">
        <v>2020</v>
      </c>
    </row>
    <row r="37" spans="1:18" s="115" customFormat="1" ht="15.6" x14ac:dyDescent="0.3">
      <c r="A37" s="36" t="s">
        <v>24</v>
      </c>
      <c r="B37" s="121" t="s">
        <v>152</v>
      </c>
      <c r="C37" s="38" t="s">
        <v>152</v>
      </c>
      <c r="D37" s="38" t="s">
        <v>152</v>
      </c>
      <c r="E37" s="38" t="s">
        <v>152</v>
      </c>
      <c r="F37" s="38" t="s">
        <v>152</v>
      </c>
      <c r="G37" s="260">
        <v>0</v>
      </c>
      <c r="H37" s="259">
        <v>0</v>
      </c>
      <c r="I37" s="259">
        <v>0</v>
      </c>
      <c r="J37" s="259">
        <v>-2503</v>
      </c>
      <c r="K37" s="259">
        <v>0</v>
      </c>
      <c r="L37" s="259">
        <v>-869</v>
      </c>
      <c r="M37" s="259">
        <v>-125795</v>
      </c>
      <c r="N37" s="259">
        <v>-2725</v>
      </c>
      <c r="O37" s="259">
        <v>-11847</v>
      </c>
      <c r="P37" s="259">
        <v>-1939</v>
      </c>
      <c r="Q37" s="259">
        <v>-2204</v>
      </c>
      <c r="R37" s="286">
        <v>0</v>
      </c>
    </row>
    <row r="38" spans="1:18" s="115" customFormat="1" ht="15.6" x14ac:dyDescent="0.3">
      <c r="A38" s="13" t="s">
        <v>25</v>
      </c>
      <c r="B38" s="22" t="s">
        <v>152</v>
      </c>
      <c r="C38" s="20" t="s">
        <v>152</v>
      </c>
      <c r="D38" s="20" t="s">
        <v>152</v>
      </c>
      <c r="E38" s="20" t="s">
        <v>152</v>
      </c>
      <c r="F38" s="20" t="s">
        <v>152</v>
      </c>
      <c r="G38" s="123">
        <v>-8397</v>
      </c>
      <c r="H38" s="122">
        <v>-14431</v>
      </c>
      <c r="I38" s="122">
        <v>-47064</v>
      </c>
      <c r="J38" s="122">
        <v>-3149</v>
      </c>
      <c r="K38" s="122">
        <v>0</v>
      </c>
      <c r="L38" s="122">
        <v>0</v>
      </c>
      <c r="M38" s="122">
        <v>-43050</v>
      </c>
      <c r="N38" s="122">
        <v>-55</v>
      </c>
      <c r="O38" s="122">
        <v>-65</v>
      </c>
      <c r="P38" s="122">
        <v>0</v>
      </c>
      <c r="Q38" s="122">
        <v>-134</v>
      </c>
      <c r="R38" s="287">
        <v>-13530</v>
      </c>
    </row>
    <row r="39" spans="1:18" s="115" customFormat="1" ht="15.6" x14ac:dyDescent="0.3">
      <c r="A39" s="13" t="s">
        <v>26</v>
      </c>
      <c r="B39" s="22" t="s">
        <v>152</v>
      </c>
      <c r="C39" s="20" t="s">
        <v>152</v>
      </c>
      <c r="D39" s="20" t="s">
        <v>152</v>
      </c>
      <c r="E39" s="20" t="s">
        <v>152</v>
      </c>
      <c r="F39" s="20" t="s">
        <v>152</v>
      </c>
      <c r="G39" s="123">
        <v>0</v>
      </c>
      <c r="H39" s="122">
        <v>-8782</v>
      </c>
      <c r="I39" s="122">
        <v>-12861</v>
      </c>
      <c r="J39" s="122">
        <v>0</v>
      </c>
      <c r="K39" s="122">
        <v>0</v>
      </c>
      <c r="L39" s="122">
        <v>-52</v>
      </c>
      <c r="M39" s="122">
        <v>-525</v>
      </c>
      <c r="N39" s="122">
        <v>-39656</v>
      </c>
      <c r="O39" s="122">
        <v>0</v>
      </c>
      <c r="P39" s="122">
        <v>-505</v>
      </c>
      <c r="Q39" s="122">
        <v>-466</v>
      </c>
      <c r="R39" s="287">
        <v>0</v>
      </c>
    </row>
    <row r="40" spans="1:18" s="115" customFormat="1" ht="15.6" x14ac:dyDescent="0.3">
      <c r="A40" s="13" t="s">
        <v>27</v>
      </c>
      <c r="B40" s="124" t="s">
        <v>152</v>
      </c>
      <c r="C40" s="23" t="s">
        <v>152</v>
      </c>
      <c r="D40" s="23" t="s">
        <v>152</v>
      </c>
      <c r="E40" s="23" t="s">
        <v>152</v>
      </c>
      <c r="F40" s="20" t="s">
        <v>152</v>
      </c>
      <c r="G40" s="123">
        <v>0</v>
      </c>
      <c r="H40" s="122">
        <v>-3052</v>
      </c>
      <c r="I40" s="122">
        <v>-90</v>
      </c>
      <c r="J40" s="122">
        <v>0</v>
      </c>
      <c r="K40" s="122">
        <v>0</v>
      </c>
      <c r="L40" s="122">
        <v>-42043</v>
      </c>
      <c r="M40" s="122">
        <v>-5</v>
      </c>
      <c r="N40" s="122">
        <v>-9</v>
      </c>
      <c r="O40" s="122">
        <v>0</v>
      </c>
      <c r="P40" s="122">
        <v>0</v>
      </c>
      <c r="Q40" s="122">
        <v>-48</v>
      </c>
      <c r="R40" s="287">
        <v>0</v>
      </c>
    </row>
    <row r="41" spans="1:18" s="115" customFormat="1" ht="15.6" x14ac:dyDescent="0.3">
      <c r="A41" s="13" t="s">
        <v>28</v>
      </c>
      <c r="B41" s="22" t="s">
        <v>152</v>
      </c>
      <c r="C41" s="20" t="s">
        <v>152</v>
      </c>
      <c r="D41" s="20" t="s">
        <v>152</v>
      </c>
      <c r="E41" s="20" t="s">
        <v>152</v>
      </c>
      <c r="F41" s="20" t="s">
        <v>152</v>
      </c>
      <c r="G41" s="123">
        <v>-200</v>
      </c>
      <c r="H41" s="122">
        <v>0</v>
      </c>
      <c r="I41" s="122">
        <v>0</v>
      </c>
      <c r="J41" s="122">
        <v>-54</v>
      </c>
      <c r="K41" s="122">
        <v>-6250</v>
      </c>
      <c r="L41" s="122">
        <v>-5</v>
      </c>
      <c r="M41" s="122">
        <v>-25078</v>
      </c>
      <c r="N41" s="122">
        <v>0</v>
      </c>
      <c r="O41" s="122">
        <v>-6749</v>
      </c>
      <c r="P41" s="122">
        <v>-877</v>
      </c>
      <c r="Q41" s="122">
        <v>0</v>
      </c>
      <c r="R41" s="287">
        <v>0</v>
      </c>
    </row>
    <row r="42" spans="1:18" s="115" customFormat="1" ht="15.6" x14ac:dyDescent="0.3">
      <c r="A42" s="13" t="s">
        <v>29</v>
      </c>
      <c r="B42" s="22" t="s">
        <v>152</v>
      </c>
      <c r="C42" s="20" t="s">
        <v>152</v>
      </c>
      <c r="D42" s="20" t="s">
        <v>152</v>
      </c>
      <c r="E42" s="20" t="s">
        <v>152</v>
      </c>
      <c r="F42" s="20" t="s">
        <v>152</v>
      </c>
      <c r="G42" s="123">
        <v>-54</v>
      </c>
      <c r="H42" s="122">
        <v>0</v>
      </c>
      <c r="I42" s="122">
        <v>0</v>
      </c>
      <c r="J42" s="122">
        <v>0</v>
      </c>
      <c r="K42" s="122">
        <v>-7</v>
      </c>
      <c r="L42" s="122">
        <v>0</v>
      </c>
      <c r="M42" s="122">
        <v>0</v>
      </c>
      <c r="N42" s="122">
        <v>0</v>
      </c>
      <c r="O42" s="122">
        <v>-258</v>
      </c>
      <c r="P42" s="122">
        <v>0</v>
      </c>
      <c r="Q42" s="122">
        <v>-180</v>
      </c>
      <c r="R42" s="287">
        <v>-1391</v>
      </c>
    </row>
    <row r="43" spans="1:18" s="115" customFormat="1" ht="15.6" x14ac:dyDescent="0.3">
      <c r="A43" s="13" t="s">
        <v>30</v>
      </c>
      <c r="B43" s="22" t="s">
        <v>152</v>
      </c>
      <c r="C43" s="20" t="s">
        <v>152</v>
      </c>
      <c r="D43" s="20" t="s">
        <v>152</v>
      </c>
      <c r="E43" s="20" t="s">
        <v>152</v>
      </c>
      <c r="F43" s="20" t="s">
        <v>152</v>
      </c>
      <c r="G43" s="123">
        <v>-2740</v>
      </c>
      <c r="H43" s="122">
        <v>0</v>
      </c>
      <c r="I43" s="122">
        <v>-6</v>
      </c>
      <c r="J43" s="122">
        <v>0</v>
      </c>
      <c r="K43" s="122">
        <v>0</v>
      </c>
      <c r="L43" s="122">
        <v>0</v>
      </c>
      <c r="M43" s="122">
        <v>0</v>
      </c>
      <c r="N43" s="122">
        <v>0</v>
      </c>
      <c r="O43" s="122">
        <v>0</v>
      </c>
      <c r="P43" s="122">
        <v>0</v>
      </c>
      <c r="Q43" s="20">
        <v>-1</v>
      </c>
      <c r="R43" s="295" t="s">
        <v>152</v>
      </c>
    </row>
    <row r="44" spans="1:18" s="115" customFormat="1" ht="15.6" x14ac:dyDescent="0.3">
      <c r="A44" s="13" t="s">
        <v>31</v>
      </c>
      <c r="B44" s="22" t="s">
        <v>152</v>
      </c>
      <c r="C44" s="20" t="s">
        <v>152</v>
      </c>
      <c r="D44" s="20" t="s">
        <v>152</v>
      </c>
      <c r="E44" s="20" t="s">
        <v>152</v>
      </c>
      <c r="F44" s="20" t="s">
        <v>152</v>
      </c>
      <c r="G44" s="123">
        <v>0</v>
      </c>
      <c r="H44" s="122">
        <v>-6</v>
      </c>
      <c r="I44" s="122">
        <v>-235</v>
      </c>
      <c r="J44" s="122">
        <v>-96</v>
      </c>
      <c r="K44" s="122">
        <v>-17174</v>
      </c>
      <c r="L44" s="122">
        <v>-80204</v>
      </c>
      <c r="M44" s="122">
        <v>-254</v>
      </c>
      <c r="N44" s="122">
        <v>0</v>
      </c>
      <c r="O44" s="122">
        <v>0</v>
      </c>
      <c r="P44" s="122">
        <v>0</v>
      </c>
      <c r="Q44" s="20">
        <v>-1875</v>
      </c>
      <c r="R44" s="295" t="s">
        <v>152</v>
      </c>
    </row>
    <row r="45" spans="1:18" s="115" customFormat="1" ht="15.6" x14ac:dyDescent="0.3">
      <c r="A45" s="13" t="s">
        <v>32</v>
      </c>
      <c r="B45" s="22" t="s">
        <v>152</v>
      </c>
      <c r="C45" s="20" t="s">
        <v>152</v>
      </c>
      <c r="D45" s="20" t="s">
        <v>152</v>
      </c>
      <c r="E45" s="20" t="s">
        <v>152</v>
      </c>
      <c r="F45" s="20" t="s">
        <v>152</v>
      </c>
      <c r="G45" s="123">
        <v>-103</v>
      </c>
      <c r="H45" s="122">
        <v>0</v>
      </c>
      <c r="I45" s="122">
        <v>-24</v>
      </c>
      <c r="J45" s="122">
        <v>-319463</v>
      </c>
      <c r="K45" s="122">
        <v>0</v>
      </c>
      <c r="L45" s="122">
        <v>0</v>
      </c>
      <c r="M45" s="122">
        <v>-170</v>
      </c>
      <c r="N45" s="122">
        <v>0</v>
      </c>
      <c r="O45" s="122">
        <v>-330</v>
      </c>
      <c r="P45" s="122">
        <v>0</v>
      </c>
      <c r="Q45" s="20">
        <v>-3121</v>
      </c>
      <c r="R45" s="295" t="s">
        <v>152</v>
      </c>
    </row>
    <row r="46" spans="1:18" s="115" customFormat="1" ht="15.6" x14ac:dyDescent="0.3">
      <c r="A46" s="13" t="s">
        <v>33</v>
      </c>
      <c r="B46" s="22" t="s">
        <v>152</v>
      </c>
      <c r="C46" s="20" t="s">
        <v>152</v>
      </c>
      <c r="D46" s="20" t="s">
        <v>152</v>
      </c>
      <c r="E46" s="20" t="s">
        <v>152</v>
      </c>
      <c r="F46" s="20" t="s">
        <v>152</v>
      </c>
      <c r="G46" s="123">
        <v>0</v>
      </c>
      <c r="H46" s="122">
        <v>0</v>
      </c>
      <c r="I46" s="122">
        <v>-93184</v>
      </c>
      <c r="J46" s="122">
        <v>0</v>
      </c>
      <c r="K46" s="122">
        <v>-20008</v>
      </c>
      <c r="L46" s="122">
        <v>0</v>
      </c>
      <c r="M46" s="122">
        <v>0</v>
      </c>
      <c r="N46" s="122">
        <v>0</v>
      </c>
      <c r="O46" s="122">
        <v>0</v>
      </c>
      <c r="P46" s="122">
        <v>0</v>
      </c>
      <c r="Q46" s="20">
        <v>0</v>
      </c>
      <c r="R46" s="295" t="s">
        <v>152</v>
      </c>
    </row>
    <row r="47" spans="1:18" s="115" customFormat="1" ht="15.6" x14ac:dyDescent="0.3">
      <c r="A47" s="13" t="s">
        <v>34</v>
      </c>
      <c r="B47" s="22" t="s">
        <v>152</v>
      </c>
      <c r="C47" s="20" t="s">
        <v>152</v>
      </c>
      <c r="D47" s="20" t="s">
        <v>152</v>
      </c>
      <c r="E47" s="20" t="s">
        <v>152</v>
      </c>
      <c r="F47" s="20" t="s">
        <v>152</v>
      </c>
      <c r="G47" s="123">
        <v>0</v>
      </c>
      <c r="H47" s="122">
        <v>-418</v>
      </c>
      <c r="I47" s="122">
        <v>-16730</v>
      </c>
      <c r="J47" s="122">
        <v>-5608</v>
      </c>
      <c r="K47" s="122">
        <v>-1111</v>
      </c>
      <c r="L47" s="122">
        <v>-133442</v>
      </c>
      <c r="M47" s="122">
        <v>-1</v>
      </c>
      <c r="N47" s="122">
        <v>-1</v>
      </c>
      <c r="O47" s="122">
        <v>-1</v>
      </c>
      <c r="P47" s="122">
        <v>-70575</v>
      </c>
      <c r="Q47" s="20">
        <v>-13530</v>
      </c>
      <c r="R47" s="295" t="s">
        <v>152</v>
      </c>
    </row>
    <row r="48" spans="1:18" s="115" customFormat="1" ht="16.2" thickBot="1" x14ac:dyDescent="0.35">
      <c r="A48" s="100" t="s">
        <v>36</v>
      </c>
      <c r="B48" s="125" t="s">
        <v>152</v>
      </c>
      <c r="C48" s="39" t="s">
        <v>152</v>
      </c>
      <c r="D48" s="39" t="s">
        <v>152</v>
      </c>
      <c r="E48" s="39" t="s">
        <v>152</v>
      </c>
      <c r="F48" s="262">
        <v>-58</v>
      </c>
      <c r="G48" s="126">
        <v>0</v>
      </c>
      <c r="H48" s="127">
        <v>-27</v>
      </c>
      <c r="I48" s="127">
        <v>-92</v>
      </c>
      <c r="J48" s="127">
        <v>-7939</v>
      </c>
      <c r="K48" s="127">
        <v>-239622</v>
      </c>
      <c r="L48" s="127">
        <v>-1000</v>
      </c>
      <c r="M48" s="127">
        <v>-612</v>
      </c>
      <c r="N48" s="127">
        <v>0</v>
      </c>
      <c r="O48" s="127">
        <v>-1</v>
      </c>
      <c r="P48" s="127">
        <v>-2</v>
      </c>
      <c r="Q48" s="28">
        <v>0</v>
      </c>
      <c r="R48" s="292" t="s">
        <v>152</v>
      </c>
    </row>
    <row r="49" spans="1:18" s="115" customFormat="1" ht="16.2" thickTop="1" x14ac:dyDescent="0.3">
      <c r="A49" s="94" t="s">
        <v>37</v>
      </c>
      <c r="B49" s="128" t="s">
        <v>152</v>
      </c>
      <c r="C49" s="59" t="s">
        <v>152</v>
      </c>
      <c r="D49" s="59" t="s">
        <v>152</v>
      </c>
      <c r="E49" s="59" t="s">
        <v>152</v>
      </c>
      <c r="F49" s="261">
        <f t="shared" ref="F49:K49" si="4">SUM(F37:F48)</f>
        <v>-58</v>
      </c>
      <c r="G49" s="261">
        <f t="shared" si="4"/>
        <v>-11494</v>
      </c>
      <c r="H49" s="261">
        <f t="shared" si="4"/>
        <v>-26716</v>
      </c>
      <c r="I49" s="261">
        <f t="shared" si="4"/>
        <v>-170286</v>
      </c>
      <c r="J49" s="261">
        <f t="shared" si="4"/>
        <v>-338812</v>
      </c>
      <c r="K49" s="261">
        <f t="shared" si="4"/>
        <v>-284172</v>
      </c>
      <c r="L49" s="261">
        <f t="shared" ref="L49:R49" si="5">SUM(L37:L48)</f>
        <v>-257615</v>
      </c>
      <c r="M49" s="261">
        <f t="shared" si="5"/>
        <v>-195490</v>
      </c>
      <c r="N49" s="261">
        <f t="shared" si="5"/>
        <v>-42446</v>
      </c>
      <c r="O49" s="261">
        <f t="shared" si="5"/>
        <v>-19251</v>
      </c>
      <c r="P49" s="261">
        <f t="shared" si="5"/>
        <v>-73898</v>
      </c>
      <c r="Q49" s="261">
        <f t="shared" si="5"/>
        <v>-21559</v>
      </c>
      <c r="R49" s="288">
        <f t="shared" si="5"/>
        <v>-14921</v>
      </c>
    </row>
    <row r="50" spans="1:18" s="116" customFormat="1" ht="6.6" x14ac:dyDescent="0.15">
      <c r="A50" s="367" t="s">
        <v>174</v>
      </c>
      <c r="B50" s="367"/>
      <c r="C50" s="367"/>
      <c r="D50" s="367"/>
      <c r="E50" s="367"/>
      <c r="F50" s="367"/>
      <c r="G50" s="367"/>
      <c r="H50" s="367"/>
      <c r="I50" s="367"/>
      <c r="J50" s="367"/>
      <c r="K50" s="367"/>
      <c r="L50" s="367"/>
      <c r="M50" s="367"/>
      <c r="N50" s="367"/>
      <c r="O50" s="367"/>
      <c r="P50" s="367"/>
      <c r="Q50" s="367"/>
      <c r="R50" s="367"/>
    </row>
    <row r="51" spans="1:18" s="117" customFormat="1" ht="13.8" x14ac:dyDescent="0.3">
      <c r="A51" s="366" t="s">
        <v>154</v>
      </c>
      <c r="B51" s="366"/>
      <c r="C51" s="366"/>
      <c r="D51" s="366"/>
      <c r="E51" s="366"/>
      <c r="F51" s="366"/>
      <c r="G51" s="366"/>
      <c r="H51" s="366"/>
      <c r="I51" s="366"/>
      <c r="J51" s="366"/>
      <c r="K51" s="366"/>
      <c r="L51" s="366"/>
      <c r="M51" s="366"/>
      <c r="N51" s="366"/>
      <c r="O51" s="366"/>
      <c r="P51" s="366"/>
      <c r="Q51" s="366"/>
      <c r="R51" s="366"/>
    </row>
    <row r="52" spans="1:18" s="117" customFormat="1" ht="13.8" x14ac:dyDescent="0.3">
      <c r="A52" s="363" t="s">
        <v>39</v>
      </c>
      <c r="B52" s="363"/>
      <c r="C52" s="363"/>
      <c r="D52" s="363"/>
      <c r="E52" s="363"/>
      <c r="F52" s="363"/>
      <c r="G52" s="363"/>
      <c r="H52" s="363"/>
      <c r="I52" s="363"/>
      <c r="J52" s="363"/>
      <c r="K52" s="363"/>
      <c r="L52" s="363"/>
      <c r="M52" s="363"/>
      <c r="N52" s="363"/>
      <c r="O52" s="363"/>
      <c r="P52" s="363"/>
      <c r="Q52" s="363"/>
      <c r="R52" s="363"/>
    </row>
    <row r="53" spans="1:18" s="117" customFormat="1" ht="13.8" x14ac:dyDescent="0.3">
      <c r="A53" s="364" t="str">
        <f>'Local SUT'!A60</f>
        <v>Source:  Minnesota Department of Revenue, Tax Research Division, February 2021</v>
      </c>
      <c r="B53" s="364"/>
      <c r="C53" s="364"/>
      <c r="D53" s="364"/>
      <c r="E53" s="364"/>
      <c r="F53" s="364"/>
      <c r="G53" s="364"/>
      <c r="H53" s="364"/>
      <c r="I53" s="364"/>
      <c r="J53" s="364"/>
      <c r="K53" s="364"/>
      <c r="L53" s="364"/>
      <c r="M53" s="364"/>
      <c r="N53" s="364"/>
      <c r="O53" s="364"/>
      <c r="P53" s="364"/>
      <c r="Q53" s="364"/>
      <c r="R53" s="364"/>
    </row>
    <row r="54" spans="1:18" s="117" customFormat="1" ht="13.8" x14ac:dyDescent="0.3">
      <c r="A54" s="365" t="s">
        <v>151</v>
      </c>
      <c r="B54" s="365"/>
      <c r="C54" s="365"/>
      <c r="D54" s="365"/>
      <c r="E54" s="365"/>
      <c r="F54" s="365"/>
      <c r="G54" s="365"/>
      <c r="H54" s="365"/>
      <c r="I54" s="365"/>
      <c r="J54" s="365"/>
      <c r="K54" s="365"/>
      <c r="L54" s="365"/>
      <c r="M54" s="365"/>
      <c r="N54" s="365"/>
      <c r="O54" s="365"/>
      <c r="P54" s="365"/>
      <c r="Q54" s="365"/>
      <c r="R54" s="365"/>
    </row>
  </sheetData>
  <mergeCells count="12">
    <mergeCell ref="A51:R51"/>
    <mergeCell ref="A52:R52"/>
    <mergeCell ref="A53:R53"/>
    <mergeCell ref="A54:R54"/>
    <mergeCell ref="A1:R1"/>
    <mergeCell ref="A2:R2"/>
    <mergeCell ref="A3:R3"/>
    <mergeCell ref="A18:R18"/>
    <mergeCell ref="A19:R19"/>
    <mergeCell ref="A34:R34"/>
    <mergeCell ref="A35:R35"/>
    <mergeCell ref="A50:R50"/>
  </mergeCells>
  <pageMargins left="0" right="0" top="0.75" bottom="0.75" header="0.3" footer="0.3"/>
  <pageSetup scale="7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R54"/>
  <sheetViews>
    <sheetView showGridLines="0" workbookViewId="0">
      <pane ySplit="1" topLeftCell="A2" activePane="bottomLeft" state="frozen"/>
      <selection pane="bottomLeft" sqref="A1:R1"/>
    </sheetView>
  </sheetViews>
  <sheetFormatPr defaultColWidth="12.5546875" defaultRowHeight="14.4" x14ac:dyDescent="0.3"/>
  <cols>
    <col min="1" max="1" width="12.5546875" style="6"/>
    <col min="2" max="3" width="13.5546875" style="6" hidden="1" customWidth="1"/>
    <col min="4" max="17" width="13.5546875" style="6" customWidth="1"/>
    <col min="18" max="18" width="13.5546875" style="145" customWidth="1"/>
    <col min="19" max="16384" width="12.5546875" style="6"/>
  </cols>
  <sheetData>
    <row r="1" spans="1:18" s="129" customFormat="1" ht="21" x14ac:dyDescent="0.4">
      <c r="A1" s="359" t="s">
        <v>190</v>
      </c>
      <c r="B1" s="359"/>
      <c r="C1" s="359"/>
      <c r="D1" s="359"/>
      <c r="E1" s="359"/>
      <c r="F1" s="359"/>
      <c r="G1" s="359"/>
      <c r="H1" s="359"/>
      <c r="I1" s="359"/>
      <c r="J1" s="359"/>
      <c r="K1" s="359"/>
      <c r="L1" s="359"/>
      <c r="M1" s="359"/>
      <c r="N1" s="359"/>
      <c r="O1" s="359"/>
      <c r="P1" s="359"/>
      <c r="Q1" s="359"/>
      <c r="R1" s="359"/>
    </row>
    <row r="2" spans="1:18" s="120" customFormat="1" ht="18" x14ac:dyDescent="0.35">
      <c r="A2" s="360" t="str">
        <f>'Local SUT'!A2</f>
        <v>CY 2004-2020</v>
      </c>
      <c r="B2" s="360"/>
      <c r="C2" s="360"/>
      <c r="D2" s="360"/>
      <c r="E2" s="360"/>
      <c r="F2" s="360"/>
      <c r="G2" s="360"/>
      <c r="H2" s="360"/>
      <c r="I2" s="360"/>
      <c r="J2" s="360"/>
      <c r="K2" s="360"/>
      <c r="L2" s="360"/>
      <c r="M2" s="360"/>
      <c r="N2" s="360"/>
      <c r="O2" s="360"/>
      <c r="P2" s="360"/>
      <c r="Q2" s="360"/>
      <c r="R2" s="360"/>
    </row>
    <row r="3" spans="1:18" s="120" customFormat="1" ht="18" x14ac:dyDescent="0.35">
      <c r="A3" s="361" t="s">
        <v>42</v>
      </c>
      <c r="B3" s="361"/>
      <c r="C3" s="361"/>
      <c r="D3" s="361"/>
      <c r="E3" s="361"/>
      <c r="F3" s="361"/>
      <c r="G3" s="361"/>
      <c r="H3" s="361"/>
      <c r="I3" s="361"/>
      <c r="J3" s="361"/>
      <c r="K3" s="361"/>
      <c r="L3" s="361"/>
      <c r="M3" s="361"/>
      <c r="N3" s="361"/>
      <c r="O3" s="361"/>
      <c r="P3" s="361"/>
      <c r="Q3" s="361"/>
      <c r="R3" s="361"/>
    </row>
    <row r="4" spans="1:18" s="115" customFormat="1" ht="15.6" x14ac:dyDescent="0.3">
      <c r="A4" s="95" t="s">
        <v>23</v>
      </c>
      <c r="B4" s="96">
        <v>2004</v>
      </c>
      <c r="C4" s="53">
        <v>2005</v>
      </c>
      <c r="D4" s="53">
        <v>2006</v>
      </c>
      <c r="E4" s="53">
        <v>2007</v>
      </c>
      <c r="F4" s="53">
        <v>2008</v>
      </c>
      <c r="G4" s="53">
        <v>2009</v>
      </c>
      <c r="H4" s="53">
        <v>2010</v>
      </c>
      <c r="I4" s="53">
        <v>2011</v>
      </c>
      <c r="J4" s="54">
        <v>2012</v>
      </c>
      <c r="K4" s="54">
        <v>2013</v>
      </c>
      <c r="L4" s="54">
        <v>2014</v>
      </c>
      <c r="M4" s="54">
        <v>2015</v>
      </c>
      <c r="N4" s="54">
        <v>2016</v>
      </c>
      <c r="O4" s="54">
        <v>2017</v>
      </c>
      <c r="P4" s="54">
        <v>2018</v>
      </c>
      <c r="Q4" s="54">
        <v>2019</v>
      </c>
      <c r="R4" s="49">
        <v>2020</v>
      </c>
    </row>
    <row r="5" spans="1:18" s="115" customFormat="1" ht="15.6" x14ac:dyDescent="0.3">
      <c r="A5" s="36" t="s">
        <v>24</v>
      </c>
      <c r="B5" s="121" t="s">
        <v>152</v>
      </c>
      <c r="C5" s="38" t="s">
        <v>152</v>
      </c>
      <c r="D5" s="38" t="s">
        <v>152</v>
      </c>
      <c r="E5" s="259">
        <v>189369</v>
      </c>
      <c r="F5" s="259">
        <v>190538.72</v>
      </c>
      <c r="G5" s="260">
        <v>198960</v>
      </c>
      <c r="H5" s="259">
        <v>172530</v>
      </c>
      <c r="I5" s="259">
        <v>175392</v>
      </c>
      <c r="J5" s="259">
        <v>176015</v>
      </c>
      <c r="K5" s="259">
        <v>195222</v>
      </c>
      <c r="L5" s="259">
        <v>188309</v>
      </c>
      <c r="M5" s="259">
        <v>190550</v>
      </c>
      <c r="N5" s="259">
        <v>220400</v>
      </c>
      <c r="O5" s="259">
        <v>226165</v>
      </c>
      <c r="P5" s="259">
        <v>223385</v>
      </c>
      <c r="Q5" s="259">
        <v>228646</v>
      </c>
      <c r="R5" s="286">
        <v>238166</v>
      </c>
    </row>
    <row r="6" spans="1:18" s="115" customFormat="1" ht="15.6" x14ac:dyDescent="0.3">
      <c r="A6" s="13" t="s">
        <v>25</v>
      </c>
      <c r="B6" s="124" t="s">
        <v>152</v>
      </c>
      <c r="C6" s="23" t="s">
        <v>152</v>
      </c>
      <c r="D6" s="20" t="s">
        <v>152</v>
      </c>
      <c r="E6" s="122">
        <v>126088</v>
      </c>
      <c r="F6" s="122">
        <v>124512.13</v>
      </c>
      <c r="G6" s="123">
        <v>148316</v>
      </c>
      <c r="H6" s="122">
        <v>112476</v>
      </c>
      <c r="I6" s="122">
        <v>115794</v>
      </c>
      <c r="J6" s="122">
        <v>115318</v>
      </c>
      <c r="K6" s="122">
        <v>138738</v>
      </c>
      <c r="L6" s="122">
        <v>161615</v>
      </c>
      <c r="M6" s="122">
        <v>149226</v>
      </c>
      <c r="N6" s="122">
        <v>151939</v>
      </c>
      <c r="O6" s="122">
        <v>156107</v>
      </c>
      <c r="P6" s="122">
        <v>160445</v>
      </c>
      <c r="Q6" s="122">
        <v>168183</v>
      </c>
      <c r="R6" s="287">
        <v>174860</v>
      </c>
    </row>
    <row r="7" spans="1:18" s="115" customFormat="1" ht="15.6" x14ac:dyDescent="0.3">
      <c r="A7" s="13" t="s">
        <v>26</v>
      </c>
      <c r="B7" s="124" t="s">
        <v>152</v>
      </c>
      <c r="C7" s="23" t="s">
        <v>152</v>
      </c>
      <c r="D7" s="20" t="s">
        <v>152</v>
      </c>
      <c r="E7" s="122">
        <v>114890</v>
      </c>
      <c r="F7" s="122">
        <v>118447.9</v>
      </c>
      <c r="G7" s="123">
        <v>118550</v>
      </c>
      <c r="H7" s="122">
        <v>113494</v>
      </c>
      <c r="I7" s="122">
        <v>117017</v>
      </c>
      <c r="J7" s="122">
        <v>119654</v>
      </c>
      <c r="K7" s="122">
        <v>133235</v>
      </c>
      <c r="L7" s="122">
        <v>135450</v>
      </c>
      <c r="M7" s="122">
        <v>155279</v>
      </c>
      <c r="N7" s="122">
        <v>149563</v>
      </c>
      <c r="O7" s="122">
        <v>146627</v>
      </c>
      <c r="P7" s="122">
        <v>151291</v>
      </c>
      <c r="Q7" s="122">
        <v>153131</v>
      </c>
      <c r="R7" s="287">
        <v>170807</v>
      </c>
    </row>
    <row r="8" spans="1:18" s="115" customFormat="1" ht="15.6" x14ac:dyDescent="0.3">
      <c r="A8" s="13" t="s">
        <v>27</v>
      </c>
      <c r="B8" s="124" t="s">
        <v>152</v>
      </c>
      <c r="C8" s="23" t="s">
        <v>152</v>
      </c>
      <c r="D8" s="20" t="s">
        <v>152</v>
      </c>
      <c r="E8" s="122">
        <v>134914.67000000001</v>
      </c>
      <c r="F8" s="122">
        <v>134520.48000000001</v>
      </c>
      <c r="G8" s="123">
        <v>121687</v>
      </c>
      <c r="H8" s="122">
        <v>137512</v>
      </c>
      <c r="I8" s="122">
        <v>121631</v>
      </c>
      <c r="J8" s="122">
        <v>138232</v>
      </c>
      <c r="K8" s="122">
        <v>144573</v>
      </c>
      <c r="L8" s="122">
        <v>153172</v>
      </c>
      <c r="M8" s="122">
        <v>166156</v>
      </c>
      <c r="N8" s="122">
        <v>180426</v>
      </c>
      <c r="O8" s="122">
        <v>179548</v>
      </c>
      <c r="P8" s="122">
        <v>180680</v>
      </c>
      <c r="Q8" s="122">
        <v>187897</v>
      </c>
      <c r="R8" s="287">
        <v>193434</v>
      </c>
    </row>
    <row r="9" spans="1:18" s="115" customFormat="1" ht="15.6" x14ac:dyDescent="0.3">
      <c r="A9" s="13" t="s">
        <v>28</v>
      </c>
      <c r="B9" s="124" t="s">
        <v>152</v>
      </c>
      <c r="C9" s="23" t="s">
        <v>152</v>
      </c>
      <c r="D9" s="20" t="s">
        <v>152</v>
      </c>
      <c r="E9" s="122">
        <v>146982</v>
      </c>
      <c r="F9" s="122">
        <v>133766.41</v>
      </c>
      <c r="G9" s="123">
        <v>136945</v>
      </c>
      <c r="H9" s="122">
        <v>140994</v>
      </c>
      <c r="I9" s="122">
        <v>154678</v>
      </c>
      <c r="J9" s="122">
        <v>145277</v>
      </c>
      <c r="K9" s="122">
        <v>149357</v>
      </c>
      <c r="L9" s="122">
        <v>162214</v>
      </c>
      <c r="M9" s="122">
        <v>179237</v>
      </c>
      <c r="N9" s="122">
        <v>185560</v>
      </c>
      <c r="O9" s="122">
        <v>195856</v>
      </c>
      <c r="P9" s="122">
        <v>187899</v>
      </c>
      <c r="Q9" s="122">
        <v>201406</v>
      </c>
      <c r="R9" s="287">
        <v>216166</v>
      </c>
    </row>
    <row r="10" spans="1:18" s="115" customFormat="1" ht="15.6" x14ac:dyDescent="0.3">
      <c r="A10" s="13" t="s">
        <v>29</v>
      </c>
      <c r="B10" s="124" t="s">
        <v>152</v>
      </c>
      <c r="C10" s="23" t="s">
        <v>152</v>
      </c>
      <c r="D10" s="20" t="s">
        <v>152</v>
      </c>
      <c r="E10" s="122">
        <v>160560.25</v>
      </c>
      <c r="F10" s="122">
        <v>169469.76</v>
      </c>
      <c r="G10" s="123">
        <v>157615</v>
      </c>
      <c r="H10" s="122">
        <v>154921</v>
      </c>
      <c r="I10" s="122">
        <v>160613</v>
      </c>
      <c r="J10" s="122">
        <v>143526</v>
      </c>
      <c r="K10" s="122">
        <v>187608</v>
      </c>
      <c r="L10" s="122">
        <v>186394</v>
      </c>
      <c r="M10" s="122">
        <v>207677</v>
      </c>
      <c r="N10" s="122">
        <v>208915</v>
      </c>
      <c r="O10" s="122">
        <v>225246</v>
      </c>
      <c r="P10" s="122">
        <v>233309</v>
      </c>
      <c r="Q10" s="122">
        <v>244064</v>
      </c>
      <c r="R10" s="287">
        <v>266499</v>
      </c>
    </row>
    <row r="11" spans="1:18" s="115" customFormat="1" ht="15.6" x14ac:dyDescent="0.3">
      <c r="A11" s="13" t="s">
        <v>30</v>
      </c>
      <c r="B11" s="124" t="s">
        <v>152</v>
      </c>
      <c r="C11" s="23" t="s">
        <v>152</v>
      </c>
      <c r="D11" s="20" t="s">
        <v>152</v>
      </c>
      <c r="E11" s="122">
        <v>152712.51</v>
      </c>
      <c r="F11" s="122">
        <v>147540.35999999999</v>
      </c>
      <c r="G11" s="123">
        <v>121253</v>
      </c>
      <c r="H11" s="122">
        <v>155739</v>
      </c>
      <c r="I11" s="122">
        <v>158134</v>
      </c>
      <c r="J11" s="122">
        <v>176621</v>
      </c>
      <c r="K11" s="122">
        <v>157367</v>
      </c>
      <c r="L11" s="122">
        <v>193279</v>
      </c>
      <c r="M11" s="122">
        <v>180278</v>
      </c>
      <c r="N11" s="122">
        <v>187233</v>
      </c>
      <c r="O11" s="122">
        <v>199751</v>
      </c>
      <c r="P11" s="122">
        <v>193829</v>
      </c>
      <c r="Q11" s="293">
        <v>244725</v>
      </c>
      <c r="R11" s="291" t="s">
        <v>152</v>
      </c>
    </row>
    <row r="12" spans="1:18" s="115" customFormat="1" ht="15.6" x14ac:dyDescent="0.3">
      <c r="A12" s="13" t="s">
        <v>31</v>
      </c>
      <c r="B12" s="124" t="s">
        <v>152</v>
      </c>
      <c r="C12" s="23" t="s">
        <v>152</v>
      </c>
      <c r="D12" s="20" t="s">
        <v>152</v>
      </c>
      <c r="E12" s="122">
        <v>202760.23</v>
      </c>
      <c r="F12" s="122">
        <v>203770.08</v>
      </c>
      <c r="G12" s="123">
        <v>206907</v>
      </c>
      <c r="H12" s="122">
        <v>178734</v>
      </c>
      <c r="I12" s="122">
        <v>172788</v>
      </c>
      <c r="J12" s="122">
        <v>220436</v>
      </c>
      <c r="K12" s="122">
        <v>244520</v>
      </c>
      <c r="L12" s="122">
        <v>220195</v>
      </c>
      <c r="M12" s="122">
        <v>261002</v>
      </c>
      <c r="N12" s="122">
        <v>269123</v>
      </c>
      <c r="O12" s="122">
        <v>284360</v>
      </c>
      <c r="P12" s="122">
        <v>297175</v>
      </c>
      <c r="Q12" s="293">
        <v>273595</v>
      </c>
      <c r="R12" s="295" t="s">
        <v>152</v>
      </c>
    </row>
    <row r="13" spans="1:18" s="115" customFormat="1" ht="15.6" x14ac:dyDescent="0.3">
      <c r="A13" s="13" t="s">
        <v>32</v>
      </c>
      <c r="B13" s="124" t="s">
        <v>152</v>
      </c>
      <c r="C13" s="23" t="s">
        <v>152</v>
      </c>
      <c r="D13" s="20" t="s">
        <v>152</v>
      </c>
      <c r="E13" s="122">
        <v>165010.32999999999</v>
      </c>
      <c r="F13" s="122">
        <v>167602.64000000001</v>
      </c>
      <c r="G13" s="123">
        <v>135495</v>
      </c>
      <c r="H13" s="122">
        <v>158172</v>
      </c>
      <c r="I13" s="122">
        <v>165669</v>
      </c>
      <c r="J13" s="122">
        <v>208300</v>
      </c>
      <c r="K13" s="122">
        <v>201560</v>
      </c>
      <c r="L13" s="122">
        <v>209886</v>
      </c>
      <c r="M13" s="122">
        <v>200513</v>
      </c>
      <c r="N13" s="122">
        <v>226526</v>
      </c>
      <c r="O13" s="122">
        <v>249529</v>
      </c>
      <c r="P13" s="122">
        <v>249053</v>
      </c>
      <c r="Q13" s="293">
        <v>260306</v>
      </c>
      <c r="R13" s="295" t="s">
        <v>152</v>
      </c>
    </row>
    <row r="14" spans="1:18" s="115" customFormat="1" ht="15.6" x14ac:dyDescent="0.3">
      <c r="A14" s="13" t="s">
        <v>33</v>
      </c>
      <c r="B14" s="124" t="s">
        <v>152</v>
      </c>
      <c r="C14" s="23" t="s">
        <v>152</v>
      </c>
      <c r="D14" s="258">
        <v>0</v>
      </c>
      <c r="E14" s="122">
        <v>155503.75</v>
      </c>
      <c r="F14" s="122">
        <v>149064.25</v>
      </c>
      <c r="G14" s="123">
        <v>162572</v>
      </c>
      <c r="H14" s="122">
        <v>149614</v>
      </c>
      <c r="I14" s="122">
        <v>152652</v>
      </c>
      <c r="J14" s="122">
        <v>164972</v>
      </c>
      <c r="K14" s="122">
        <v>174795</v>
      </c>
      <c r="L14" s="122">
        <v>178588</v>
      </c>
      <c r="M14" s="122">
        <v>195741</v>
      </c>
      <c r="N14" s="122">
        <v>203396</v>
      </c>
      <c r="O14" s="122">
        <v>205704</v>
      </c>
      <c r="P14" s="122">
        <v>205675</v>
      </c>
      <c r="Q14" s="293">
        <v>225224</v>
      </c>
      <c r="R14" s="295" t="s">
        <v>152</v>
      </c>
    </row>
    <row r="15" spans="1:18" s="115" customFormat="1" ht="15.6" x14ac:dyDescent="0.3">
      <c r="A15" s="13" t="s">
        <v>34</v>
      </c>
      <c r="B15" s="124" t="s">
        <v>152</v>
      </c>
      <c r="C15" s="23" t="s">
        <v>152</v>
      </c>
      <c r="D15" s="122">
        <v>118211</v>
      </c>
      <c r="E15" s="122">
        <v>152821</v>
      </c>
      <c r="F15" s="20" t="s">
        <v>35</v>
      </c>
      <c r="G15" s="123">
        <v>137227</v>
      </c>
      <c r="H15" s="122">
        <v>144700</v>
      </c>
      <c r="I15" s="122">
        <v>156074</v>
      </c>
      <c r="J15" s="122">
        <v>157381</v>
      </c>
      <c r="K15" s="122">
        <v>165933</v>
      </c>
      <c r="L15" s="122">
        <v>179917</v>
      </c>
      <c r="M15" s="122">
        <v>198299</v>
      </c>
      <c r="N15" s="122">
        <v>195308</v>
      </c>
      <c r="O15" s="122">
        <v>198352</v>
      </c>
      <c r="P15" s="122">
        <v>209134</v>
      </c>
      <c r="Q15" s="293">
        <v>217809</v>
      </c>
      <c r="R15" s="295" t="s">
        <v>152</v>
      </c>
    </row>
    <row r="16" spans="1:18" s="115" customFormat="1" ht="16.2" thickBot="1" x14ac:dyDescent="0.35">
      <c r="A16" s="100" t="s">
        <v>36</v>
      </c>
      <c r="B16" s="130" t="s">
        <v>152</v>
      </c>
      <c r="C16" s="101" t="s">
        <v>152</v>
      </c>
      <c r="D16" s="126">
        <v>147162</v>
      </c>
      <c r="E16" s="126">
        <v>145197.20000000001</v>
      </c>
      <c r="F16" s="126">
        <v>229640</v>
      </c>
      <c r="G16" s="126">
        <v>136084</v>
      </c>
      <c r="H16" s="127">
        <v>146816</v>
      </c>
      <c r="I16" s="127">
        <v>145878</v>
      </c>
      <c r="J16" s="127">
        <v>162903</v>
      </c>
      <c r="K16" s="127">
        <v>164166</v>
      </c>
      <c r="L16" s="127">
        <v>179357</v>
      </c>
      <c r="M16" s="127">
        <v>186924</v>
      </c>
      <c r="N16" s="127">
        <v>189081</v>
      </c>
      <c r="O16" s="127">
        <v>200195</v>
      </c>
      <c r="P16" s="127">
        <v>212090</v>
      </c>
      <c r="Q16" s="294">
        <v>214639</v>
      </c>
      <c r="R16" s="292" t="s">
        <v>152</v>
      </c>
    </row>
    <row r="17" spans="1:18" s="115" customFormat="1" ht="16.2" thickTop="1" x14ac:dyDescent="0.3">
      <c r="A17" s="94" t="s">
        <v>37</v>
      </c>
      <c r="B17" s="128" t="s">
        <v>152</v>
      </c>
      <c r="C17" s="59" t="s">
        <v>152</v>
      </c>
      <c r="D17" s="261">
        <f t="shared" ref="D17:I17" si="0">SUM(D5:D16)</f>
        <v>265373</v>
      </c>
      <c r="E17" s="261">
        <f t="shared" si="0"/>
        <v>1846808.9400000002</v>
      </c>
      <c r="F17" s="261">
        <f t="shared" si="0"/>
        <v>1768872.73</v>
      </c>
      <c r="G17" s="261">
        <f t="shared" si="0"/>
        <v>1781611</v>
      </c>
      <c r="H17" s="261">
        <f t="shared" si="0"/>
        <v>1765702</v>
      </c>
      <c r="I17" s="261">
        <f t="shared" si="0"/>
        <v>1796320</v>
      </c>
      <c r="J17" s="261">
        <f t="shared" ref="J17:P17" si="1">SUM(J5:J16)</f>
        <v>1928635</v>
      </c>
      <c r="K17" s="261">
        <f t="shared" si="1"/>
        <v>2057074</v>
      </c>
      <c r="L17" s="261">
        <f t="shared" si="1"/>
        <v>2148376</v>
      </c>
      <c r="M17" s="261">
        <f t="shared" si="1"/>
        <v>2270882</v>
      </c>
      <c r="N17" s="261">
        <f t="shared" si="1"/>
        <v>2367470</v>
      </c>
      <c r="O17" s="261">
        <f t="shared" si="1"/>
        <v>2467440</v>
      </c>
      <c r="P17" s="261">
        <f t="shared" si="1"/>
        <v>2503965</v>
      </c>
      <c r="Q17" s="261">
        <f t="shared" ref="Q17:R17" si="2">SUM(Q5:Q16)</f>
        <v>2619625</v>
      </c>
      <c r="R17" s="288">
        <f t="shared" si="2"/>
        <v>1259932</v>
      </c>
    </row>
    <row r="18" spans="1:18" s="116" customFormat="1" ht="6.6" x14ac:dyDescent="0.15">
      <c r="A18" s="367" t="s">
        <v>174</v>
      </c>
      <c r="B18" s="367"/>
      <c r="C18" s="367"/>
      <c r="D18" s="367"/>
      <c r="E18" s="367"/>
      <c r="F18" s="367"/>
      <c r="G18" s="367"/>
      <c r="H18" s="367"/>
      <c r="I18" s="367"/>
      <c r="J18" s="367"/>
      <c r="K18" s="367"/>
      <c r="L18" s="367"/>
      <c r="M18" s="367"/>
      <c r="N18" s="367"/>
      <c r="O18" s="367"/>
      <c r="P18" s="367"/>
      <c r="Q18" s="367"/>
      <c r="R18" s="367"/>
    </row>
    <row r="19" spans="1:18" s="115" customFormat="1" ht="18" x14ac:dyDescent="0.35">
      <c r="A19" s="361" t="s">
        <v>43</v>
      </c>
      <c r="B19" s="361"/>
      <c r="C19" s="361"/>
      <c r="D19" s="361"/>
      <c r="E19" s="361"/>
      <c r="F19" s="361"/>
      <c r="G19" s="361"/>
      <c r="H19" s="361"/>
      <c r="I19" s="361"/>
      <c r="J19" s="361"/>
      <c r="K19" s="361"/>
      <c r="L19" s="361"/>
      <c r="M19" s="361"/>
      <c r="N19" s="361"/>
      <c r="O19" s="361"/>
      <c r="P19" s="361"/>
      <c r="Q19" s="361"/>
      <c r="R19" s="361"/>
    </row>
    <row r="20" spans="1:18" s="115" customFormat="1" ht="15.6" x14ac:dyDescent="0.3">
      <c r="A20" s="95" t="s">
        <v>23</v>
      </c>
      <c r="B20" s="96">
        <v>2004</v>
      </c>
      <c r="C20" s="53">
        <v>2005</v>
      </c>
      <c r="D20" s="53">
        <v>2006</v>
      </c>
      <c r="E20" s="53">
        <v>2007</v>
      </c>
      <c r="F20" s="53">
        <v>2008</v>
      </c>
      <c r="G20" s="53">
        <v>2009</v>
      </c>
      <c r="H20" s="53">
        <v>2010</v>
      </c>
      <c r="I20" s="53">
        <v>2011</v>
      </c>
      <c r="J20" s="54">
        <v>2012</v>
      </c>
      <c r="K20" s="54">
        <v>2013</v>
      </c>
      <c r="L20" s="54">
        <v>2014</v>
      </c>
      <c r="M20" s="54">
        <v>2015</v>
      </c>
      <c r="N20" s="54">
        <v>2016</v>
      </c>
      <c r="O20" s="54">
        <v>2017</v>
      </c>
      <c r="P20" s="54">
        <v>2018</v>
      </c>
      <c r="Q20" s="54">
        <v>2019</v>
      </c>
      <c r="R20" s="49">
        <v>2020</v>
      </c>
    </row>
    <row r="21" spans="1:18" s="115" customFormat="1" ht="15.6" x14ac:dyDescent="0.3">
      <c r="A21" s="36" t="s">
        <v>24</v>
      </c>
      <c r="B21" s="121" t="s">
        <v>152</v>
      </c>
      <c r="C21" s="38" t="s">
        <v>152</v>
      </c>
      <c r="D21" s="38" t="s">
        <v>152</v>
      </c>
      <c r="E21" s="259">
        <v>3329</v>
      </c>
      <c r="F21" s="259">
        <v>2402.38</v>
      </c>
      <c r="G21" s="260">
        <v>3722</v>
      </c>
      <c r="H21" s="259">
        <v>3027</v>
      </c>
      <c r="I21" s="259">
        <v>4582</v>
      </c>
      <c r="J21" s="259">
        <v>4532</v>
      </c>
      <c r="K21" s="259">
        <v>7528</v>
      </c>
      <c r="L21" s="259">
        <v>6646</v>
      </c>
      <c r="M21" s="259">
        <v>6627</v>
      </c>
      <c r="N21" s="259">
        <v>5222</v>
      </c>
      <c r="O21" s="259">
        <v>4368</v>
      </c>
      <c r="P21" s="259">
        <v>5731</v>
      </c>
      <c r="Q21" s="259">
        <v>5534</v>
      </c>
      <c r="R21" s="286">
        <v>5425</v>
      </c>
    </row>
    <row r="22" spans="1:18" s="115" customFormat="1" ht="15.6" x14ac:dyDescent="0.3">
      <c r="A22" s="13" t="s">
        <v>25</v>
      </c>
      <c r="B22" s="124" t="s">
        <v>152</v>
      </c>
      <c r="C22" s="23" t="s">
        <v>152</v>
      </c>
      <c r="D22" s="20" t="s">
        <v>152</v>
      </c>
      <c r="E22" s="122">
        <v>3604</v>
      </c>
      <c r="F22" s="122">
        <v>2507.77</v>
      </c>
      <c r="G22" s="123">
        <v>5874</v>
      </c>
      <c r="H22" s="122">
        <v>3357</v>
      </c>
      <c r="I22" s="122">
        <v>3386</v>
      </c>
      <c r="J22" s="122">
        <v>2820</v>
      </c>
      <c r="K22" s="122">
        <v>4044</v>
      </c>
      <c r="L22" s="122">
        <v>3594</v>
      </c>
      <c r="M22" s="122">
        <v>7732</v>
      </c>
      <c r="N22" s="122">
        <v>4125</v>
      </c>
      <c r="O22" s="122">
        <v>3243</v>
      </c>
      <c r="P22" s="122">
        <v>4519</v>
      </c>
      <c r="Q22" s="122">
        <v>7058</v>
      </c>
      <c r="R22" s="287">
        <v>5795</v>
      </c>
    </row>
    <row r="23" spans="1:18" s="115" customFormat="1" ht="15.6" x14ac:dyDescent="0.3">
      <c r="A23" s="13" t="s">
        <v>26</v>
      </c>
      <c r="B23" s="124" t="s">
        <v>152</v>
      </c>
      <c r="C23" s="23" t="s">
        <v>152</v>
      </c>
      <c r="D23" s="20" t="s">
        <v>152</v>
      </c>
      <c r="E23" s="122">
        <v>1519.25</v>
      </c>
      <c r="F23" s="122">
        <v>2662</v>
      </c>
      <c r="G23" s="123">
        <v>-9623</v>
      </c>
      <c r="H23" s="122">
        <v>3211</v>
      </c>
      <c r="I23" s="122">
        <v>3379</v>
      </c>
      <c r="J23" s="122">
        <v>3221</v>
      </c>
      <c r="K23" s="122">
        <v>3917</v>
      </c>
      <c r="L23" s="122">
        <v>4476</v>
      </c>
      <c r="M23" s="122">
        <v>-1130</v>
      </c>
      <c r="N23" s="122">
        <v>3057</v>
      </c>
      <c r="O23" s="122">
        <v>3229</v>
      </c>
      <c r="P23" s="122">
        <v>3050</v>
      </c>
      <c r="Q23" s="122">
        <v>3105</v>
      </c>
      <c r="R23" s="287">
        <v>2411</v>
      </c>
    </row>
    <row r="24" spans="1:18" s="115" customFormat="1" ht="15.6" x14ac:dyDescent="0.3">
      <c r="A24" s="13" t="s">
        <v>27</v>
      </c>
      <c r="B24" s="124" t="s">
        <v>152</v>
      </c>
      <c r="C24" s="23" t="s">
        <v>152</v>
      </c>
      <c r="D24" s="20" t="s">
        <v>152</v>
      </c>
      <c r="E24" s="122">
        <v>4420</v>
      </c>
      <c r="F24" s="122">
        <v>3360</v>
      </c>
      <c r="G24" s="123">
        <v>3833</v>
      </c>
      <c r="H24" s="122">
        <v>4178</v>
      </c>
      <c r="I24" s="122">
        <v>3967</v>
      </c>
      <c r="J24" s="122">
        <v>4004</v>
      </c>
      <c r="K24" s="122">
        <v>7120</v>
      </c>
      <c r="L24" s="122">
        <v>3882</v>
      </c>
      <c r="M24" s="122">
        <v>5813</v>
      </c>
      <c r="N24" s="122">
        <v>3874</v>
      </c>
      <c r="O24" s="122">
        <v>4450</v>
      </c>
      <c r="P24" s="122">
        <v>4162</v>
      </c>
      <c r="Q24" s="122">
        <v>5343</v>
      </c>
      <c r="R24" s="287">
        <v>3233</v>
      </c>
    </row>
    <row r="25" spans="1:18" s="115" customFormat="1" ht="15.6" x14ac:dyDescent="0.3">
      <c r="A25" s="13" t="s">
        <v>28</v>
      </c>
      <c r="B25" s="124" t="s">
        <v>152</v>
      </c>
      <c r="C25" s="23" t="s">
        <v>152</v>
      </c>
      <c r="D25" s="20" t="s">
        <v>152</v>
      </c>
      <c r="E25" s="122">
        <v>5963</v>
      </c>
      <c r="F25" s="122">
        <v>8910.01</v>
      </c>
      <c r="G25" s="123">
        <v>4629</v>
      </c>
      <c r="H25" s="122">
        <v>5215</v>
      </c>
      <c r="I25" s="122">
        <v>3721</v>
      </c>
      <c r="J25" s="122">
        <v>2858</v>
      </c>
      <c r="K25" s="122">
        <v>3430</v>
      </c>
      <c r="L25" s="122">
        <v>2903</v>
      </c>
      <c r="M25" s="122">
        <v>5352</v>
      </c>
      <c r="N25" s="122">
        <v>6956</v>
      </c>
      <c r="O25" s="122">
        <v>6368</v>
      </c>
      <c r="P25" s="122">
        <v>5318</v>
      </c>
      <c r="Q25" s="122">
        <v>5351</v>
      </c>
      <c r="R25" s="287">
        <v>8614</v>
      </c>
    </row>
    <row r="26" spans="1:18" s="115" customFormat="1" ht="15.6" x14ac:dyDescent="0.3">
      <c r="A26" s="13" t="s">
        <v>29</v>
      </c>
      <c r="B26" s="124" t="s">
        <v>152</v>
      </c>
      <c r="C26" s="23" t="s">
        <v>152</v>
      </c>
      <c r="D26" s="20" t="s">
        <v>152</v>
      </c>
      <c r="E26" s="122">
        <v>11862</v>
      </c>
      <c r="F26" s="122">
        <v>3061</v>
      </c>
      <c r="G26" s="123">
        <v>2304</v>
      </c>
      <c r="H26" s="122">
        <v>2846</v>
      </c>
      <c r="I26" s="122">
        <v>3342</v>
      </c>
      <c r="J26" s="122">
        <v>5002</v>
      </c>
      <c r="K26" s="122">
        <v>5194</v>
      </c>
      <c r="L26" s="122">
        <v>5910</v>
      </c>
      <c r="M26" s="122">
        <v>5441</v>
      </c>
      <c r="N26" s="122">
        <v>3779</v>
      </c>
      <c r="O26" s="122">
        <v>5242</v>
      </c>
      <c r="P26" s="122">
        <v>4775</v>
      </c>
      <c r="Q26" s="122">
        <v>6679</v>
      </c>
      <c r="R26" s="287">
        <v>3839</v>
      </c>
    </row>
    <row r="27" spans="1:18" s="115" customFormat="1" ht="15.6" x14ac:dyDescent="0.3">
      <c r="A27" s="13" t="s">
        <v>30</v>
      </c>
      <c r="B27" s="124" t="s">
        <v>152</v>
      </c>
      <c r="C27" s="23" t="s">
        <v>152</v>
      </c>
      <c r="D27" s="20" t="s">
        <v>152</v>
      </c>
      <c r="E27" s="122">
        <v>4289</v>
      </c>
      <c r="F27" s="122">
        <v>4269.29</v>
      </c>
      <c r="G27" s="123">
        <v>4024</v>
      </c>
      <c r="H27" s="122">
        <v>5950</v>
      </c>
      <c r="I27" s="122">
        <v>3968</v>
      </c>
      <c r="J27" s="122">
        <v>6302</v>
      </c>
      <c r="K27" s="122">
        <v>4301</v>
      </c>
      <c r="L27" s="122">
        <v>6009</v>
      </c>
      <c r="M27" s="122">
        <v>7523</v>
      </c>
      <c r="N27" s="122">
        <v>5751</v>
      </c>
      <c r="O27" s="122">
        <v>5668</v>
      </c>
      <c r="P27" s="122">
        <v>7097</v>
      </c>
      <c r="Q27" s="293">
        <v>4588</v>
      </c>
      <c r="R27" s="295" t="s">
        <v>152</v>
      </c>
    </row>
    <row r="28" spans="1:18" s="115" customFormat="1" ht="15.6" x14ac:dyDescent="0.3">
      <c r="A28" s="13" t="s">
        <v>31</v>
      </c>
      <c r="B28" s="124" t="s">
        <v>152</v>
      </c>
      <c r="C28" s="23" t="s">
        <v>152</v>
      </c>
      <c r="D28" s="20" t="s">
        <v>152</v>
      </c>
      <c r="E28" s="122">
        <v>5990</v>
      </c>
      <c r="F28" s="122">
        <v>7616.14</v>
      </c>
      <c r="G28" s="123">
        <v>3480</v>
      </c>
      <c r="H28" s="122">
        <v>3944</v>
      </c>
      <c r="I28" s="122">
        <v>2988</v>
      </c>
      <c r="J28" s="122">
        <v>8490</v>
      </c>
      <c r="K28" s="122">
        <v>5092</v>
      </c>
      <c r="L28" s="122">
        <v>4027</v>
      </c>
      <c r="M28" s="122">
        <v>6345</v>
      </c>
      <c r="N28" s="122">
        <v>4507</v>
      </c>
      <c r="O28" s="122">
        <v>8030</v>
      </c>
      <c r="P28" s="122">
        <v>6506</v>
      </c>
      <c r="Q28" s="293">
        <v>6077</v>
      </c>
      <c r="R28" s="295" t="s">
        <v>152</v>
      </c>
    </row>
    <row r="29" spans="1:18" s="115" customFormat="1" ht="15.6" x14ac:dyDescent="0.3">
      <c r="A29" s="13" t="s">
        <v>32</v>
      </c>
      <c r="B29" s="124" t="s">
        <v>152</v>
      </c>
      <c r="C29" s="23" t="s">
        <v>152</v>
      </c>
      <c r="D29" s="20" t="s">
        <v>152</v>
      </c>
      <c r="E29" s="122">
        <v>6874</v>
      </c>
      <c r="F29" s="122">
        <v>4815.1000000000004</v>
      </c>
      <c r="G29" s="123">
        <v>3062</v>
      </c>
      <c r="H29" s="122">
        <v>5658</v>
      </c>
      <c r="I29" s="122">
        <v>3816</v>
      </c>
      <c r="J29" s="122">
        <v>3841</v>
      </c>
      <c r="K29" s="122">
        <v>5991</v>
      </c>
      <c r="L29" s="122">
        <v>7820</v>
      </c>
      <c r="M29" s="122">
        <v>5767</v>
      </c>
      <c r="N29" s="122">
        <v>4367</v>
      </c>
      <c r="O29" s="122">
        <v>4882</v>
      </c>
      <c r="P29" s="122">
        <v>7819</v>
      </c>
      <c r="Q29" s="293">
        <v>5996</v>
      </c>
      <c r="R29" s="295" t="s">
        <v>152</v>
      </c>
    </row>
    <row r="30" spans="1:18" s="115" customFormat="1" ht="15.6" x14ac:dyDescent="0.3">
      <c r="A30" s="13" t="s">
        <v>33</v>
      </c>
      <c r="B30" s="124" t="s">
        <v>152</v>
      </c>
      <c r="C30" s="23" t="s">
        <v>152</v>
      </c>
      <c r="D30" s="258">
        <v>1</v>
      </c>
      <c r="E30" s="122">
        <v>5398</v>
      </c>
      <c r="F30" s="122">
        <v>3194.78</v>
      </c>
      <c r="G30" s="123">
        <v>3830</v>
      </c>
      <c r="H30" s="122">
        <v>3000</v>
      </c>
      <c r="I30" s="122">
        <v>4384</v>
      </c>
      <c r="J30" s="122">
        <v>9521</v>
      </c>
      <c r="K30" s="122">
        <v>4297</v>
      </c>
      <c r="L30" s="122">
        <v>6639</v>
      </c>
      <c r="M30" s="122">
        <v>4017</v>
      </c>
      <c r="N30" s="122">
        <v>3730</v>
      </c>
      <c r="O30" s="122">
        <v>5334</v>
      </c>
      <c r="P30" s="122">
        <v>5819</v>
      </c>
      <c r="Q30" s="293">
        <v>5563</v>
      </c>
      <c r="R30" s="295" t="s">
        <v>152</v>
      </c>
    </row>
    <row r="31" spans="1:18" s="115" customFormat="1" ht="15.6" x14ac:dyDescent="0.3">
      <c r="A31" s="13" t="s">
        <v>34</v>
      </c>
      <c r="B31" s="124" t="s">
        <v>152</v>
      </c>
      <c r="C31" s="23" t="s">
        <v>152</v>
      </c>
      <c r="D31" s="122">
        <v>1851</v>
      </c>
      <c r="E31" s="122">
        <v>4360</v>
      </c>
      <c r="F31" s="20" t="s">
        <v>35</v>
      </c>
      <c r="G31" s="123">
        <v>5306</v>
      </c>
      <c r="H31" s="122">
        <v>2858</v>
      </c>
      <c r="I31" s="122">
        <v>5106</v>
      </c>
      <c r="J31" s="122">
        <v>17338</v>
      </c>
      <c r="K31" s="122">
        <v>3582</v>
      </c>
      <c r="L31" s="122">
        <v>4027</v>
      </c>
      <c r="M31" s="122">
        <v>5264</v>
      </c>
      <c r="N31" s="122">
        <v>4667</v>
      </c>
      <c r="O31" s="122">
        <v>7920</v>
      </c>
      <c r="P31" s="122">
        <v>6914</v>
      </c>
      <c r="Q31" s="293">
        <v>4739</v>
      </c>
      <c r="R31" s="295" t="s">
        <v>152</v>
      </c>
    </row>
    <row r="32" spans="1:18" s="115" customFormat="1" ht="16.2" thickBot="1" x14ac:dyDescent="0.35">
      <c r="A32" s="100" t="s">
        <v>36</v>
      </c>
      <c r="B32" s="130" t="s">
        <v>152</v>
      </c>
      <c r="C32" s="101" t="s">
        <v>152</v>
      </c>
      <c r="D32" s="126">
        <v>2235</v>
      </c>
      <c r="E32" s="126">
        <v>3062.78</v>
      </c>
      <c r="F32" s="126">
        <v>5724</v>
      </c>
      <c r="G32" s="126">
        <v>2373</v>
      </c>
      <c r="H32" s="127">
        <v>3249</v>
      </c>
      <c r="I32" s="127">
        <v>3229</v>
      </c>
      <c r="J32" s="127">
        <v>6648</v>
      </c>
      <c r="K32" s="127">
        <v>8841</v>
      </c>
      <c r="L32" s="127">
        <v>4462</v>
      </c>
      <c r="M32" s="127">
        <v>3134</v>
      </c>
      <c r="N32" s="127">
        <v>4112</v>
      </c>
      <c r="O32" s="127">
        <v>7500</v>
      </c>
      <c r="P32" s="127">
        <v>6794</v>
      </c>
      <c r="Q32" s="294">
        <v>5357</v>
      </c>
      <c r="R32" s="292" t="s">
        <v>152</v>
      </c>
    </row>
    <row r="33" spans="1:18" s="115" customFormat="1" ht="16.2" thickTop="1" x14ac:dyDescent="0.3">
      <c r="A33" s="94" t="s">
        <v>37</v>
      </c>
      <c r="B33" s="128" t="s">
        <v>152</v>
      </c>
      <c r="C33" s="59" t="s">
        <v>152</v>
      </c>
      <c r="D33" s="261">
        <f t="shared" ref="D33:K33" si="3">SUM(D21:D32)</f>
        <v>4087</v>
      </c>
      <c r="E33" s="261">
        <f t="shared" si="3"/>
        <v>60671.03</v>
      </c>
      <c r="F33" s="261">
        <f t="shared" si="3"/>
        <v>48522.47</v>
      </c>
      <c r="G33" s="261">
        <f t="shared" si="3"/>
        <v>32814</v>
      </c>
      <c r="H33" s="261">
        <f t="shared" si="3"/>
        <v>46493</v>
      </c>
      <c r="I33" s="261">
        <f t="shared" si="3"/>
        <v>45868</v>
      </c>
      <c r="J33" s="261">
        <f t="shared" si="3"/>
        <v>74577</v>
      </c>
      <c r="K33" s="261">
        <f t="shared" si="3"/>
        <v>63337</v>
      </c>
      <c r="L33" s="261">
        <f t="shared" ref="L33:R33" si="4">SUM(L21:L32)</f>
        <v>60395</v>
      </c>
      <c r="M33" s="261">
        <f t="shared" si="4"/>
        <v>61885</v>
      </c>
      <c r="N33" s="261">
        <f t="shared" si="4"/>
        <v>54147</v>
      </c>
      <c r="O33" s="261">
        <f t="shared" si="4"/>
        <v>66234</v>
      </c>
      <c r="P33" s="261">
        <f t="shared" si="4"/>
        <v>68504</v>
      </c>
      <c r="Q33" s="261">
        <f t="shared" si="4"/>
        <v>65390</v>
      </c>
      <c r="R33" s="288">
        <f t="shared" si="4"/>
        <v>29317</v>
      </c>
    </row>
    <row r="34" spans="1:18" s="116" customFormat="1" ht="6.6" x14ac:dyDescent="0.15">
      <c r="A34" s="367" t="s">
        <v>174</v>
      </c>
      <c r="B34" s="367"/>
      <c r="C34" s="367"/>
      <c r="D34" s="367"/>
      <c r="E34" s="367"/>
      <c r="F34" s="367"/>
      <c r="G34" s="367"/>
      <c r="H34" s="367"/>
      <c r="I34" s="367"/>
      <c r="J34" s="367"/>
      <c r="K34" s="367"/>
      <c r="L34" s="367"/>
      <c r="M34" s="367"/>
      <c r="N34" s="367"/>
      <c r="O34" s="367"/>
      <c r="P34" s="367"/>
      <c r="Q34" s="367"/>
      <c r="R34" s="367"/>
    </row>
    <row r="35" spans="1:18" s="115" customFormat="1" ht="18" x14ac:dyDescent="0.35">
      <c r="A35" s="361" t="s">
        <v>108</v>
      </c>
      <c r="B35" s="361"/>
      <c r="C35" s="361"/>
      <c r="D35" s="361"/>
      <c r="E35" s="361"/>
      <c r="F35" s="361"/>
      <c r="G35" s="361"/>
      <c r="H35" s="361"/>
      <c r="I35" s="361"/>
      <c r="J35" s="361"/>
      <c r="K35" s="361"/>
      <c r="L35" s="361"/>
      <c r="M35" s="361"/>
      <c r="N35" s="361"/>
      <c r="O35" s="361"/>
      <c r="P35" s="361"/>
      <c r="Q35" s="361"/>
      <c r="R35" s="361"/>
    </row>
    <row r="36" spans="1:18" s="115" customFormat="1" ht="15.6" x14ac:dyDescent="0.3">
      <c r="A36" s="95" t="s">
        <v>23</v>
      </c>
      <c r="B36" s="96">
        <v>2004</v>
      </c>
      <c r="C36" s="53">
        <v>2005</v>
      </c>
      <c r="D36" s="53">
        <v>2006</v>
      </c>
      <c r="E36" s="53">
        <v>2007</v>
      </c>
      <c r="F36" s="53">
        <v>2008</v>
      </c>
      <c r="G36" s="53">
        <v>2009</v>
      </c>
      <c r="H36" s="53">
        <v>2010</v>
      </c>
      <c r="I36" s="53">
        <v>2011</v>
      </c>
      <c r="J36" s="54">
        <v>2012</v>
      </c>
      <c r="K36" s="54">
        <v>2013</v>
      </c>
      <c r="L36" s="54">
        <v>2014</v>
      </c>
      <c r="M36" s="54">
        <v>2015</v>
      </c>
      <c r="N36" s="54">
        <v>2016</v>
      </c>
      <c r="O36" s="54">
        <v>2017</v>
      </c>
      <c r="P36" s="54">
        <v>2018</v>
      </c>
      <c r="Q36" s="54">
        <v>2019</v>
      </c>
      <c r="R36" s="49">
        <v>2020</v>
      </c>
    </row>
    <row r="37" spans="1:18" s="115" customFormat="1" ht="15.6" x14ac:dyDescent="0.3">
      <c r="A37" s="36" t="s">
        <v>24</v>
      </c>
      <c r="B37" s="121" t="s">
        <v>152</v>
      </c>
      <c r="C37" s="38" t="s">
        <v>152</v>
      </c>
      <c r="D37" s="38" t="s">
        <v>152</v>
      </c>
      <c r="E37" s="38" t="s">
        <v>152</v>
      </c>
      <c r="F37" s="38" t="s">
        <v>152</v>
      </c>
      <c r="G37" s="260">
        <v>0</v>
      </c>
      <c r="H37" s="259">
        <v>0</v>
      </c>
      <c r="I37" s="259">
        <v>0</v>
      </c>
      <c r="J37" s="259">
        <v>-37</v>
      </c>
      <c r="K37" s="259">
        <v>-461</v>
      </c>
      <c r="L37" s="259">
        <v>-18</v>
      </c>
      <c r="M37" s="259">
        <v>-1</v>
      </c>
      <c r="N37" s="259">
        <v>-1885</v>
      </c>
      <c r="O37" s="259">
        <v>0</v>
      </c>
      <c r="P37" s="259">
        <v>-140</v>
      </c>
      <c r="Q37" s="259">
        <v>-586</v>
      </c>
      <c r="R37" s="286">
        <v>0</v>
      </c>
    </row>
    <row r="38" spans="1:18" s="115" customFormat="1" ht="15.6" x14ac:dyDescent="0.3">
      <c r="A38" s="13" t="s">
        <v>25</v>
      </c>
      <c r="B38" s="124" t="s">
        <v>152</v>
      </c>
      <c r="C38" s="23" t="s">
        <v>152</v>
      </c>
      <c r="D38" s="20" t="s">
        <v>152</v>
      </c>
      <c r="E38" s="20" t="s">
        <v>152</v>
      </c>
      <c r="F38" s="20" t="s">
        <v>152</v>
      </c>
      <c r="G38" s="123">
        <v>-1</v>
      </c>
      <c r="H38" s="122">
        <v>-1</v>
      </c>
      <c r="I38" s="122">
        <v>-1342</v>
      </c>
      <c r="J38" s="122">
        <v>-130</v>
      </c>
      <c r="K38" s="122">
        <v>-199</v>
      </c>
      <c r="L38" s="122">
        <v>-1254</v>
      </c>
      <c r="M38" s="122">
        <v>0</v>
      </c>
      <c r="N38" s="122">
        <v>-20</v>
      </c>
      <c r="O38" s="122">
        <v>-16</v>
      </c>
      <c r="P38" s="122">
        <v>-91</v>
      </c>
      <c r="Q38" s="122">
        <v>0</v>
      </c>
      <c r="R38" s="287">
        <v>-25</v>
      </c>
    </row>
    <row r="39" spans="1:18" s="115" customFormat="1" ht="15.6" x14ac:dyDescent="0.3">
      <c r="A39" s="13" t="s">
        <v>26</v>
      </c>
      <c r="B39" s="124" t="s">
        <v>152</v>
      </c>
      <c r="C39" s="23" t="s">
        <v>152</v>
      </c>
      <c r="D39" s="20" t="s">
        <v>152</v>
      </c>
      <c r="E39" s="20" t="s">
        <v>152</v>
      </c>
      <c r="F39" s="20" t="s">
        <v>152</v>
      </c>
      <c r="G39" s="123">
        <v>0</v>
      </c>
      <c r="H39" s="122">
        <v>-69</v>
      </c>
      <c r="I39" s="122">
        <v>0</v>
      </c>
      <c r="J39" s="122">
        <v>0</v>
      </c>
      <c r="K39" s="122">
        <v>-4</v>
      </c>
      <c r="L39" s="122">
        <v>-2</v>
      </c>
      <c r="M39" s="122">
        <v>-9</v>
      </c>
      <c r="N39" s="122">
        <v>-349</v>
      </c>
      <c r="O39" s="122">
        <v>-1</v>
      </c>
      <c r="P39" s="122">
        <v>0</v>
      </c>
      <c r="Q39" s="122">
        <v>-1</v>
      </c>
      <c r="R39" s="287">
        <v>-89</v>
      </c>
    </row>
    <row r="40" spans="1:18" s="115" customFormat="1" ht="15.6" x14ac:dyDescent="0.3">
      <c r="A40" s="13" t="s">
        <v>27</v>
      </c>
      <c r="B40" s="124" t="s">
        <v>152</v>
      </c>
      <c r="C40" s="23" t="s">
        <v>152</v>
      </c>
      <c r="D40" s="20" t="s">
        <v>152</v>
      </c>
      <c r="E40" s="20" t="s">
        <v>152</v>
      </c>
      <c r="F40" s="20" t="s">
        <v>152</v>
      </c>
      <c r="G40" s="123">
        <v>-1089</v>
      </c>
      <c r="H40" s="122">
        <v>-195</v>
      </c>
      <c r="I40" s="122">
        <v>-305</v>
      </c>
      <c r="J40" s="122">
        <v>0</v>
      </c>
      <c r="K40" s="122">
        <v>-6</v>
      </c>
      <c r="L40" s="122">
        <v>0</v>
      </c>
      <c r="M40" s="122">
        <v>-2279</v>
      </c>
      <c r="N40" s="122">
        <v>-170</v>
      </c>
      <c r="O40" s="122">
        <v>-15</v>
      </c>
      <c r="P40" s="122">
        <v>-176</v>
      </c>
      <c r="Q40" s="122">
        <v>-108</v>
      </c>
      <c r="R40" s="287">
        <v>-10</v>
      </c>
    </row>
    <row r="41" spans="1:18" s="115" customFormat="1" ht="15.6" x14ac:dyDescent="0.3">
      <c r="A41" s="13" t="s">
        <v>28</v>
      </c>
      <c r="B41" s="124" t="s">
        <v>152</v>
      </c>
      <c r="C41" s="23" t="s">
        <v>152</v>
      </c>
      <c r="D41" s="20" t="s">
        <v>152</v>
      </c>
      <c r="E41" s="20" t="s">
        <v>152</v>
      </c>
      <c r="F41" s="20" t="s">
        <v>152</v>
      </c>
      <c r="G41" s="123">
        <v>-107</v>
      </c>
      <c r="H41" s="122">
        <v>0</v>
      </c>
      <c r="I41" s="122">
        <v>-1</v>
      </c>
      <c r="J41" s="122">
        <v>-41</v>
      </c>
      <c r="K41" s="122">
        <v>-5</v>
      </c>
      <c r="L41" s="122">
        <v>-17</v>
      </c>
      <c r="M41" s="122">
        <v>-260</v>
      </c>
      <c r="N41" s="122">
        <v>-11</v>
      </c>
      <c r="O41" s="122">
        <v>-4</v>
      </c>
      <c r="P41" s="122">
        <v>-451</v>
      </c>
      <c r="Q41" s="122">
        <v>-7</v>
      </c>
      <c r="R41" s="287">
        <v>-138</v>
      </c>
    </row>
    <row r="42" spans="1:18" s="115" customFormat="1" ht="15.6" x14ac:dyDescent="0.3">
      <c r="A42" s="13" t="s">
        <v>29</v>
      </c>
      <c r="B42" s="124" t="s">
        <v>152</v>
      </c>
      <c r="C42" s="23" t="s">
        <v>152</v>
      </c>
      <c r="D42" s="20" t="s">
        <v>152</v>
      </c>
      <c r="E42" s="20" t="s">
        <v>152</v>
      </c>
      <c r="F42" s="20" t="s">
        <v>152</v>
      </c>
      <c r="G42" s="123">
        <v>0</v>
      </c>
      <c r="H42" s="122">
        <v>-29</v>
      </c>
      <c r="I42" s="122">
        <v>-11</v>
      </c>
      <c r="J42" s="122">
        <v>0</v>
      </c>
      <c r="K42" s="122">
        <v>-3839</v>
      </c>
      <c r="L42" s="122">
        <v>0</v>
      </c>
      <c r="M42" s="122">
        <v>-30743</v>
      </c>
      <c r="N42" s="122">
        <v>-731</v>
      </c>
      <c r="O42" s="122">
        <v>0</v>
      </c>
      <c r="P42" s="122">
        <v>-48</v>
      </c>
      <c r="Q42" s="122">
        <v>-14</v>
      </c>
      <c r="R42" s="287">
        <v>-261</v>
      </c>
    </row>
    <row r="43" spans="1:18" s="115" customFormat="1" ht="15.6" x14ac:dyDescent="0.3">
      <c r="A43" s="13" t="s">
        <v>30</v>
      </c>
      <c r="B43" s="124" t="s">
        <v>152</v>
      </c>
      <c r="C43" s="23" t="s">
        <v>152</v>
      </c>
      <c r="D43" s="20" t="s">
        <v>152</v>
      </c>
      <c r="E43" s="20" t="s">
        <v>152</v>
      </c>
      <c r="F43" s="20" t="s">
        <v>152</v>
      </c>
      <c r="G43" s="123">
        <v>0</v>
      </c>
      <c r="H43" s="122">
        <v>0</v>
      </c>
      <c r="I43" s="122">
        <v>-318</v>
      </c>
      <c r="J43" s="122">
        <v>-37</v>
      </c>
      <c r="K43" s="122">
        <v>0</v>
      </c>
      <c r="L43" s="122">
        <v>-14</v>
      </c>
      <c r="M43" s="122">
        <v>-54</v>
      </c>
      <c r="N43" s="122">
        <v>-48</v>
      </c>
      <c r="O43" s="122">
        <v>0</v>
      </c>
      <c r="P43" s="122">
        <v>0</v>
      </c>
      <c r="Q43" s="293">
        <v>-28</v>
      </c>
      <c r="R43" s="295" t="s">
        <v>152</v>
      </c>
    </row>
    <row r="44" spans="1:18" s="115" customFormat="1" ht="15.6" x14ac:dyDescent="0.3">
      <c r="A44" s="13" t="s">
        <v>31</v>
      </c>
      <c r="B44" s="124" t="s">
        <v>152</v>
      </c>
      <c r="C44" s="23" t="s">
        <v>152</v>
      </c>
      <c r="D44" s="20" t="s">
        <v>152</v>
      </c>
      <c r="E44" s="20" t="s">
        <v>152</v>
      </c>
      <c r="F44" s="20" t="s">
        <v>152</v>
      </c>
      <c r="G44" s="123">
        <v>0</v>
      </c>
      <c r="H44" s="122">
        <v>0</v>
      </c>
      <c r="I44" s="122">
        <v>0</v>
      </c>
      <c r="J44" s="122">
        <v>-365</v>
      </c>
      <c r="K44" s="122">
        <v>-1852</v>
      </c>
      <c r="L44" s="122">
        <v>-51</v>
      </c>
      <c r="M44" s="122">
        <v>-517</v>
      </c>
      <c r="N44" s="122">
        <v>-3</v>
      </c>
      <c r="O44" s="122">
        <v>0</v>
      </c>
      <c r="P44" s="122">
        <v>-48</v>
      </c>
      <c r="Q44" s="293">
        <v>-23</v>
      </c>
      <c r="R44" s="295" t="s">
        <v>152</v>
      </c>
    </row>
    <row r="45" spans="1:18" s="115" customFormat="1" ht="15.6" x14ac:dyDescent="0.3">
      <c r="A45" s="13" t="s">
        <v>32</v>
      </c>
      <c r="B45" s="124" t="s">
        <v>152</v>
      </c>
      <c r="C45" s="23" t="s">
        <v>152</v>
      </c>
      <c r="D45" s="20" t="s">
        <v>152</v>
      </c>
      <c r="E45" s="20" t="s">
        <v>152</v>
      </c>
      <c r="F45" s="20" t="s">
        <v>152</v>
      </c>
      <c r="G45" s="123">
        <v>0</v>
      </c>
      <c r="H45" s="122">
        <v>0</v>
      </c>
      <c r="I45" s="122">
        <v>-2</v>
      </c>
      <c r="J45" s="122">
        <v>-7</v>
      </c>
      <c r="K45" s="122">
        <v>0</v>
      </c>
      <c r="L45" s="122">
        <v>-4</v>
      </c>
      <c r="M45" s="122">
        <v>-2</v>
      </c>
      <c r="N45" s="122">
        <v>0</v>
      </c>
      <c r="O45" s="122">
        <v>-121</v>
      </c>
      <c r="P45" s="122">
        <v>-8</v>
      </c>
      <c r="Q45" s="293">
        <v>-2</v>
      </c>
      <c r="R45" s="295" t="s">
        <v>152</v>
      </c>
    </row>
    <row r="46" spans="1:18" s="115" customFormat="1" ht="15.6" x14ac:dyDescent="0.3">
      <c r="A46" s="13" t="s">
        <v>33</v>
      </c>
      <c r="B46" s="124" t="s">
        <v>152</v>
      </c>
      <c r="C46" s="23" t="s">
        <v>152</v>
      </c>
      <c r="D46" s="23" t="s">
        <v>152</v>
      </c>
      <c r="E46" s="20" t="s">
        <v>152</v>
      </c>
      <c r="F46" s="20" t="s">
        <v>152</v>
      </c>
      <c r="G46" s="123">
        <v>0</v>
      </c>
      <c r="H46" s="122">
        <v>0</v>
      </c>
      <c r="I46" s="122">
        <v>-175</v>
      </c>
      <c r="J46" s="122">
        <v>-5</v>
      </c>
      <c r="K46" s="122">
        <v>-31</v>
      </c>
      <c r="L46" s="122">
        <v>-1207</v>
      </c>
      <c r="M46" s="122">
        <v>-7</v>
      </c>
      <c r="N46" s="122">
        <v>0</v>
      </c>
      <c r="O46" s="122">
        <v>0</v>
      </c>
      <c r="P46" s="122">
        <v>-134</v>
      </c>
      <c r="Q46" s="293">
        <v>0</v>
      </c>
      <c r="R46" s="295" t="s">
        <v>152</v>
      </c>
    </row>
    <row r="47" spans="1:18" s="115" customFormat="1" ht="15.6" x14ac:dyDescent="0.3">
      <c r="A47" s="13" t="s">
        <v>34</v>
      </c>
      <c r="B47" s="124" t="s">
        <v>152</v>
      </c>
      <c r="C47" s="23" t="s">
        <v>152</v>
      </c>
      <c r="D47" s="20" t="s">
        <v>152</v>
      </c>
      <c r="E47" s="20" t="s">
        <v>152</v>
      </c>
      <c r="F47" s="20" t="s">
        <v>152</v>
      </c>
      <c r="G47" s="123">
        <v>-1338</v>
      </c>
      <c r="H47" s="122">
        <v>-414</v>
      </c>
      <c r="I47" s="122">
        <v>-1</v>
      </c>
      <c r="J47" s="122">
        <v>-1</v>
      </c>
      <c r="K47" s="122">
        <v>-1</v>
      </c>
      <c r="L47" s="122">
        <v>-116</v>
      </c>
      <c r="M47" s="122">
        <v>0</v>
      </c>
      <c r="N47" s="122">
        <v>-1</v>
      </c>
      <c r="O47" s="122">
        <v>0</v>
      </c>
      <c r="P47" s="122">
        <v>-2</v>
      </c>
      <c r="Q47" s="293">
        <v>0</v>
      </c>
      <c r="R47" s="295" t="s">
        <v>152</v>
      </c>
    </row>
    <row r="48" spans="1:18" s="115" customFormat="1" ht="16.2" thickBot="1" x14ac:dyDescent="0.35">
      <c r="A48" s="100" t="s">
        <v>36</v>
      </c>
      <c r="B48" s="130" t="s">
        <v>152</v>
      </c>
      <c r="C48" s="101" t="s">
        <v>152</v>
      </c>
      <c r="D48" s="39" t="s">
        <v>152</v>
      </c>
      <c r="E48" s="39" t="s">
        <v>152</v>
      </c>
      <c r="F48" s="262">
        <v>-2594</v>
      </c>
      <c r="G48" s="126">
        <v>-19</v>
      </c>
      <c r="H48" s="127">
        <v>0</v>
      </c>
      <c r="I48" s="127">
        <v>-76</v>
      </c>
      <c r="J48" s="127">
        <v>0</v>
      </c>
      <c r="K48" s="127">
        <v>-87</v>
      </c>
      <c r="L48" s="127">
        <v>0</v>
      </c>
      <c r="M48" s="127">
        <v>-29</v>
      </c>
      <c r="N48" s="127">
        <v>0</v>
      </c>
      <c r="O48" s="127">
        <v>-101</v>
      </c>
      <c r="P48" s="127">
        <v>-412</v>
      </c>
      <c r="Q48" s="294">
        <v>0</v>
      </c>
      <c r="R48" s="292" t="s">
        <v>152</v>
      </c>
    </row>
    <row r="49" spans="1:18" s="115" customFormat="1" ht="16.2" thickTop="1" x14ac:dyDescent="0.3">
      <c r="A49" s="94" t="s">
        <v>37</v>
      </c>
      <c r="B49" s="128" t="s">
        <v>152</v>
      </c>
      <c r="C49" s="59" t="s">
        <v>152</v>
      </c>
      <c r="D49" s="59" t="s">
        <v>152</v>
      </c>
      <c r="E49" s="59" t="s">
        <v>152</v>
      </c>
      <c r="F49" s="261">
        <f t="shared" ref="F49:K49" si="5">SUM(F37:F48)</f>
        <v>-2594</v>
      </c>
      <c r="G49" s="261">
        <f t="shared" si="5"/>
        <v>-2554</v>
      </c>
      <c r="H49" s="261">
        <f t="shared" si="5"/>
        <v>-708</v>
      </c>
      <c r="I49" s="261">
        <f t="shared" si="5"/>
        <v>-2231</v>
      </c>
      <c r="J49" s="261">
        <f t="shared" si="5"/>
        <v>-623</v>
      </c>
      <c r="K49" s="261">
        <f t="shared" si="5"/>
        <v>-6485</v>
      </c>
      <c r="L49" s="261">
        <f t="shared" ref="L49:R49" si="6">SUM(L37:L48)</f>
        <v>-2683</v>
      </c>
      <c r="M49" s="261">
        <f t="shared" si="6"/>
        <v>-33901</v>
      </c>
      <c r="N49" s="261">
        <f t="shared" si="6"/>
        <v>-3218</v>
      </c>
      <c r="O49" s="261">
        <f t="shared" si="6"/>
        <v>-258</v>
      </c>
      <c r="P49" s="261">
        <f t="shared" si="6"/>
        <v>-1510</v>
      </c>
      <c r="Q49" s="261">
        <f t="shared" si="6"/>
        <v>-769</v>
      </c>
      <c r="R49" s="288">
        <f t="shared" si="6"/>
        <v>-523</v>
      </c>
    </row>
    <row r="50" spans="1:18" s="116" customFormat="1" ht="6.6" x14ac:dyDescent="0.15">
      <c r="A50" s="367" t="s">
        <v>174</v>
      </c>
      <c r="B50" s="367"/>
      <c r="C50" s="367"/>
      <c r="D50" s="367"/>
      <c r="E50" s="367"/>
      <c r="F50" s="367"/>
      <c r="G50" s="367"/>
      <c r="H50" s="367"/>
      <c r="I50" s="367"/>
      <c r="J50" s="367"/>
      <c r="K50" s="367"/>
      <c r="L50" s="367"/>
      <c r="M50" s="367"/>
      <c r="N50" s="367"/>
      <c r="O50" s="367"/>
      <c r="P50" s="367"/>
      <c r="Q50" s="367"/>
      <c r="R50" s="367"/>
    </row>
    <row r="51" spans="1:18" s="117" customFormat="1" ht="13.8" x14ac:dyDescent="0.3">
      <c r="A51" s="366" t="s">
        <v>173</v>
      </c>
      <c r="B51" s="366"/>
      <c r="C51" s="366"/>
      <c r="D51" s="366"/>
      <c r="E51" s="366"/>
      <c r="F51" s="366"/>
      <c r="G51" s="366"/>
      <c r="H51" s="366"/>
      <c r="I51" s="366"/>
      <c r="J51" s="366"/>
      <c r="K51" s="366"/>
      <c r="L51" s="366"/>
      <c r="M51" s="366"/>
      <c r="N51" s="366"/>
      <c r="O51" s="366"/>
      <c r="P51" s="366"/>
      <c r="Q51" s="366"/>
      <c r="R51" s="366"/>
    </row>
    <row r="52" spans="1:18" s="117" customFormat="1" ht="13.8" x14ac:dyDescent="0.3">
      <c r="A52" s="363" t="s">
        <v>39</v>
      </c>
      <c r="B52" s="363"/>
      <c r="C52" s="363"/>
      <c r="D52" s="363"/>
      <c r="E52" s="363"/>
      <c r="F52" s="363"/>
      <c r="G52" s="363"/>
      <c r="H52" s="363"/>
      <c r="I52" s="363"/>
      <c r="J52" s="363"/>
      <c r="K52" s="363"/>
      <c r="L52" s="363"/>
      <c r="M52" s="363"/>
      <c r="N52" s="363"/>
      <c r="O52" s="363"/>
      <c r="P52" s="363"/>
      <c r="Q52" s="363"/>
      <c r="R52" s="363"/>
    </row>
    <row r="53" spans="1:18" s="117" customFormat="1" ht="13.8" x14ac:dyDescent="0.3">
      <c r="A53" s="364" t="str">
        <f>'Local SUT'!A60</f>
        <v>Source:  Minnesota Department of Revenue, Tax Research Division, February 2021</v>
      </c>
      <c r="B53" s="364"/>
      <c r="C53" s="364"/>
      <c r="D53" s="364"/>
      <c r="E53" s="364"/>
      <c r="F53" s="364"/>
      <c r="G53" s="364"/>
      <c r="H53" s="364"/>
      <c r="I53" s="364"/>
      <c r="J53" s="364"/>
      <c r="K53" s="364"/>
      <c r="L53" s="364"/>
      <c r="M53" s="364"/>
      <c r="N53" s="364"/>
      <c r="O53" s="364"/>
      <c r="P53" s="364"/>
      <c r="Q53" s="364"/>
      <c r="R53" s="364"/>
    </row>
    <row r="54" spans="1:18" s="117" customFormat="1" ht="13.8" x14ac:dyDescent="0.3">
      <c r="A54" s="365" t="s">
        <v>151</v>
      </c>
      <c r="B54" s="365"/>
      <c r="C54" s="365"/>
      <c r="D54" s="365"/>
      <c r="E54" s="365"/>
      <c r="F54" s="365"/>
      <c r="G54" s="365"/>
      <c r="H54" s="365"/>
      <c r="I54" s="365"/>
      <c r="J54" s="365"/>
      <c r="K54" s="365"/>
      <c r="L54" s="365"/>
      <c r="M54" s="365"/>
      <c r="N54" s="365"/>
      <c r="O54" s="365"/>
      <c r="P54" s="365"/>
      <c r="Q54" s="365"/>
      <c r="R54" s="365"/>
    </row>
  </sheetData>
  <mergeCells count="12">
    <mergeCell ref="A50:R50"/>
    <mergeCell ref="A51:R51"/>
    <mergeCell ref="A52:R52"/>
    <mergeCell ref="A53:R53"/>
    <mergeCell ref="A54:R54"/>
    <mergeCell ref="A34:R34"/>
    <mergeCell ref="A35:R35"/>
    <mergeCell ref="A1:R1"/>
    <mergeCell ref="A2:R2"/>
    <mergeCell ref="A3:R3"/>
    <mergeCell ref="A18:R18"/>
    <mergeCell ref="A19:R19"/>
  </mergeCells>
  <pageMargins left="0" right="0" top="0.75" bottom="0.75" header="0.3" footer="0.3"/>
  <pageSetup scale="74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R54"/>
  <sheetViews>
    <sheetView showGridLines="0" workbookViewId="0">
      <pane ySplit="1" topLeftCell="A2" activePane="bottomLeft" state="frozen"/>
      <selection pane="bottomLeft" sqref="A1:R1"/>
    </sheetView>
  </sheetViews>
  <sheetFormatPr defaultColWidth="12.5546875" defaultRowHeight="14.4" x14ac:dyDescent="0.3"/>
  <cols>
    <col min="1" max="1" width="12.5546875" style="110"/>
    <col min="2" max="3" width="13.5546875" style="61" hidden="1" customWidth="1"/>
    <col min="4" max="17" width="13.5546875" style="61" customWidth="1"/>
    <col min="18" max="18" width="13.5546875" style="145" customWidth="1"/>
    <col min="19" max="16384" width="12.5546875" style="61"/>
  </cols>
  <sheetData>
    <row r="1" spans="1:18" s="92" customFormat="1" ht="21" x14ac:dyDescent="0.3">
      <c r="A1" s="368" t="s">
        <v>191</v>
      </c>
      <c r="B1" s="368"/>
      <c r="C1" s="368"/>
      <c r="D1" s="368"/>
      <c r="E1" s="368"/>
      <c r="F1" s="368"/>
      <c r="G1" s="368"/>
      <c r="H1" s="368"/>
      <c r="I1" s="368"/>
      <c r="J1" s="368"/>
      <c r="K1" s="368"/>
      <c r="L1" s="368"/>
      <c r="M1" s="368"/>
      <c r="N1" s="368"/>
      <c r="O1" s="368"/>
      <c r="P1" s="368"/>
      <c r="Q1" s="368"/>
      <c r="R1" s="368"/>
    </row>
    <row r="2" spans="1:18" s="80" customFormat="1" ht="18" x14ac:dyDescent="0.3">
      <c r="A2" s="369" t="str">
        <f>'Local SUT'!A2</f>
        <v>CY 2004-2020</v>
      </c>
      <c r="B2" s="369"/>
      <c r="C2" s="369"/>
      <c r="D2" s="369"/>
      <c r="E2" s="369"/>
      <c r="F2" s="369"/>
      <c r="G2" s="369"/>
      <c r="H2" s="369"/>
      <c r="I2" s="369"/>
      <c r="J2" s="369"/>
      <c r="K2" s="369"/>
      <c r="L2" s="369"/>
      <c r="M2" s="369"/>
      <c r="N2" s="369"/>
      <c r="O2" s="369"/>
      <c r="P2" s="369"/>
      <c r="Q2" s="369"/>
      <c r="R2" s="369"/>
    </row>
    <row r="3" spans="1:18" s="80" customFormat="1" ht="18" x14ac:dyDescent="0.3">
      <c r="A3" s="370" t="s">
        <v>44</v>
      </c>
      <c r="B3" s="370"/>
      <c r="C3" s="370"/>
      <c r="D3" s="370"/>
      <c r="E3" s="370"/>
      <c r="F3" s="370"/>
      <c r="G3" s="370"/>
      <c r="H3" s="370"/>
      <c r="I3" s="370"/>
      <c r="J3" s="370"/>
      <c r="K3" s="370"/>
      <c r="L3" s="370"/>
      <c r="M3" s="370"/>
      <c r="N3" s="370"/>
      <c r="O3" s="370"/>
      <c r="P3" s="370"/>
      <c r="Q3" s="370"/>
      <c r="R3" s="370"/>
    </row>
    <row r="4" spans="1:18" s="62" customFormat="1" ht="15.6" x14ac:dyDescent="0.3">
      <c r="A4" s="77" t="s">
        <v>23</v>
      </c>
      <c r="B4" s="91">
        <v>2004</v>
      </c>
      <c r="C4" s="64">
        <v>2005</v>
      </c>
      <c r="D4" s="64">
        <v>2006</v>
      </c>
      <c r="E4" s="64">
        <v>2007</v>
      </c>
      <c r="F4" s="64">
        <v>2008</v>
      </c>
      <c r="G4" s="64">
        <v>2009</v>
      </c>
      <c r="H4" s="64">
        <v>2010</v>
      </c>
      <c r="I4" s="64">
        <v>2011</v>
      </c>
      <c r="J4" s="65">
        <v>2012</v>
      </c>
      <c r="K4" s="65">
        <v>2013</v>
      </c>
      <c r="L4" s="65">
        <v>2014</v>
      </c>
      <c r="M4" s="65">
        <v>2015</v>
      </c>
      <c r="N4" s="65">
        <v>2016</v>
      </c>
      <c r="O4" s="65">
        <v>2017</v>
      </c>
      <c r="P4" s="65">
        <v>2018</v>
      </c>
      <c r="Q4" s="65">
        <v>2019</v>
      </c>
      <c r="R4" s="49">
        <v>2020</v>
      </c>
    </row>
    <row r="5" spans="1:18" s="62" customFormat="1" ht="15.6" x14ac:dyDescent="0.3">
      <c r="A5" s="76" t="s">
        <v>24</v>
      </c>
      <c r="B5" s="131" t="s">
        <v>152</v>
      </c>
      <c r="C5" s="132" t="s">
        <v>152</v>
      </c>
      <c r="D5" s="263">
        <v>0</v>
      </c>
      <c r="E5" s="263">
        <v>163950</v>
      </c>
      <c r="F5" s="263">
        <v>170116.91</v>
      </c>
      <c r="G5" s="263">
        <v>166783</v>
      </c>
      <c r="H5" s="263">
        <v>188510</v>
      </c>
      <c r="I5" s="263">
        <v>188533</v>
      </c>
      <c r="J5" s="263">
        <v>187431</v>
      </c>
      <c r="K5" s="263">
        <v>189675</v>
      </c>
      <c r="L5" s="263">
        <v>193460</v>
      </c>
      <c r="M5" s="263">
        <v>187350</v>
      </c>
      <c r="N5" s="263">
        <v>206600</v>
      </c>
      <c r="O5" s="263">
        <v>213904</v>
      </c>
      <c r="P5" s="263">
        <v>202538</v>
      </c>
      <c r="Q5" s="263">
        <v>222373</v>
      </c>
      <c r="R5" s="286">
        <v>227137</v>
      </c>
    </row>
    <row r="6" spans="1:18" s="62" customFormat="1" ht="15.6" x14ac:dyDescent="0.3">
      <c r="A6" s="75" t="s">
        <v>25</v>
      </c>
      <c r="B6" s="133" t="s">
        <v>152</v>
      </c>
      <c r="C6" s="134" t="s">
        <v>152</v>
      </c>
      <c r="D6" s="81">
        <v>106415</v>
      </c>
      <c r="E6" s="81">
        <v>118529</v>
      </c>
      <c r="F6" s="81">
        <v>121811.65</v>
      </c>
      <c r="G6" s="82">
        <v>123233</v>
      </c>
      <c r="H6" s="81">
        <v>120534</v>
      </c>
      <c r="I6" s="81">
        <v>122616</v>
      </c>
      <c r="J6" s="81">
        <v>127167</v>
      </c>
      <c r="K6" s="81">
        <v>143402</v>
      </c>
      <c r="L6" s="81">
        <v>147692</v>
      </c>
      <c r="M6" s="81">
        <v>146786</v>
      </c>
      <c r="N6" s="81">
        <v>155069</v>
      </c>
      <c r="O6" s="81">
        <v>150465</v>
      </c>
      <c r="P6" s="81">
        <v>155950</v>
      </c>
      <c r="Q6" s="81">
        <v>171067</v>
      </c>
      <c r="R6" s="287">
        <v>168514</v>
      </c>
    </row>
    <row r="7" spans="1:18" s="62" customFormat="1" ht="15.6" x14ac:dyDescent="0.3">
      <c r="A7" s="75" t="s">
        <v>26</v>
      </c>
      <c r="B7" s="135" t="s">
        <v>152</v>
      </c>
      <c r="C7" s="134" t="s">
        <v>152</v>
      </c>
      <c r="D7" s="81">
        <v>100468</v>
      </c>
      <c r="E7" s="81">
        <v>113309.83</v>
      </c>
      <c r="F7" s="81">
        <v>120422.76</v>
      </c>
      <c r="G7" s="82">
        <v>123378</v>
      </c>
      <c r="H7" s="81">
        <v>120976</v>
      </c>
      <c r="I7" s="81">
        <v>126904</v>
      </c>
      <c r="J7" s="81">
        <v>135183</v>
      </c>
      <c r="K7" s="81">
        <v>139740</v>
      </c>
      <c r="L7" s="81">
        <v>143008</v>
      </c>
      <c r="M7" s="81">
        <v>150954</v>
      </c>
      <c r="N7" s="81">
        <v>152468</v>
      </c>
      <c r="O7" s="81">
        <v>152235</v>
      </c>
      <c r="P7" s="81">
        <v>151136</v>
      </c>
      <c r="Q7" s="81">
        <v>157274</v>
      </c>
      <c r="R7" s="287">
        <v>171748</v>
      </c>
    </row>
    <row r="8" spans="1:18" s="62" customFormat="1" ht="15.6" x14ac:dyDescent="0.3">
      <c r="A8" s="75" t="s">
        <v>27</v>
      </c>
      <c r="B8" s="135" t="s">
        <v>152</v>
      </c>
      <c r="C8" s="131" t="s">
        <v>152</v>
      </c>
      <c r="D8" s="81">
        <v>113870</v>
      </c>
      <c r="E8" s="81">
        <v>120487.6</v>
      </c>
      <c r="F8" s="81">
        <v>126124.82</v>
      </c>
      <c r="G8" s="81">
        <v>116781</v>
      </c>
      <c r="H8" s="81">
        <v>138064</v>
      </c>
      <c r="I8" s="81">
        <v>140158</v>
      </c>
      <c r="J8" s="81">
        <v>147967</v>
      </c>
      <c r="K8" s="81">
        <v>149410</v>
      </c>
      <c r="L8" s="81">
        <v>171203</v>
      </c>
      <c r="M8" s="81">
        <v>164893</v>
      </c>
      <c r="N8" s="81">
        <v>179336</v>
      </c>
      <c r="O8" s="81">
        <v>176008</v>
      </c>
      <c r="P8" s="81">
        <v>203415</v>
      </c>
      <c r="Q8" s="81">
        <v>188790</v>
      </c>
      <c r="R8" s="287">
        <v>175419</v>
      </c>
    </row>
    <row r="9" spans="1:18" s="62" customFormat="1" ht="15.6" x14ac:dyDescent="0.3">
      <c r="A9" s="75" t="s">
        <v>28</v>
      </c>
      <c r="B9" s="135" t="s">
        <v>152</v>
      </c>
      <c r="C9" s="136" t="s">
        <v>152</v>
      </c>
      <c r="D9" s="81">
        <v>120773.59</v>
      </c>
      <c r="E9" s="81">
        <v>123805.57</v>
      </c>
      <c r="F9" s="81">
        <v>118062.75</v>
      </c>
      <c r="G9" s="82">
        <v>121892</v>
      </c>
      <c r="H9" s="81">
        <v>133872</v>
      </c>
      <c r="I9" s="81">
        <v>153353</v>
      </c>
      <c r="J9" s="81">
        <v>149375</v>
      </c>
      <c r="K9" s="81">
        <v>143569</v>
      </c>
      <c r="L9" s="81">
        <v>163326</v>
      </c>
      <c r="M9" s="81">
        <v>166707</v>
      </c>
      <c r="N9" s="81">
        <v>172269</v>
      </c>
      <c r="O9" s="81">
        <v>180015</v>
      </c>
      <c r="P9" s="81">
        <v>182500</v>
      </c>
      <c r="Q9" s="81">
        <v>191255</v>
      </c>
      <c r="R9" s="287">
        <v>189250</v>
      </c>
    </row>
    <row r="10" spans="1:18" s="62" customFormat="1" ht="15.6" x14ac:dyDescent="0.3">
      <c r="A10" s="75" t="s">
        <v>29</v>
      </c>
      <c r="B10" s="131" t="s">
        <v>152</v>
      </c>
      <c r="C10" s="136" t="s">
        <v>152</v>
      </c>
      <c r="D10" s="81">
        <v>133486</v>
      </c>
      <c r="E10" s="81">
        <v>137188.78</v>
      </c>
      <c r="F10" s="81">
        <v>147740.24</v>
      </c>
      <c r="G10" s="82">
        <v>131728</v>
      </c>
      <c r="H10" s="81">
        <v>147161</v>
      </c>
      <c r="I10" s="81">
        <v>152375</v>
      </c>
      <c r="J10" s="81">
        <v>149102</v>
      </c>
      <c r="K10" s="81">
        <v>182605</v>
      </c>
      <c r="L10" s="81">
        <v>185155</v>
      </c>
      <c r="M10" s="81">
        <v>189745</v>
      </c>
      <c r="N10" s="81">
        <v>191983</v>
      </c>
      <c r="O10" s="81">
        <v>201877</v>
      </c>
      <c r="P10" s="81">
        <v>217229</v>
      </c>
      <c r="Q10" s="81">
        <v>221882</v>
      </c>
      <c r="R10" s="287">
        <v>243588</v>
      </c>
    </row>
    <row r="11" spans="1:18" s="62" customFormat="1" ht="15.6" x14ac:dyDescent="0.3">
      <c r="A11" s="75" t="s">
        <v>30</v>
      </c>
      <c r="B11" s="133" t="s">
        <v>152</v>
      </c>
      <c r="C11" s="136" t="s">
        <v>152</v>
      </c>
      <c r="D11" s="81">
        <v>119707.17</v>
      </c>
      <c r="E11" s="81">
        <v>127903</v>
      </c>
      <c r="F11" s="81">
        <v>129767.65</v>
      </c>
      <c r="G11" s="82">
        <v>125571</v>
      </c>
      <c r="H11" s="81">
        <v>151141</v>
      </c>
      <c r="I11" s="81">
        <v>141230</v>
      </c>
      <c r="J11" s="81">
        <v>158738</v>
      </c>
      <c r="K11" s="81">
        <v>146145</v>
      </c>
      <c r="L11" s="81">
        <v>172532</v>
      </c>
      <c r="M11" s="81">
        <v>165822</v>
      </c>
      <c r="N11" s="81">
        <v>182902</v>
      </c>
      <c r="O11" s="81">
        <v>184800</v>
      </c>
      <c r="P11" s="81">
        <v>190866</v>
      </c>
      <c r="Q11" s="136">
        <v>218532</v>
      </c>
      <c r="R11" s="291" t="s">
        <v>152</v>
      </c>
    </row>
    <row r="12" spans="1:18" s="62" customFormat="1" ht="15.6" x14ac:dyDescent="0.3">
      <c r="A12" s="75" t="s">
        <v>31</v>
      </c>
      <c r="B12" s="135" t="s">
        <v>152</v>
      </c>
      <c r="C12" s="134" t="s">
        <v>152</v>
      </c>
      <c r="D12" s="81">
        <v>166740</v>
      </c>
      <c r="E12" s="81">
        <v>166123.1</v>
      </c>
      <c r="F12" s="81">
        <v>164939.63</v>
      </c>
      <c r="G12" s="82">
        <v>161967</v>
      </c>
      <c r="H12" s="81">
        <v>173801</v>
      </c>
      <c r="I12" s="81">
        <v>177916</v>
      </c>
      <c r="J12" s="81">
        <v>197312</v>
      </c>
      <c r="K12" s="81">
        <v>215644</v>
      </c>
      <c r="L12" s="81">
        <v>192592</v>
      </c>
      <c r="M12" s="81">
        <v>233603</v>
      </c>
      <c r="N12" s="81">
        <v>224391</v>
      </c>
      <c r="O12" s="81">
        <v>231842</v>
      </c>
      <c r="P12" s="81">
        <v>254298</v>
      </c>
      <c r="Q12" s="134">
        <v>231462</v>
      </c>
      <c r="R12" s="295" t="s">
        <v>152</v>
      </c>
    </row>
    <row r="13" spans="1:18" s="62" customFormat="1" ht="15.6" x14ac:dyDescent="0.3">
      <c r="A13" s="75" t="s">
        <v>32</v>
      </c>
      <c r="B13" s="135" t="s">
        <v>152</v>
      </c>
      <c r="C13" s="131" t="s">
        <v>152</v>
      </c>
      <c r="D13" s="81">
        <v>133831.35999999999</v>
      </c>
      <c r="E13" s="81">
        <v>147652.89000000001</v>
      </c>
      <c r="F13" s="81">
        <v>139889.37</v>
      </c>
      <c r="G13" s="82">
        <v>149587</v>
      </c>
      <c r="H13" s="81">
        <v>153409</v>
      </c>
      <c r="I13" s="81">
        <v>156264</v>
      </c>
      <c r="J13" s="81">
        <v>170074</v>
      </c>
      <c r="K13" s="81">
        <v>179646</v>
      </c>
      <c r="L13" s="81">
        <v>180085</v>
      </c>
      <c r="M13" s="81">
        <v>197564</v>
      </c>
      <c r="N13" s="81">
        <v>197104</v>
      </c>
      <c r="O13" s="81">
        <v>201379</v>
      </c>
      <c r="P13" s="81">
        <v>214777</v>
      </c>
      <c r="Q13" s="134">
        <v>228559</v>
      </c>
      <c r="R13" s="295" t="s">
        <v>152</v>
      </c>
    </row>
    <row r="14" spans="1:18" s="62" customFormat="1" ht="15.6" x14ac:dyDescent="0.3">
      <c r="A14" s="75" t="s">
        <v>33</v>
      </c>
      <c r="B14" s="131" t="s">
        <v>152</v>
      </c>
      <c r="C14" s="136" t="s">
        <v>152</v>
      </c>
      <c r="D14" s="81">
        <v>133737</v>
      </c>
      <c r="E14" s="81">
        <v>142547.51</v>
      </c>
      <c r="F14" s="81">
        <v>139118.99</v>
      </c>
      <c r="G14" s="82">
        <v>168136</v>
      </c>
      <c r="H14" s="81">
        <v>157138</v>
      </c>
      <c r="I14" s="81">
        <v>164496</v>
      </c>
      <c r="J14" s="81">
        <v>165557</v>
      </c>
      <c r="K14" s="81">
        <v>179478</v>
      </c>
      <c r="L14" s="81">
        <v>187154</v>
      </c>
      <c r="M14" s="81">
        <v>191709</v>
      </c>
      <c r="N14" s="81">
        <v>195149</v>
      </c>
      <c r="O14" s="81">
        <v>196749</v>
      </c>
      <c r="P14" s="81">
        <v>203451</v>
      </c>
      <c r="Q14" s="134">
        <v>216451</v>
      </c>
      <c r="R14" s="295" t="s">
        <v>152</v>
      </c>
    </row>
    <row r="15" spans="1:18" s="62" customFormat="1" ht="15.6" x14ac:dyDescent="0.3">
      <c r="A15" s="75" t="s">
        <v>34</v>
      </c>
      <c r="B15" s="133" t="s">
        <v>152</v>
      </c>
      <c r="C15" s="134" t="s">
        <v>152</v>
      </c>
      <c r="D15" s="81">
        <v>122495</v>
      </c>
      <c r="E15" s="81">
        <v>130426.38</v>
      </c>
      <c r="F15" s="66" t="s">
        <v>35</v>
      </c>
      <c r="G15" s="82">
        <v>149038</v>
      </c>
      <c r="H15" s="81">
        <v>141670</v>
      </c>
      <c r="I15" s="81">
        <v>158185</v>
      </c>
      <c r="J15" s="81">
        <v>155010</v>
      </c>
      <c r="K15" s="81">
        <v>165509</v>
      </c>
      <c r="L15" s="81">
        <v>174565</v>
      </c>
      <c r="M15" s="81">
        <v>185129</v>
      </c>
      <c r="N15" s="81">
        <v>189426</v>
      </c>
      <c r="O15" s="81">
        <v>184927</v>
      </c>
      <c r="P15" s="81">
        <v>204807</v>
      </c>
      <c r="Q15" s="134">
        <v>205181</v>
      </c>
      <c r="R15" s="295" t="s">
        <v>152</v>
      </c>
    </row>
    <row r="16" spans="1:18" s="62" customFormat="1" ht="16.2" thickBot="1" x14ac:dyDescent="0.35">
      <c r="A16" s="88" t="s">
        <v>36</v>
      </c>
      <c r="B16" s="131" t="s">
        <v>152</v>
      </c>
      <c r="C16" s="131" t="s">
        <v>152</v>
      </c>
      <c r="D16" s="84">
        <v>124550</v>
      </c>
      <c r="E16" s="84">
        <v>128634.33</v>
      </c>
      <c r="F16" s="84">
        <v>242702</v>
      </c>
      <c r="G16" s="84">
        <v>135542</v>
      </c>
      <c r="H16" s="85">
        <v>158254</v>
      </c>
      <c r="I16" s="85">
        <v>149296</v>
      </c>
      <c r="J16" s="85">
        <v>147406</v>
      </c>
      <c r="K16" s="85">
        <v>206122</v>
      </c>
      <c r="L16" s="85">
        <v>165376</v>
      </c>
      <c r="M16" s="85">
        <v>166961</v>
      </c>
      <c r="N16" s="85">
        <v>180178</v>
      </c>
      <c r="O16" s="85">
        <v>187689</v>
      </c>
      <c r="P16" s="85">
        <v>192745</v>
      </c>
      <c r="Q16" s="141">
        <v>187264</v>
      </c>
      <c r="R16" s="292" t="s">
        <v>152</v>
      </c>
    </row>
    <row r="17" spans="1:18" s="62" customFormat="1" ht="16.2" thickTop="1" x14ac:dyDescent="0.3">
      <c r="A17" s="89" t="s">
        <v>37</v>
      </c>
      <c r="B17" s="138" t="s">
        <v>152</v>
      </c>
      <c r="C17" s="139" t="s">
        <v>152</v>
      </c>
      <c r="D17" s="264">
        <f t="shared" ref="D17:I17" si="0">SUM(D5:D16)</f>
        <v>1376073.12</v>
      </c>
      <c r="E17" s="264">
        <f t="shared" si="0"/>
        <v>1620557.9900000002</v>
      </c>
      <c r="F17" s="264">
        <f t="shared" si="0"/>
        <v>1620696.7700000003</v>
      </c>
      <c r="G17" s="264">
        <f t="shared" si="0"/>
        <v>1673636</v>
      </c>
      <c r="H17" s="264">
        <f t="shared" si="0"/>
        <v>1784530</v>
      </c>
      <c r="I17" s="264">
        <f t="shared" si="0"/>
        <v>1831326</v>
      </c>
      <c r="J17" s="264">
        <f t="shared" ref="J17:P17" si="1">SUM(J5:J16)</f>
        <v>1890322</v>
      </c>
      <c r="K17" s="264">
        <f t="shared" si="1"/>
        <v>2040945</v>
      </c>
      <c r="L17" s="264">
        <f t="shared" si="1"/>
        <v>2076148</v>
      </c>
      <c r="M17" s="264">
        <f t="shared" si="1"/>
        <v>2147223</v>
      </c>
      <c r="N17" s="264">
        <f t="shared" si="1"/>
        <v>2226875</v>
      </c>
      <c r="O17" s="264">
        <f t="shared" si="1"/>
        <v>2261890</v>
      </c>
      <c r="P17" s="264">
        <f t="shared" si="1"/>
        <v>2373712</v>
      </c>
      <c r="Q17" s="290">
        <f t="shared" ref="Q17:R17" si="2">SUM(Q5:Q16)</f>
        <v>2440090</v>
      </c>
      <c r="R17" s="288">
        <f t="shared" si="2"/>
        <v>1175656</v>
      </c>
    </row>
    <row r="18" spans="1:18" s="69" customFormat="1" ht="6.6" x14ac:dyDescent="0.3">
      <c r="A18" s="371" t="s">
        <v>174</v>
      </c>
      <c r="B18" s="371"/>
      <c r="C18" s="371"/>
      <c r="D18" s="371"/>
      <c r="E18" s="371"/>
      <c r="F18" s="371"/>
      <c r="G18" s="371"/>
      <c r="H18" s="371"/>
      <c r="I18" s="371"/>
      <c r="J18" s="371"/>
      <c r="K18" s="371"/>
      <c r="L18" s="371"/>
      <c r="M18" s="371"/>
      <c r="N18" s="371"/>
      <c r="O18" s="371"/>
      <c r="P18" s="371"/>
      <c r="Q18" s="371"/>
      <c r="R18" s="371"/>
    </row>
    <row r="19" spans="1:18" s="80" customFormat="1" ht="18" x14ac:dyDescent="0.3">
      <c r="A19" s="370" t="s">
        <v>45</v>
      </c>
      <c r="B19" s="370"/>
      <c r="C19" s="370"/>
      <c r="D19" s="370"/>
      <c r="E19" s="370"/>
      <c r="F19" s="370"/>
      <c r="G19" s="370"/>
      <c r="H19" s="370"/>
      <c r="I19" s="370"/>
      <c r="J19" s="370"/>
      <c r="K19" s="370"/>
      <c r="L19" s="370"/>
      <c r="M19" s="370"/>
      <c r="N19" s="370"/>
      <c r="O19" s="370"/>
      <c r="P19" s="370"/>
      <c r="Q19" s="370"/>
      <c r="R19" s="370"/>
    </row>
    <row r="20" spans="1:18" s="62" customFormat="1" ht="15.6" x14ac:dyDescent="0.3">
      <c r="A20" s="77" t="s">
        <v>23</v>
      </c>
      <c r="B20" s="91">
        <v>2004</v>
      </c>
      <c r="C20" s="64">
        <v>2005</v>
      </c>
      <c r="D20" s="64">
        <v>2006</v>
      </c>
      <c r="E20" s="64">
        <v>2007</v>
      </c>
      <c r="F20" s="64">
        <v>2008</v>
      </c>
      <c r="G20" s="64">
        <v>2009</v>
      </c>
      <c r="H20" s="64">
        <v>2010</v>
      </c>
      <c r="I20" s="64">
        <v>2011</v>
      </c>
      <c r="J20" s="65">
        <v>2012</v>
      </c>
      <c r="K20" s="65">
        <v>2013</v>
      </c>
      <c r="L20" s="65">
        <v>2014</v>
      </c>
      <c r="M20" s="65">
        <v>2015</v>
      </c>
      <c r="N20" s="65">
        <v>2016</v>
      </c>
      <c r="O20" s="65">
        <v>2017</v>
      </c>
      <c r="P20" s="65">
        <v>2018</v>
      </c>
      <c r="Q20" s="65">
        <v>2019</v>
      </c>
      <c r="R20" s="49">
        <v>2020</v>
      </c>
    </row>
    <row r="21" spans="1:18" s="62" customFormat="1" ht="15.6" x14ac:dyDescent="0.3">
      <c r="A21" s="76" t="s">
        <v>24</v>
      </c>
      <c r="B21" s="131" t="s">
        <v>152</v>
      </c>
      <c r="C21" s="131" t="s">
        <v>152</v>
      </c>
      <c r="D21" s="263">
        <v>0</v>
      </c>
      <c r="E21" s="263">
        <v>4903.88</v>
      </c>
      <c r="F21" s="263">
        <v>5264</v>
      </c>
      <c r="G21" s="265">
        <v>6224</v>
      </c>
      <c r="H21" s="263">
        <v>9942</v>
      </c>
      <c r="I21" s="263">
        <v>10322</v>
      </c>
      <c r="J21" s="263">
        <v>8744</v>
      </c>
      <c r="K21" s="263">
        <v>13059</v>
      </c>
      <c r="L21" s="263">
        <v>7807</v>
      </c>
      <c r="M21" s="263">
        <v>24927</v>
      </c>
      <c r="N21" s="263">
        <v>8788</v>
      </c>
      <c r="O21" s="263">
        <v>13014</v>
      </c>
      <c r="P21" s="263">
        <v>8708</v>
      </c>
      <c r="Q21" s="263">
        <v>15638</v>
      </c>
      <c r="R21" s="286">
        <v>14246</v>
      </c>
    </row>
    <row r="22" spans="1:18" s="62" customFormat="1" ht="15.6" x14ac:dyDescent="0.3">
      <c r="A22" s="75" t="s">
        <v>25</v>
      </c>
      <c r="B22" s="140" t="s">
        <v>152</v>
      </c>
      <c r="C22" s="134" t="s">
        <v>152</v>
      </c>
      <c r="D22" s="81">
        <v>4992</v>
      </c>
      <c r="E22" s="81">
        <v>3707.74</v>
      </c>
      <c r="F22" s="81">
        <v>4057.98</v>
      </c>
      <c r="G22" s="82">
        <v>5649</v>
      </c>
      <c r="H22" s="81">
        <v>3696</v>
      </c>
      <c r="I22" s="81">
        <v>4806</v>
      </c>
      <c r="J22" s="81">
        <v>5307</v>
      </c>
      <c r="K22" s="81">
        <v>5731</v>
      </c>
      <c r="L22" s="81">
        <v>4663</v>
      </c>
      <c r="M22" s="81">
        <v>11133</v>
      </c>
      <c r="N22" s="81">
        <v>7321</v>
      </c>
      <c r="O22" s="81">
        <v>9425</v>
      </c>
      <c r="P22" s="81">
        <v>5796</v>
      </c>
      <c r="Q22" s="81">
        <v>8969</v>
      </c>
      <c r="R22" s="287">
        <v>14679</v>
      </c>
    </row>
    <row r="23" spans="1:18" s="62" customFormat="1" ht="15.6" x14ac:dyDescent="0.3">
      <c r="A23" s="75" t="s">
        <v>26</v>
      </c>
      <c r="B23" s="140" t="s">
        <v>152</v>
      </c>
      <c r="C23" s="134" t="s">
        <v>152</v>
      </c>
      <c r="D23" s="81">
        <v>2895</v>
      </c>
      <c r="E23" s="81">
        <v>3121.9</v>
      </c>
      <c r="F23" s="81">
        <v>2860</v>
      </c>
      <c r="G23" s="82">
        <v>11657</v>
      </c>
      <c r="H23" s="81">
        <v>3494</v>
      </c>
      <c r="I23" s="81">
        <v>19605</v>
      </c>
      <c r="J23" s="81">
        <v>4401</v>
      </c>
      <c r="K23" s="81">
        <v>4872</v>
      </c>
      <c r="L23" s="81">
        <v>5175</v>
      </c>
      <c r="M23" s="81">
        <v>4705</v>
      </c>
      <c r="N23" s="81">
        <v>13544</v>
      </c>
      <c r="O23" s="81">
        <v>4765</v>
      </c>
      <c r="P23" s="81">
        <v>5446</v>
      </c>
      <c r="Q23" s="81">
        <v>6472</v>
      </c>
      <c r="R23" s="287">
        <v>6156</v>
      </c>
    </row>
    <row r="24" spans="1:18" s="62" customFormat="1" ht="15.6" x14ac:dyDescent="0.3">
      <c r="A24" s="75" t="s">
        <v>27</v>
      </c>
      <c r="B24" s="140" t="s">
        <v>152</v>
      </c>
      <c r="C24" s="131" t="s">
        <v>152</v>
      </c>
      <c r="D24" s="81">
        <v>3427</v>
      </c>
      <c r="E24" s="81">
        <v>6147.76</v>
      </c>
      <c r="F24" s="81">
        <v>5534.36</v>
      </c>
      <c r="G24" s="82">
        <v>3652</v>
      </c>
      <c r="H24" s="81">
        <v>5639</v>
      </c>
      <c r="I24" s="81">
        <v>6104</v>
      </c>
      <c r="J24" s="81">
        <v>6428</v>
      </c>
      <c r="K24" s="81">
        <v>5274</v>
      </c>
      <c r="L24" s="81">
        <v>11301</v>
      </c>
      <c r="M24" s="81">
        <v>6588</v>
      </c>
      <c r="N24" s="81">
        <v>18581</v>
      </c>
      <c r="O24" s="81">
        <v>8449</v>
      </c>
      <c r="P24" s="81">
        <v>6694</v>
      </c>
      <c r="Q24" s="81">
        <v>6603</v>
      </c>
      <c r="R24" s="287">
        <v>6461</v>
      </c>
    </row>
    <row r="25" spans="1:18" s="62" customFormat="1" ht="15.6" x14ac:dyDescent="0.3">
      <c r="A25" s="75" t="s">
        <v>28</v>
      </c>
      <c r="B25" s="140" t="s">
        <v>152</v>
      </c>
      <c r="C25" s="134" t="s">
        <v>152</v>
      </c>
      <c r="D25" s="81">
        <v>3038</v>
      </c>
      <c r="E25" s="81">
        <v>4518</v>
      </c>
      <c r="F25" s="81">
        <v>9172.51</v>
      </c>
      <c r="G25" s="82">
        <v>6747</v>
      </c>
      <c r="H25" s="81">
        <v>4935</v>
      </c>
      <c r="I25" s="81">
        <v>6346</v>
      </c>
      <c r="J25" s="81">
        <v>5201</v>
      </c>
      <c r="K25" s="81">
        <v>5485</v>
      </c>
      <c r="L25" s="81">
        <v>18475</v>
      </c>
      <c r="M25" s="81">
        <v>11529</v>
      </c>
      <c r="N25" s="81">
        <v>38552</v>
      </c>
      <c r="O25" s="81">
        <v>9244</v>
      </c>
      <c r="P25" s="81">
        <v>10773</v>
      </c>
      <c r="Q25" s="81">
        <v>9054</v>
      </c>
      <c r="R25" s="287">
        <v>4998</v>
      </c>
    </row>
    <row r="26" spans="1:18" s="62" customFormat="1" ht="15.6" x14ac:dyDescent="0.3">
      <c r="A26" s="75" t="s">
        <v>29</v>
      </c>
      <c r="B26" s="140" t="s">
        <v>152</v>
      </c>
      <c r="C26" s="136" t="s">
        <v>152</v>
      </c>
      <c r="D26" s="81">
        <v>5346</v>
      </c>
      <c r="E26" s="81">
        <v>5235</v>
      </c>
      <c r="F26" s="81">
        <v>5988</v>
      </c>
      <c r="G26" s="82">
        <v>6068</v>
      </c>
      <c r="H26" s="81">
        <v>4283</v>
      </c>
      <c r="I26" s="81">
        <v>22135</v>
      </c>
      <c r="J26" s="81">
        <v>6006</v>
      </c>
      <c r="K26" s="81">
        <v>65841</v>
      </c>
      <c r="L26" s="81">
        <v>13063</v>
      </c>
      <c r="M26" s="81">
        <v>10730</v>
      </c>
      <c r="N26" s="81">
        <v>9256</v>
      </c>
      <c r="O26" s="81">
        <v>10226</v>
      </c>
      <c r="P26" s="81">
        <v>7511</v>
      </c>
      <c r="Q26" s="81">
        <v>7114</v>
      </c>
      <c r="R26" s="287">
        <v>6137</v>
      </c>
    </row>
    <row r="27" spans="1:18" s="62" customFormat="1" ht="15.6" x14ac:dyDescent="0.3">
      <c r="A27" s="75" t="s">
        <v>30</v>
      </c>
      <c r="B27" s="140" t="s">
        <v>152</v>
      </c>
      <c r="C27" s="134" t="s">
        <v>152</v>
      </c>
      <c r="D27" s="81">
        <v>3614</v>
      </c>
      <c r="E27" s="81">
        <v>3982</v>
      </c>
      <c r="F27" s="81">
        <v>5196.9399999999996</v>
      </c>
      <c r="G27" s="82">
        <v>8613</v>
      </c>
      <c r="H27" s="81">
        <v>6866</v>
      </c>
      <c r="I27" s="81">
        <v>6295</v>
      </c>
      <c r="J27" s="81">
        <v>7703</v>
      </c>
      <c r="K27" s="81">
        <v>6983</v>
      </c>
      <c r="L27" s="81">
        <v>7375</v>
      </c>
      <c r="M27" s="81">
        <v>8658</v>
      </c>
      <c r="N27" s="81">
        <v>17845</v>
      </c>
      <c r="O27" s="81">
        <v>8304</v>
      </c>
      <c r="P27" s="81">
        <v>5817</v>
      </c>
      <c r="Q27" s="131">
        <v>11645</v>
      </c>
      <c r="R27" s="295" t="s">
        <v>152</v>
      </c>
    </row>
    <row r="28" spans="1:18" s="62" customFormat="1" ht="15.6" x14ac:dyDescent="0.3">
      <c r="A28" s="75" t="s">
        <v>31</v>
      </c>
      <c r="B28" s="133" t="s">
        <v>152</v>
      </c>
      <c r="C28" s="131" t="s">
        <v>152</v>
      </c>
      <c r="D28" s="81">
        <v>5967</v>
      </c>
      <c r="E28" s="81">
        <v>6455.11</v>
      </c>
      <c r="F28" s="81">
        <v>8399.01</v>
      </c>
      <c r="G28" s="82">
        <v>6913</v>
      </c>
      <c r="H28" s="81">
        <v>4430</v>
      </c>
      <c r="I28" s="81">
        <v>3910</v>
      </c>
      <c r="J28" s="81">
        <v>5815</v>
      </c>
      <c r="K28" s="81">
        <v>7541</v>
      </c>
      <c r="L28" s="81">
        <v>6589</v>
      </c>
      <c r="M28" s="81">
        <v>11970</v>
      </c>
      <c r="N28" s="81">
        <v>10390</v>
      </c>
      <c r="O28" s="81">
        <v>10418</v>
      </c>
      <c r="P28" s="81">
        <v>7594</v>
      </c>
      <c r="Q28" s="136">
        <v>11154</v>
      </c>
      <c r="R28" s="295" t="s">
        <v>152</v>
      </c>
    </row>
    <row r="29" spans="1:18" s="62" customFormat="1" ht="15.6" x14ac:dyDescent="0.3">
      <c r="A29" s="75" t="s">
        <v>32</v>
      </c>
      <c r="B29" s="131" t="s">
        <v>152</v>
      </c>
      <c r="C29" s="134" t="s">
        <v>152</v>
      </c>
      <c r="D29" s="81">
        <v>4948</v>
      </c>
      <c r="E29" s="81">
        <v>9556.56</v>
      </c>
      <c r="F29" s="81">
        <v>6176</v>
      </c>
      <c r="G29" s="82">
        <v>5703</v>
      </c>
      <c r="H29" s="81">
        <v>4401</v>
      </c>
      <c r="I29" s="81">
        <v>6054</v>
      </c>
      <c r="J29" s="81">
        <v>6050</v>
      </c>
      <c r="K29" s="81">
        <v>9213</v>
      </c>
      <c r="L29" s="81">
        <v>16090</v>
      </c>
      <c r="M29" s="81">
        <v>7127</v>
      </c>
      <c r="N29" s="81">
        <v>9832</v>
      </c>
      <c r="O29" s="81">
        <v>53193</v>
      </c>
      <c r="P29" s="81">
        <v>8193</v>
      </c>
      <c r="Q29" s="134">
        <v>9258</v>
      </c>
      <c r="R29" s="295" t="s">
        <v>152</v>
      </c>
    </row>
    <row r="30" spans="1:18" s="62" customFormat="1" ht="15.6" x14ac:dyDescent="0.3">
      <c r="A30" s="75" t="s">
        <v>33</v>
      </c>
      <c r="B30" s="133" t="s">
        <v>152</v>
      </c>
      <c r="C30" s="131" t="s">
        <v>152</v>
      </c>
      <c r="D30" s="81">
        <v>4187</v>
      </c>
      <c r="E30" s="81">
        <v>7661.29</v>
      </c>
      <c r="F30" s="81">
        <v>5433</v>
      </c>
      <c r="G30" s="82">
        <v>4892</v>
      </c>
      <c r="H30" s="81">
        <v>4919</v>
      </c>
      <c r="I30" s="81">
        <v>4770</v>
      </c>
      <c r="J30" s="81">
        <v>5269</v>
      </c>
      <c r="K30" s="81">
        <v>6092</v>
      </c>
      <c r="L30" s="81">
        <v>15848</v>
      </c>
      <c r="M30" s="81">
        <v>11531</v>
      </c>
      <c r="N30" s="81">
        <v>8293</v>
      </c>
      <c r="O30" s="81">
        <v>10258</v>
      </c>
      <c r="P30" s="81">
        <v>13872</v>
      </c>
      <c r="Q30" s="131">
        <v>21552</v>
      </c>
      <c r="R30" s="295" t="s">
        <v>152</v>
      </c>
    </row>
    <row r="31" spans="1:18" s="62" customFormat="1" ht="15.6" x14ac:dyDescent="0.3">
      <c r="A31" s="75" t="s">
        <v>34</v>
      </c>
      <c r="B31" s="133" t="s">
        <v>152</v>
      </c>
      <c r="C31" s="134" t="s">
        <v>152</v>
      </c>
      <c r="D31" s="81">
        <v>4201</v>
      </c>
      <c r="E31" s="81">
        <v>9969.34</v>
      </c>
      <c r="F31" s="66" t="s">
        <v>35</v>
      </c>
      <c r="G31" s="82">
        <v>4587</v>
      </c>
      <c r="H31" s="81">
        <v>4825</v>
      </c>
      <c r="I31" s="81">
        <v>35304</v>
      </c>
      <c r="J31" s="81">
        <v>5814</v>
      </c>
      <c r="K31" s="81">
        <v>7167</v>
      </c>
      <c r="L31" s="81">
        <v>13488</v>
      </c>
      <c r="M31" s="81">
        <v>33071</v>
      </c>
      <c r="N31" s="81">
        <v>8195</v>
      </c>
      <c r="O31" s="81">
        <v>10123</v>
      </c>
      <c r="P31" s="81">
        <v>12212</v>
      </c>
      <c r="Q31" s="136">
        <v>25068</v>
      </c>
      <c r="R31" s="295" t="s">
        <v>152</v>
      </c>
    </row>
    <row r="32" spans="1:18" s="62" customFormat="1" ht="16.2" thickBot="1" x14ac:dyDescent="0.35">
      <c r="A32" s="88" t="s">
        <v>36</v>
      </c>
      <c r="B32" s="131" t="s">
        <v>152</v>
      </c>
      <c r="C32" s="141" t="s">
        <v>152</v>
      </c>
      <c r="D32" s="84">
        <v>4872.37</v>
      </c>
      <c r="E32" s="84">
        <v>5159.59</v>
      </c>
      <c r="F32" s="84">
        <v>9441</v>
      </c>
      <c r="G32" s="84">
        <v>5346</v>
      </c>
      <c r="H32" s="85">
        <v>4929</v>
      </c>
      <c r="I32" s="85">
        <v>5108</v>
      </c>
      <c r="J32" s="85">
        <v>5240</v>
      </c>
      <c r="K32" s="85">
        <v>11377</v>
      </c>
      <c r="L32" s="85">
        <v>11494</v>
      </c>
      <c r="M32" s="85">
        <v>21543</v>
      </c>
      <c r="N32" s="85">
        <v>7665</v>
      </c>
      <c r="O32" s="85">
        <v>9134</v>
      </c>
      <c r="P32" s="85">
        <v>7575</v>
      </c>
      <c r="Q32" s="141">
        <v>15091</v>
      </c>
      <c r="R32" s="292" t="s">
        <v>152</v>
      </c>
    </row>
    <row r="33" spans="1:18" s="62" customFormat="1" ht="16.2" thickTop="1" x14ac:dyDescent="0.3">
      <c r="A33" s="89" t="s">
        <v>37</v>
      </c>
      <c r="B33" s="142" t="s">
        <v>152</v>
      </c>
      <c r="C33" s="139" t="s">
        <v>152</v>
      </c>
      <c r="D33" s="264">
        <f t="shared" ref="D33:I33" si="3">SUM(D21:D32)</f>
        <v>47487.37</v>
      </c>
      <c r="E33" s="264">
        <f t="shared" si="3"/>
        <v>70418.17</v>
      </c>
      <c r="F33" s="264">
        <f t="shared" si="3"/>
        <v>67522.8</v>
      </c>
      <c r="G33" s="264">
        <f t="shared" si="3"/>
        <v>76051</v>
      </c>
      <c r="H33" s="264">
        <f t="shared" si="3"/>
        <v>62359</v>
      </c>
      <c r="I33" s="264">
        <f t="shared" si="3"/>
        <v>130759</v>
      </c>
      <c r="J33" s="264">
        <f t="shared" ref="J33:P33" si="4">SUM(J21:J32)</f>
        <v>71978</v>
      </c>
      <c r="K33" s="264">
        <f t="shared" si="4"/>
        <v>148635</v>
      </c>
      <c r="L33" s="264">
        <f t="shared" si="4"/>
        <v>131368</v>
      </c>
      <c r="M33" s="264">
        <f t="shared" si="4"/>
        <v>163512</v>
      </c>
      <c r="N33" s="264">
        <f t="shared" si="4"/>
        <v>158262</v>
      </c>
      <c r="O33" s="264">
        <f t="shared" si="4"/>
        <v>156553</v>
      </c>
      <c r="P33" s="264">
        <f t="shared" si="4"/>
        <v>100191</v>
      </c>
      <c r="Q33" s="264">
        <f t="shared" ref="Q33:R33" si="5">SUM(Q21:Q32)</f>
        <v>147618</v>
      </c>
      <c r="R33" s="288">
        <f t="shared" si="5"/>
        <v>52677</v>
      </c>
    </row>
    <row r="34" spans="1:18" s="69" customFormat="1" ht="6.6" x14ac:dyDescent="0.3">
      <c r="A34" s="371" t="s">
        <v>174</v>
      </c>
      <c r="B34" s="371"/>
      <c r="C34" s="371"/>
      <c r="D34" s="371"/>
      <c r="E34" s="371"/>
      <c r="F34" s="371"/>
      <c r="G34" s="371"/>
      <c r="H34" s="371"/>
      <c r="I34" s="371"/>
      <c r="J34" s="371"/>
      <c r="K34" s="371"/>
      <c r="L34" s="371"/>
      <c r="M34" s="371"/>
      <c r="N34" s="371"/>
      <c r="O34" s="371"/>
      <c r="P34" s="371"/>
      <c r="Q34" s="371"/>
      <c r="R34" s="371"/>
    </row>
    <row r="35" spans="1:18" s="80" customFormat="1" ht="18" x14ac:dyDescent="0.3">
      <c r="A35" s="370" t="s">
        <v>109</v>
      </c>
      <c r="B35" s="370"/>
      <c r="C35" s="370"/>
      <c r="D35" s="370"/>
      <c r="E35" s="370"/>
      <c r="F35" s="370"/>
      <c r="G35" s="370"/>
      <c r="H35" s="370"/>
      <c r="I35" s="370"/>
      <c r="J35" s="370"/>
      <c r="K35" s="370"/>
      <c r="L35" s="370"/>
      <c r="M35" s="370"/>
      <c r="N35" s="370"/>
      <c r="O35" s="370"/>
      <c r="P35" s="370"/>
      <c r="Q35" s="370"/>
      <c r="R35" s="370"/>
    </row>
    <row r="36" spans="1:18" s="62" customFormat="1" ht="15.6" x14ac:dyDescent="0.3">
      <c r="A36" s="77" t="s">
        <v>23</v>
      </c>
      <c r="B36" s="91">
        <v>2004</v>
      </c>
      <c r="C36" s="64">
        <v>2005</v>
      </c>
      <c r="D36" s="64">
        <v>2006</v>
      </c>
      <c r="E36" s="64">
        <v>2007</v>
      </c>
      <c r="F36" s="64">
        <v>2008</v>
      </c>
      <c r="G36" s="64">
        <v>2009</v>
      </c>
      <c r="H36" s="64">
        <v>2010</v>
      </c>
      <c r="I36" s="64">
        <v>2011</v>
      </c>
      <c r="J36" s="65">
        <v>2012</v>
      </c>
      <c r="K36" s="65">
        <v>2013</v>
      </c>
      <c r="L36" s="65">
        <v>2014</v>
      </c>
      <c r="M36" s="65">
        <v>2015</v>
      </c>
      <c r="N36" s="65">
        <v>2016</v>
      </c>
      <c r="O36" s="65">
        <v>2017</v>
      </c>
      <c r="P36" s="65">
        <v>2018</v>
      </c>
      <c r="Q36" s="65">
        <v>2019</v>
      </c>
      <c r="R36" s="49">
        <v>2020</v>
      </c>
    </row>
    <row r="37" spans="1:18" s="62" customFormat="1" ht="15.6" x14ac:dyDescent="0.3">
      <c r="A37" s="76" t="s">
        <v>24</v>
      </c>
      <c r="B37" s="131" t="s">
        <v>152</v>
      </c>
      <c r="C37" s="132" t="s">
        <v>152</v>
      </c>
      <c r="D37" s="83" t="s">
        <v>152</v>
      </c>
      <c r="E37" s="83" t="s">
        <v>152</v>
      </c>
      <c r="F37" s="83" t="s">
        <v>152</v>
      </c>
      <c r="G37" s="265">
        <v>0</v>
      </c>
      <c r="H37" s="263">
        <v>0</v>
      </c>
      <c r="I37" s="263">
        <v>0</v>
      </c>
      <c r="J37" s="263">
        <v>0</v>
      </c>
      <c r="K37" s="263">
        <v>-4893</v>
      </c>
      <c r="L37" s="263">
        <v>-4340</v>
      </c>
      <c r="M37" s="263">
        <v>0</v>
      </c>
      <c r="N37" s="263">
        <v>-53</v>
      </c>
      <c r="O37" s="263">
        <v>0</v>
      </c>
      <c r="P37" s="263">
        <v>-94</v>
      </c>
      <c r="Q37" s="263">
        <v>-6</v>
      </c>
      <c r="R37" s="286">
        <v>-15</v>
      </c>
    </row>
    <row r="38" spans="1:18" s="62" customFormat="1" ht="15.6" x14ac:dyDescent="0.3">
      <c r="A38" s="75" t="s">
        <v>25</v>
      </c>
      <c r="B38" s="133" t="s">
        <v>152</v>
      </c>
      <c r="C38" s="134" t="s">
        <v>152</v>
      </c>
      <c r="D38" s="66" t="s">
        <v>152</v>
      </c>
      <c r="E38" s="66" t="s">
        <v>152</v>
      </c>
      <c r="F38" s="66" t="s">
        <v>152</v>
      </c>
      <c r="G38" s="82">
        <v>-305</v>
      </c>
      <c r="H38" s="81">
        <v>-3773</v>
      </c>
      <c r="I38" s="81">
        <v>-16348</v>
      </c>
      <c r="J38" s="81">
        <v>-17</v>
      </c>
      <c r="K38" s="81">
        <v>-501</v>
      </c>
      <c r="L38" s="81">
        <v>-23</v>
      </c>
      <c r="M38" s="81">
        <v>0</v>
      </c>
      <c r="N38" s="81">
        <v>-573</v>
      </c>
      <c r="O38" s="81">
        <v>-9</v>
      </c>
      <c r="P38" s="81">
        <v>0</v>
      </c>
      <c r="Q38" s="81">
        <v>-258</v>
      </c>
      <c r="R38" s="287">
        <v>-1</v>
      </c>
    </row>
    <row r="39" spans="1:18" s="62" customFormat="1" ht="15.6" x14ac:dyDescent="0.3">
      <c r="A39" s="75" t="s">
        <v>26</v>
      </c>
      <c r="B39" s="133" t="s">
        <v>152</v>
      </c>
      <c r="C39" s="131" t="s">
        <v>152</v>
      </c>
      <c r="D39" s="66" t="s">
        <v>152</v>
      </c>
      <c r="E39" s="66" t="s">
        <v>152</v>
      </c>
      <c r="F39" s="66" t="s">
        <v>152</v>
      </c>
      <c r="G39" s="82">
        <v>-5076</v>
      </c>
      <c r="H39" s="81">
        <v>-97</v>
      </c>
      <c r="I39" s="81">
        <v>-12223</v>
      </c>
      <c r="J39" s="81">
        <v>-449</v>
      </c>
      <c r="K39" s="81">
        <v>0</v>
      </c>
      <c r="L39" s="81">
        <v>-13</v>
      </c>
      <c r="M39" s="81">
        <v>-370</v>
      </c>
      <c r="N39" s="81">
        <v>-107</v>
      </c>
      <c r="O39" s="81">
        <v>-2415</v>
      </c>
      <c r="P39" s="81">
        <v>-9448</v>
      </c>
      <c r="Q39" s="81">
        <v>0</v>
      </c>
      <c r="R39" s="287">
        <v>-77</v>
      </c>
    </row>
    <row r="40" spans="1:18" s="62" customFormat="1" ht="15.6" x14ac:dyDescent="0.3">
      <c r="A40" s="75" t="s">
        <v>27</v>
      </c>
      <c r="B40" s="131" t="s">
        <v>152</v>
      </c>
      <c r="C40" s="134" t="s">
        <v>152</v>
      </c>
      <c r="D40" s="66" t="s">
        <v>152</v>
      </c>
      <c r="E40" s="66" t="s">
        <v>152</v>
      </c>
      <c r="F40" s="66" t="s">
        <v>152</v>
      </c>
      <c r="G40" s="82">
        <v>0</v>
      </c>
      <c r="H40" s="81">
        <v>-201</v>
      </c>
      <c r="I40" s="81">
        <v>-1418</v>
      </c>
      <c r="J40" s="81">
        <v>-343</v>
      </c>
      <c r="K40" s="81">
        <v>-1448</v>
      </c>
      <c r="L40" s="81">
        <v>-1</v>
      </c>
      <c r="M40" s="81">
        <v>-1056</v>
      </c>
      <c r="N40" s="81">
        <v>-212</v>
      </c>
      <c r="O40" s="81">
        <v>-165</v>
      </c>
      <c r="P40" s="81">
        <v>-37</v>
      </c>
      <c r="Q40" s="81">
        <v>-62</v>
      </c>
      <c r="R40" s="287">
        <v>-79</v>
      </c>
    </row>
    <row r="41" spans="1:18" s="62" customFormat="1" ht="15.6" x14ac:dyDescent="0.3">
      <c r="A41" s="75" t="s">
        <v>28</v>
      </c>
      <c r="B41" s="133" t="s">
        <v>152</v>
      </c>
      <c r="C41" s="134" t="s">
        <v>152</v>
      </c>
      <c r="D41" s="66" t="s">
        <v>152</v>
      </c>
      <c r="E41" s="66" t="s">
        <v>152</v>
      </c>
      <c r="F41" s="66" t="s">
        <v>152</v>
      </c>
      <c r="G41" s="82">
        <v>-1229</v>
      </c>
      <c r="H41" s="81">
        <v>-135</v>
      </c>
      <c r="I41" s="81">
        <v>0</v>
      </c>
      <c r="J41" s="81">
        <v>-1206</v>
      </c>
      <c r="K41" s="81">
        <v>0</v>
      </c>
      <c r="L41" s="81">
        <v>0</v>
      </c>
      <c r="M41" s="81">
        <v>-15</v>
      </c>
      <c r="N41" s="81">
        <v>0</v>
      </c>
      <c r="O41" s="81">
        <v>-247</v>
      </c>
      <c r="P41" s="81">
        <v>-76</v>
      </c>
      <c r="Q41" s="289">
        <v>0</v>
      </c>
      <c r="R41" s="287">
        <v>-1</v>
      </c>
    </row>
    <row r="42" spans="1:18" s="62" customFormat="1" ht="15.6" x14ac:dyDescent="0.3">
      <c r="A42" s="75" t="s">
        <v>29</v>
      </c>
      <c r="B42" s="131" t="s">
        <v>152</v>
      </c>
      <c r="C42" s="131" t="s">
        <v>152</v>
      </c>
      <c r="D42" s="66" t="s">
        <v>152</v>
      </c>
      <c r="E42" s="66" t="s">
        <v>152</v>
      </c>
      <c r="F42" s="66" t="s">
        <v>152</v>
      </c>
      <c r="G42" s="82">
        <v>0</v>
      </c>
      <c r="H42" s="81">
        <v>-160</v>
      </c>
      <c r="I42" s="81">
        <v>-8</v>
      </c>
      <c r="J42" s="81">
        <v>0</v>
      </c>
      <c r="K42" s="81">
        <v>-202</v>
      </c>
      <c r="L42" s="81">
        <v>0</v>
      </c>
      <c r="M42" s="81">
        <v>-337</v>
      </c>
      <c r="N42" s="81">
        <v>-2852</v>
      </c>
      <c r="O42" s="81">
        <v>-4932</v>
      </c>
      <c r="P42" s="81">
        <v>-88</v>
      </c>
      <c r="Q42" s="289">
        <v>-1</v>
      </c>
      <c r="R42" s="287">
        <v>-81</v>
      </c>
    </row>
    <row r="43" spans="1:18" s="62" customFormat="1" ht="15.6" x14ac:dyDescent="0.3">
      <c r="A43" s="75" t="s">
        <v>30</v>
      </c>
      <c r="B43" s="133" t="s">
        <v>152</v>
      </c>
      <c r="C43" s="136" t="s">
        <v>152</v>
      </c>
      <c r="D43" s="66" t="s">
        <v>152</v>
      </c>
      <c r="E43" s="66" t="s">
        <v>152</v>
      </c>
      <c r="F43" s="66" t="s">
        <v>152</v>
      </c>
      <c r="G43" s="82">
        <v>-3086</v>
      </c>
      <c r="H43" s="81">
        <v>0</v>
      </c>
      <c r="I43" s="81">
        <v>-39</v>
      </c>
      <c r="J43" s="81">
        <v>-128</v>
      </c>
      <c r="K43" s="81">
        <v>0</v>
      </c>
      <c r="L43" s="81">
        <v>-9</v>
      </c>
      <c r="M43" s="81">
        <v>-1483</v>
      </c>
      <c r="N43" s="81">
        <v>0</v>
      </c>
      <c r="O43" s="81">
        <v>-217</v>
      </c>
      <c r="P43" s="81">
        <v>0</v>
      </c>
      <c r="Q43" s="289">
        <v>-5</v>
      </c>
      <c r="R43" s="295" t="s">
        <v>152</v>
      </c>
    </row>
    <row r="44" spans="1:18" s="62" customFormat="1" ht="15.6" x14ac:dyDescent="0.3">
      <c r="A44" s="75" t="s">
        <v>31</v>
      </c>
      <c r="B44" s="133" t="s">
        <v>152</v>
      </c>
      <c r="C44" s="136" t="s">
        <v>152</v>
      </c>
      <c r="D44" s="66" t="s">
        <v>152</v>
      </c>
      <c r="E44" s="66" t="s">
        <v>152</v>
      </c>
      <c r="F44" s="66" t="s">
        <v>152</v>
      </c>
      <c r="G44" s="82">
        <v>-1846</v>
      </c>
      <c r="H44" s="81">
        <v>-668</v>
      </c>
      <c r="I44" s="81">
        <v>-66</v>
      </c>
      <c r="J44" s="81">
        <v>-43</v>
      </c>
      <c r="K44" s="81">
        <v>-193</v>
      </c>
      <c r="L44" s="81">
        <v>-319</v>
      </c>
      <c r="M44" s="81">
        <v>-3014</v>
      </c>
      <c r="N44" s="81">
        <v>-558</v>
      </c>
      <c r="O44" s="81">
        <v>-70</v>
      </c>
      <c r="P44" s="81">
        <v>0</v>
      </c>
      <c r="Q44" s="289">
        <v>-133</v>
      </c>
      <c r="R44" s="295" t="s">
        <v>152</v>
      </c>
    </row>
    <row r="45" spans="1:18" s="62" customFormat="1" ht="15.6" x14ac:dyDescent="0.3">
      <c r="A45" s="75" t="s">
        <v>32</v>
      </c>
      <c r="B45" s="133" t="s">
        <v>152</v>
      </c>
      <c r="C45" s="136" t="s">
        <v>152</v>
      </c>
      <c r="D45" s="66" t="s">
        <v>152</v>
      </c>
      <c r="E45" s="66" t="s">
        <v>152</v>
      </c>
      <c r="F45" s="66" t="s">
        <v>152</v>
      </c>
      <c r="G45" s="82">
        <v>-52</v>
      </c>
      <c r="H45" s="81">
        <v>-153</v>
      </c>
      <c r="I45" s="81">
        <v>-274</v>
      </c>
      <c r="J45" s="81">
        <v>-6422</v>
      </c>
      <c r="K45" s="81">
        <v>-4677</v>
      </c>
      <c r="L45" s="81">
        <v>-1845</v>
      </c>
      <c r="M45" s="81">
        <v>-53</v>
      </c>
      <c r="N45" s="81">
        <v>-1597</v>
      </c>
      <c r="O45" s="81">
        <v>-16</v>
      </c>
      <c r="P45" s="81">
        <v>0</v>
      </c>
      <c r="Q45" s="289">
        <v>-1</v>
      </c>
      <c r="R45" s="295" t="s">
        <v>152</v>
      </c>
    </row>
    <row r="46" spans="1:18" s="62" customFormat="1" ht="15.6" x14ac:dyDescent="0.3">
      <c r="A46" s="75" t="s">
        <v>33</v>
      </c>
      <c r="B46" s="133" t="s">
        <v>152</v>
      </c>
      <c r="C46" s="134" t="s">
        <v>152</v>
      </c>
      <c r="D46" s="66" t="s">
        <v>152</v>
      </c>
      <c r="E46" s="66" t="s">
        <v>152</v>
      </c>
      <c r="F46" s="66" t="s">
        <v>152</v>
      </c>
      <c r="G46" s="82">
        <v>-24</v>
      </c>
      <c r="H46" s="81">
        <v>-32</v>
      </c>
      <c r="I46" s="81">
        <v>-18</v>
      </c>
      <c r="J46" s="81">
        <v>-3</v>
      </c>
      <c r="K46" s="81">
        <v>-27</v>
      </c>
      <c r="L46" s="81">
        <v>-2855</v>
      </c>
      <c r="M46" s="81">
        <v>-2483</v>
      </c>
      <c r="N46" s="81">
        <v>-217</v>
      </c>
      <c r="O46" s="81">
        <v>-8</v>
      </c>
      <c r="P46" s="81">
        <v>-90</v>
      </c>
      <c r="Q46" s="134">
        <v>0</v>
      </c>
      <c r="R46" s="295" t="s">
        <v>152</v>
      </c>
    </row>
    <row r="47" spans="1:18" s="62" customFormat="1" ht="15.6" x14ac:dyDescent="0.3">
      <c r="A47" s="75" t="s">
        <v>34</v>
      </c>
      <c r="B47" s="133" t="s">
        <v>152</v>
      </c>
      <c r="C47" s="134" t="s">
        <v>152</v>
      </c>
      <c r="D47" s="66" t="s">
        <v>152</v>
      </c>
      <c r="E47" s="66" t="s">
        <v>152</v>
      </c>
      <c r="F47" s="66" t="s">
        <v>152</v>
      </c>
      <c r="G47" s="82">
        <v>-121</v>
      </c>
      <c r="H47" s="81">
        <v>-154</v>
      </c>
      <c r="I47" s="81">
        <v>-6258</v>
      </c>
      <c r="J47" s="81">
        <v>0</v>
      </c>
      <c r="K47" s="81">
        <v>0</v>
      </c>
      <c r="L47" s="81">
        <v>-438</v>
      </c>
      <c r="M47" s="81">
        <v>0</v>
      </c>
      <c r="N47" s="81">
        <v>0</v>
      </c>
      <c r="O47" s="81">
        <v>0</v>
      </c>
      <c r="P47" s="81">
        <v>0</v>
      </c>
      <c r="Q47" s="134">
        <v>0</v>
      </c>
      <c r="R47" s="295" t="s">
        <v>152</v>
      </c>
    </row>
    <row r="48" spans="1:18" s="62" customFormat="1" ht="16.2" thickBot="1" x14ac:dyDescent="0.35">
      <c r="A48" s="88" t="s">
        <v>36</v>
      </c>
      <c r="B48" s="143" t="s">
        <v>152</v>
      </c>
      <c r="C48" s="131" t="s">
        <v>152</v>
      </c>
      <c r="D48" s="72" t="s">
        <v>152</v>
      </c>
      <c r="E48" s="72" t="s">
        <v>152</v>
      </c>
      <c r="F48" s="266">
        <v>-1</v>
      </c>
      <c r="G48" s="84">
        <v>-5</v>
      </c>
      <c r="H48" s="85">
        <v>0</v>
      </c>
      <c r="I48" s="85">
        <v>-6508</v>
      </c>
      <c r="J48" s="85">
        <v>-818</v>
      </c>
      <c r="K48" s="85">
        <v>-518</v>
      </c>
      <c r="L48" s="85">
        <v>-12379</v>
      </c>
      <c r="M48" s="85">
        <v>-5635</v>
      </c>
      <c r="N48" s="85">
        <v>0</v>
      </c>
      <c r="O48" s="85">
        <v>-1071</v>
      </c>
      <c r="P48" s="85">
        <v>-9</v>
      </c>
      <c r="Q48" s="141">
        <v>0</v>
      </c>
      <c r="R48" s="292" t="s">
        <v>152</v>
      </c>
    </row>
    <row r="49" spans="1:18" s="62" customFormat="1" ht="16.2" thickTop="1" x14ac:dyDescent="0.3">
      <c r="A49" s="89" t="s">
        <v>37</v>
      </c>
      <c r="B49" s="138" t="s">
        <v>152</v>
      </c>
      <c r="C49" s="144" t="s">
        <v>152</v>
      </c>
      <c r="D49" s="73" t="s">
        <v>152</v>
      </c>
      <c r="E49" s="73" t="s">
        <v>152</v>
      </c>
      <c r="F49" s="264">
        <f t="shared" ref="F49:P49" si="6">SUM(F37:F48)</f>
        <v>-1</v>
      </c>
      <c r="G49" s="264">
        <f t="shared" si="6"/>
        <v>-11744</v>
      </c>
      <c r="H49" s="264">
        <f t="shared" si="6"/>
        <v>-5373</v>
      </c>
      <c r="I49" s="264">
        <f t="shared" si="6"/>
        <v>-43160</v>
      </c>
      <c r="J49" s="264">
        <f t="shared" si="6"/>
        <v>-9429</v>
      </c>
      <c r="K49" s="264">
        <f t="shared" si="6"/>
        <v>-12459</v>
      </c>
      <c r="L49" s="264">
        <f t="shared" si="6"/>
        <v>-22222</v>
      </c>
      <c r="M49" s="264">
        <f t="shared" si="6"/>
        <v>-14446</v>
      </c>
      <c r="N49" s="264">
        <f t="shared" si="6"/>
        <v>-6169</v>
      </c>
      <c r="O49" s="264">
        <f t="shared" si="6"/>
        <v>-9150</v>
      </c>
      <c r="P49" s="264">
        <f t="shared" si="6"/>
        <v>-9842</v>
      </c>
      <c r="Q49" s="290">
        <f t="shared" ref="Q49:R49" si="7">SUM(Q37:Q48)</f>
        <v>-466</v>
      </c>
      <c r="R49" s="288">
        <f t="shared" si="7"/>
        <v>-254</v>
      </c>
    </row>
    <row r="50" spans="1:18" s="69" customFormat="1" ht="6.6" x14ac:dyDescent="0.3">
      <c r="A50" s="371" t="s">
        <v>174</v>
      </c>
      <c r="B50" s="371"/>
      <c r="C50" s="371"/>
      <c r="D50" s="371"/>
      <c r="E50" s="371"/>
      <c r="F50" s="371"/>
      <c r="G50" s="371"/>
      <c r="H50" s="371"/>
      <c r="I50" s="371"/>
      <c r="J50" s="371"/>
      <c r="K50" s="371"/>
      <c r="L50" s="371"/>
      <c r="M50" s="371"/>
      <c r="N50" s="371"/>
      <c r="O50" s="371"/>
      <c r="P50" s="371"/>
      <c r="Q50" s="371"/>
      <c r="R50" s="371"/>
    </row>
    <row r="51" spans="1:18" s="105" customFormat="1" ht="13.8" x14ac:dyDescent="0.3">
      <c r="A51" s="373" t="s">
        <v>173</v>
      </c>
      <c r="B51" s="373"/>
      <c r="C51" s="373"/>
      <c r="D51" s="373"/>
      <c r="E51" s="373"/>
      <c r="F51" s="373"/>
      <c r="G51" s="373"/>
      <c r="H51" s="373"/>
      <c r="I51" s="373"/>
      <c r="J51" s="373"/>
      <c r="K51" s="373"/>
      <c r="L51" s="373"/>
      <c r="M51" s="373"/>
      <c r="N51" s="373"/>
      <c r="O51" s="373"/>
      <c r="P51" s="373"/>
      <c r="Q51" s="373"/>
      <c r="R51" s="373"/>
    </row>
    <row r="52" spans="1:18" s="105" customFormat="1" ht="13.8" x14ac:dyDescent="0.3">
      <c r="A52" s="372" t="s">
        <v>39</v>
      </c>
      <c r="B52" s="372"/>
      <c r="C52" s="372"/>
      <c r="D52" s="372"/>
      <c r="E52" s="372"/>
      <c r="F52" s="372"/>
      <c r="G52" s="372"/>
      <c r="H52" s="372"/>
      <c r="I52" s="372"/>
      <c r="J52" s="372"/>
      <c r="K52" s="372"/>
      <c r="L52" s="372"/>
      <c r="M52" s="372"/>
      <c r="N52" s="372"/>
      <c r="O52" s="372"/>
      <c r="P52" s="372"/>
      <c r="Q52" s="372"/>
      <c r="R52" s="372"/>
    </row>
    <row r="53" spans="1:18" s="105" customFormat="1" ht="13.8" x14ac:dyDescent="0.3">
      <c r="A53" s="358" t="str">
        <f>'Local SUT'!A60</f>
        <v>Source:  Minnesota Department of Revenue, Tax Research Division, February 2021</v>
      </c>
      <c r="B53" s="358"/>
      <c r="C53" s="358"/>
      <c r="D53" s="358"/>
      <c r="E53" s="358"/>
      <c r="F53" s="358"/>
      <c r="G53" s="358"/>
      <c r="H53" s="358"/>
      <c r="I53" s="358"/>
      <c r="J53" s="358"/>
      <c r="K53" s="358"/>
      <c r="L53" s="358"/>
      <c r="M53" s="358"/>
      <c r="N53" s="358"/>
      <c r="O53" s="358"/>
      <c r="P53" s="358"/>
      <c r="Q53" s="358"/>
      <c r="R53" s="358"/>
    </row>
    <row r="54" spans="1:18" s="105" customFormat="1" ht="13.8" x14ac:dyDescent="0.3">
      <c r="A54" s="356" t="s">
        <v>151</v>
      </c>
      <c r="B54" s="356"/>
      <c r="C54" s="356"/>
      <c r="D54" s="356"/>
      <c r="E54" s="356"/>
      <c r="F54" s="356"/>
      <c r="G54" s="356"/>
      <c r="H54" s="356"/>
      <c r="I54" s="356"/>
      <c r="J54" s="356"/>
      <c r="K54" s="356"/>
      <c r="L54" s="356"/>
      <c r="M54" s="356"/>
      <c r="N54" s="356"/>
      <c r="O54" s="356"/>
      <c r="P54" s="356"/>
      <c r="Q54" s="356"/>
      <c r="R54" s="356"/>
    </row>
  </sheetData>
  <mergeCells count="12">
    <mergeCell ref="A53:R53"/>
    <mergeCell ref="A54:R54"/>
    <mergeCell ref="A19:R19"/>
    <mergeCell ref="A34:R34"/>
    <mergeCell ref="A35:R35"/>
    <mergeCell ref="A50:R50"/>
    <mergeCell ref="A51:R51"/>
    <mergeCell ref="A1:R1"/>
    <mergeCell ref="A2:R2"/>
    <mergeCell ref="A3:R3"/>
    <mergeCell ref="A18:R18"/>
    <mergeCell ref="A52:R52"/>
  </mergeCells>
  <pageMargins left="0" right="0" top="0.75" bottom="0.75" header="0.3" footer="0.3"/>
  <pageSetup scale="73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pageSetUpPr fitToPage="1"/>
  </sheetPr>
  <dimension ref="A1:R54"/>
  <sheetViews>
    <sheetView showGridLines="0" workbookViewId="0">
      <pane ySplit="1" topLeftCell="A2" activePane="bottomLeft" state="frozen"/>
      <selection pane="bottomLeft" sqref="A1:R1"/>
    </sheetView>
  </sheetViews>
  <sheetFormatPr defaultColWidth="12.5546875" defaultRowHeight="14.4" x14ac:dyDescent="0.3"/>
  <cols>
    <col min="1" max="1" width="12.5546875" style="103"/>
    <col min="2" max="4" width="13.5546875" style="145" hidden="1" customWidth="1"/>
    <col min="5" max="18" width="13.5546875" style="145" customWidth="1"/>
    <col min="19" max="16384" width="12.5546875" style="145"/>
  </cols>
  <sheetData>
    <row r="1" spans="1:18" s="129" customFormat="1" ht="21" x14ac:dyDescent="0.4">
      <c r="A1" s="359" t="s">
        <v>192</v>
      </c>
      <c r="B1" s="359"/>
      <c r="C1" s="359"/>
      <c r="D1" s="359"/>
      <c r="E1" s="359"/>
      <c r="F1" s="359"/>
      <c r="G1" s="359"/>
      <c r="H1" s="359"/>
      <c r="I1" s="359"/>
      <c r="J1" s="359"/>
      <c r="K1" s="359"/>
      <c r="L1" s="359"/>
      <c r="M1" s="359"/>
      <c r="N1" s="359"/>
      <c r="O1" s="359"/>
      <c r="P1" s="359"/>
      <c r="Q1" s="359"/>
      <c r="R1" s="359"/>
    </row>
    <row r="2" spans="1:18" ht="18" x14ac:dyDescent="0.35">
      <c r="A2" s="360" t="str">
        <f>'Local SUT'!A2</f>
        <v>CY 2004-2020</v>
      </c>
      <c r="B2" s="360"/>
      <c r="C2" s="360"/>
      <c r="D2" s="360"/>
      <c r="E2" s="360"/>
      <c r="F2" s="360"/>
      <c r="G2" s="360"/>
      <c r="H2" s="360"/>
      <c r="I2" s="360"/>
      <c r="J2" s="360"/>
      <c r="K2" s="360"/>
      <c r="L2" s="360"/>
      <c r="M2" s="360"/>
      <c r="N2" s="360"/>
      <c r="O2" s="360"/>
      <c r="P2" s="360"/>
      <c r="Q2" s="360"/>
      <c r="R2" s="360"/>
    </row>
    <row r="3" spans="1:18" ht="18" x14ac:dyDescent="0.35">
      <c r="A3" s="361" t="s">
        <v>46</v>
      </c>
      <c r="B3" s="361"/>
      <c r="C3" s="361"/>
      <c r="D3" s="361"/>
      <c r="E3" s="361"/>
      <c r="F3" s="361"/>
      <c r="G3" s="361"/>
      <c r="H3" s="361"/>
      <c r="I3" s="361"/>
      <c r="J3" s="361"/>
      <c r="K3" s="361"/>
      <c r="L3" s="361"/>
      <c r="M3" s="361"/>
      <c r="N3" s="361"/>
      <c r="O3" s="361"/>
      <c r="P3" s="361"/>
      <c r="Q3" s="361"/>
      <c r="R3" s="361"/>
    </row>
    <row r="4" spans="1:18" s="115" customFormat="1" ht="15.6" x14ac:dyDescent="0.3">
      <c r="A4" s="95" t="s">
        <v>23</v>
      </c>
      <c r="B4" s="96">
        <v>2004</v>
      </c>
      <c r="C4" s="53">
        <v>2005</v>
      </c>
      <c r="D4" s="53">
        <v>2006</v>
      </c>
      <c r="E4" s="53">
        <v>2007</v>
      </c>
      <c r="F4" s="53">
        <v>2008</v>
      </c>
      <c r="G4" s="53">
        <v>2009</v>
      </c>
      <c r="H4" s="53">
        <v>2010</v>
      </c>
      <c r="I4" s="53">
        <v>2011</v>
      </c>
      <c r="J4" s="54">
        <v>2012</v>
      </c>
      <c r="K4" s="54">
        <v>2013</v>
      </c>
      <c r="L4" s="54">
        <v>2014</v>
      </c>
      <c r="M4" s="54">
        <v>2015</v>
      </c>
      <c r="N4" s="54">
        <v>2016</v>
      </c>
      <c r="O4" s="54">
        <v>2017</v>
      </c>
      <c r="P4" s="54">
        <v>2018</v>
      </c>
      <c r="Q4" s="54">
        <v>2019</v>
      </c>
      <c r="R4" s="49">
        <v>2020</v>
      </c>
    </row>
    <row r="5" spans="1:18" s="115" customFormat="1" ht="15.6" x14ac:dyDescent="0.3">
      <c r="A5" s="36" t="s">
        <v>24</v>
      </c>
      <c r="B5" s="30" t="s">
        <v>152</v>
      </c>
      <c r="C5" s="25" t="s">
        <v>152</v>
      </c>
      <c r="D5" s="25" t="s">
        <v>152</v>
      </c>
      <c r="E5" s="38" t="s">
        <v>152</v>
      </c>
      <c r="F5" s="259">
        <v>74422</v>
      </c>
      <c r="G5" s="260">
        <v>71078</v>
      </c>
      <c r="H5" s="259">
        <v>73056</v>
      </c>
      <c r="I5" s="259">
        <v>81930</v>
      </c>
      <c r="J5" s="259">
        <v>75293</v>
      </c>
      <c r="K5" s="259">
        <v>74129</v>
      </c>
      <c r="L5" s="259">
        <v>75634</v>
      </c>
      <c r="M5" s="259">
        <v>75769</v>
      </c>
      <c r="N5" s="259">
        <v>76320</v>
      </c>
      <c r="O5" s="259">
        <v>87206</v>
      </c>
      <c r="P5" s="259">
        <v>80241</v>
      </c>
      <c r="Q5" s="259">
        <v>85224</v>
      </c>
      <c r="R5" s="286">
        <v>92543</v>
      </c>
    </row>
    <row r="6" spans="1:18" s="115" customFormat="1" ht="15.6" x14ac:dyDescent="0.3">
      <c r="A6" s="13" t="s">
        <v>25</v>
      </c>
      <c r="B6" s="22" t="s">
        <v>152</v>
      </c>
      <c r="C6" s="20" t="s">
        <v>152</v>
      </c>
      <c r="D6" s="20" t="s">
        <v>152</v>
      </c>
      <c r="E6" s="20" t="s">
        <v>152</v>
      </c>
      <c r="F6" s="122">
        <v>59929.599999999999</v>
      </c>
      <c r="G6" s="123">
        <v>63107</v>
      </c>
      <c r="H6" s="122">
        <v>57260</v>
      </c>
      <c r="I6" s="122">
        <v>54614</v>
      </c>
      <c r="J6" s="122">
        <v>58651</v>
      </c>
      <c r="K6" s="122">
        <v>62041</v>
      </c>
      <c r="L6" s="122">
        <v>45888</v>
      </c>
      <c r="M6" s="122">
        <v>59486</v>
      </c>
      <c r="N6" s="122">
        <v>240076</v>
      </c>
      <c r="O6" s="122">
        <v>62765</v>
      </c>
      <c r="P6" s="122">
        <v>60993</v>
      </c>
      <c r="Q6" s="122">
        <v>70377</v>
      </c>
      <c r="R6" s="287">
        <v>79091</v>
      </c>
    </row>
    <row r="7" spans="1:18" s="115" customFormat="1" ht="15.6" x14ac:dyDescent="0.3">
      <c r="A7" s="13" t="s">
        <v>26</v>
      </c>
      <c r="B7" s="22" t="s">
        <v>152</v>
      </c>
      <c r="C7" s="20" t="s">
        <v>152</v>
      </c>
      <c r="D7" s="20" t="s">
        <v>152</v>
      </c>
      <c r="E7" s="20" t="s">
        <v>152</v>
      </c>
      <c r="F7" s="122">
        <v>53004</v>
      </c>
      <c r="G7" s="123">
        <v>62825</v>
      </c>
      <c r="H7" s="122">
        <v>57115</v>
      </c>
      <c r="I7" s="122">
        <v>59978</v>
      </c>
      <c r="J7" s="122">
        <v>56953</v>
      </c>
      <c r="K7" s="122">
        <v>56246</v>
      </c>
      <c r="L7" s="122">
        <v>53431</v>
      </c>
      <c r="M7" s="122">
        <v>59419</v>
      </c>
      <c r="N7" s="122">
        <v>-113177</v>
      </c>
      <c r="O7" s="122">
        <v>62265</v>
      </c>
      <c r="P7" s="122">
        <v>57535</v>
      </c>
      <c r="Q7" s="122">
        <v>61468</v>
      </c>
      <c r="R7" s="287">
        <v>76506</v>
      </c>
    </row>
    <row r="8" spans="1:18" s="115" customFormat="1" ht="15.6" x14ac:dyDescent="0.3">
      <c r="A8" s="13" t="s">
        <v>27</v>
      </c>
      <c r="B8" s="22" t="s">
        <v>152</v>
      </c>
      <c r="C8" s="20" t="s">
        <v>152</v>
      </c>
      <c r="D8" s="20" t="s">
        <v>152</v>
      </c>
      <c r="E8" s="258">
        <v>87</v>
      </c>
      <c r="F8" s="122">
        <v>62324.06</v>
      </c>
      <c r="G8" s="123">
        <v>58061</v>
      </c>
      <c r="H8" s="122">
        <v>60572</v>
      </c>
      <c r="I8" s="122">
        <v>65092</v>
      </c>
      <c r="J8" s="122">
        <v>76806</v>
      </c>
      <c r="K8" s="122">
        <v>65572</v>
      </c>
      <c r="L8" s="122">
        <v>64640</v>
      </c>
      <c r="M8" s="122">
        <v>65577</v>
      </c>
      <c r="N8" s="122">
        <v>74311</v>
      </c>
      <c r="O8" s="122">
        <v>72531</v>
      </c>
      <c r="P8" s="122">
        <v>69889</v>
      </c>
      <c r="Q8" s="122">
        <v>71399</v>
      </c>
      <c r="R8" s="287">
        <v>75790</v>
      </c>
    </row>
    <row r="9" spans="1:18" s="115" customFormat="1" ht="15.6" x14ac:dyDescent="0.3">
      <c r="A9" s="13" t="s">
        <v>28</v>
      </c>
      <c r="B9" s="22" t="s">
        <v>152</v>
      </c>
      <c r="C9" s="20" t="s">
        <v>152</v>
      </c>
      <c r="D9" s="20" t="s">
        <v>152</v>
      </c>
      <c r="E9" s="122">
        <v>46525</v>
      </c>
      <c r="F9" s="122">
        <v>60474.76</v>
      </c>
      <c r="G9" s="123">
        <v>57782</v>
      </c>
      <c r="H9" s="122">
        <v>61991</v>
      </c>
      <c r="I9" s="122">
        <v>73818</v>
      </c>
      <c r="J9" s="122">
        <v>65875</v>
      </c>
      <c r="K9" s="122">
        <v>60323</v>
      </c>
      <c r="L9" s="122">
        <v>61373</v>
      </c>
      <c r="M9" s="122">
        <v>66104</v>
      </c>
      <c r="N9" s="122">
        <v>81042</v>
      </c>
      <c r="O9" s="122">
        <v>69165</v>
      </c>
      <c r="P9" s="122">
        <v>71075</v>
      </c>
      <c r="Q9" s="122">
        <v>64123</v>
      </c>
      <c r="R9" s="287">
        <v>78525</v>
      </c>
    </row>
    <row r="10" spans="1:18" s="115" customFormat="1" ht="15.6" x14ac:dyDescent="0.3">
      <c r="A10" s="13" t="s">
        <v>29</v>
      </c>
      <c r="B10" s="22" t="s">
        <v>152</v>
      </c>
      <c r="C10" s="20" t="s">
        <v>152</v>
      </c>
      <c r="D10" s="20" t="s">
        <v>152</v>
      </c>
      <c r="E10" s="122">
        <v>63371</v>
      </c>
      <c r="F10" s="122">
        <v>65986.34</v>
      </c>
      <c r="G10" s="123">
        <v>66381</v>
      </c>
      <c r="H10" s="122">
        <v>61523</v>
      </c>
      <c r="I10" s="122">
        <v>66207</v>
      </c>
      <c r="J10" s="122">
        <v>72425</v>
      </c>
      <c r="K10" s="122">
        <v>73394</v>
      </c>
      <c r="L10" s="122">
        <v>77631</v>
      </c>
      <c r="M10" s="122">
        <v>73771</v>
      </c>
      <c r="N10" s="122">
        <v>80242</v>
      </c>
      <c r="O10" s="122">
        <v>77161</v>
      </c>
      <c r="P10" s="122">
        <v>97964</v>
      </c>
      <c r="Q10" s="122">
        <v>93134</v>
      </c>
      <c r="R10" s="287">
        <v>103700</v>
      </c>
    </row>
    <row r="11" spans="1:18" s="115" customFormat="1" ht="15.6" x14ac:dyDescent="0.3">
      <c r="A11" s="13" t="s">
        <v>30</v>
      </c>
      <c r="B11" s="22" t="s">
        <v>152</v>
      </c>
      <c r="C11" s="20" t="s">
        <v>152</v>
      </c>
      <c r="D11" s="20" t="s">
        <v>152</v>
      </c>
      <c r="E11" s="122">
        <v>63270</v>
      </c>
      <c r="F11" s="122">
        <v>67547.42</v>
      </c>
      <c r="G11" s="123">
        <v>64663</v>
      </c>
      <c r="H11" s="122">
        <v>67750</v>
      </c>
      <c r="I11" s="122">
        <v>68333</v>
      </c>
      <c r="J11" s="122">
        <v>72022</v>
      </c>
      <c r="K11" s="122">
        <v>68080</v>
      </c>
      <c r="L11" s="122">
        <v>72949</v>
      </c>
      <c r="M11" s="122">
        <v>71766</v>
      </c>
      <c r="N11" s="122">
        <v>78222</v>
      </c>
      <c r="O11" s="122">
        <v>80274</v>
      </c>
      <c r="P11" s="122">
        <v>88427</v>
      </c>
      <c r="Q11" s="293">
        <v>90970</v>
      </c>
      <c r="R11" s="291" t="s">
        <v>152</v>
      </c>
    </row>
    <row r="12" spans="1:18" s="115" customFormat="1" ht="15.6" x14ac:dyDescent="0.3">
      <c r="A12" s="13" t="s">
        <v>31</v>
      </c>
      <c r="B12" s="22" t="s">
        <v>152</v>
      </c>
      <c r="C12" s="20" t="s">
        <v>152</v>
      </c>
      <c r="D12" s="20" t="s">
        <v>152</v>
      </c>
      <c r="E12" s="122">
        <v>75658</v>
      </c>
      <c r="F12" s="122">
        <v>80723.89</v>
      </c>
      <c r="G12" s="123">
        <v>76521</v>
      </c>
      <c r="H12" s="122">
        <v>77288</v>
      </c>
      <c r="I12" s="122">
        <v>73184</v>
      </c>
      <c r="J12" s="122">
        <v>79053</v>
      </c>
      <c r="K12" s="122">
        <v>86201</v>
      </c>
      <c r="L12" s="122">
        <v>77451</v>
      </c>
      <c r="M12" s="122">
        <v>85200</v>
      </c>
      <c r="N12" s="122">
        <v>86978</v>
      </c>
      <c r="O12" s="122">
        <v>83655</v>
      </c>
      <c r="P12" s="122">
        <v>87505</v>
      </c>
      <c r="Q12" s="296">
        <v>95914</v>
      </c>
      <c r="R12" s="295" t="s">
        <v>152</v>
      </c>
    </row>
    <row r="13" spans="1:18" s="115" customFormat="1" ht="15.6" x14ac:dyDescent="0.3">
      <c r="A13" s="13" t="s">
        <v>32</v>
      </c>
      <c r="B13" s="22" t="s">
        <v>152</v>
      </c>
      <c r="C13" s="20" t="s">
        <v>152</v>
      </c>
      <c r="D13" s="20" t="s">
        <v>152</v>
      </c>
      <c r="E13" s="122">
        <v>67948.39</v>
      </c>
      <c r="F13" s="122">
        <v>73986.81</v>
      </c>
      <c r="G13" s="123">
        <v>67058</v>
      </c>
      <c r="H13" s="122">
        <v>72056</v>
      </c>
      <c r="I13" s="122">
        <v>74059</v>
      </c>
      <c r="J13" s="122">
        <v>71738</v>
      </c>
      <c r="K13" s="122">
        <v>74107</v>
      </c>
      <c r="L13" s="122">
        <v>74678</v>
      </c>
      <c r="M13" s="122">
        <v>78209</v>
      </c>
      <c r="N13" s="122">
        <v>82214</v>
      </c>
      <c r="O13" s="122">
        <v>79605</v>
      </c>
      <c r="P13" s="122">
        <v>82700</v>
      </c>
      <c r="Q13" s="296">
        <v>99674</v>
      </c>
      <c r="R13" s="295" t="s">
        <v>152</v>
      </c>
    </row>
    <row r="14" spans="1:18" s="115" customFormat="1" ht="15.6" x14ac:dyDescent="0.3">
      <c r="A14" s="13" t="s">
        <v>33</v>
      </c>
      <c r="B14" s="22" t="s">
        <v>152</v>
      </c>
      <c r="C14" s="20" t="s">
        <v>152</v>
      </c>
      <c r="D14" s="20" t="s">
        <v>152</v>
      </c>
      <c r="E14" s="122">
        <v>69441</v>
      </c>
      <c r="F14" s="122">
        <v>67580.399999999994</v>
      </c>
      <c r="G14" s="123">
        <v>75619</v>
      </c>
      <c r="H14" s="122">
        <v>68370</v>
      </c>
      <c r="I14" s="122">
        <v>75758</v>
      </c>
      <c r="J14" s="122">
        <v>76549</v>
      </c>
      <c r="K14" s="122">
        <v>74194</v>
      </c>
      <c r="L14" s="122">
        <v>72163</v>
      </c>
      <c r="M14" s="122">
        <v>76700</v>
      </c>
      <c r="N14" s="122">
        <v>84535</v>
      </c>
      <c r="O14" s="122">
        <v>80657</v>
      </c>
      <c r="P14" s="122">
        <v>78897</v>
      </c>
      <c r="Q14" s="296">
        <v>86694</v>
      </c>
      <c r="R14" s="295" t="s">
        <v>152</v>
      </c>
    </row>
    <row r="15" spans="1:18" s="115" customFormat="1" ht="15.6" x14ac:dyDescent="0.3">
      <c r="A15" s="13" t="s">
        <v>34</v>
      </c>
      <c r="B15" s="22" t="s">
        <v>152</v>
      </c>
      <c r="C15" s="20" t="s">
        <v>152</v>
      </c>
      <c r="D15" s="122"/>
      <c r="E15" s="122">
        <v>65630.210000000006</v>
      </c>
      <c r="F15" s="20" t="s">
        <v>35</v>
      </c>
      <c r="G15" s="123">
        <v>68077</v>
      </c>
      <c r="H15" s="122">
        <v>63148</v>
      </c>
      <c r="I15" s="122">
        <v>64032</v>
      </c>
      <c r="J15" s="122">
        <v>67651</v>
      </c>
      <c r="K15" s="122">
        <v>67740</v>
      </c>
      <c r="L15" s="122">
        <v>70072</v>
      </c>
      <c r="M15" s="122">
        <v>72060</v>
      </c>
      <c r="N15" s="122">
        <v>77658</v>
      </c>
      <c r="O15" s="122">
        <v>72303</v>
      </c>
      <c r="P15" s="122">
        <v>79018</v>
      </c>
      <c r="Q15" s="296">
        <v>86957</v>
      </c>
      <c r="R15" s="295" t="s">
        <v>152</v>
      </c>
    </row>
    <row r="16" spans="1:18" s="115" customFormat="1" ht="16.2" thickBot="1" x14ac:dyDescent="0.35">
      <c r="A16" s="100" t="s">
        <v>36</v>
      </c>
      <c r="B16" s="42" t="s">
        <v>152</v>
      </c>
      <c r="C16" s="28" t="s">
        <v>152</v>
      </c>
      <c r="D16" s="126"/>
      <c r="E16" s="126">
        <v>63750.01</v>
      </c>
      <c r="F16" s="126">
        <v>112604</v>
      </c>
      <c r="G16" s="126">
        <v>61037</v>
      </c>
      <c r="H16" s="127">
        <v>58668</v>
      </c>
      <c r="I16" s="127">
        <v>61659</v>
      </c>
      <c r="J16" s="127">
        <v>64020</v>
      </c>
      <c r="K16" s="127">
        <v>67284</v>
      </c>
      <c r="L16" s="127">
        <v>73872</v>
      </c>
      <c r="M16" s="127">
        <v>74884</v>
      </c>
      <c r="N16" s="127">
        <v>69130</v>
      </c>
      <c r="O16" s="127">
        <v>64241</v>
      </c>
      <c r="P16" s="127">
        <v>78301</v>
      </c>
      <c r="Q16" s="294">
        <v>79002</v>
      </c>
      <c r="R16" s="292" t="s">
        <v>152</v>
      </c>
    </row>
    <row r="17" spans="1:18" s="115" customFormat="1" ht="16.2" thickTop="1" x14ac:dyDescent="0.3">
      <c r="A17" s="94" t="s">
        <v>37</v>
      </c>
      <c r="B17" s="97" t="s">
        <v>152</v>
      </c>
      <c r="C17" s="98" t="s">
        <v>152</v>
      </c>
      <c r="D17" s="58" t="s">
        <v>152</v>
      </c>
      <c r="E17" s="261">
        <f t="shared" ref="E17:K17" si="0">SUM(E5:E16)</f>
        <v>515680.61000000004</v>
      </c>
      <c r="F17" s="261">
        <f t="shared" si="0"/>
        <v>778583.27999999991</v>
      </c>
      <c r="G17" s="261">
        <f t="shared" si="0"/>
        <v>792209</v>
      </c>
      <c r="H17" s="261">
        <f t="shared" si="0"/>
        <v>778797</v>
      </c>
      <c r="I17" s="261">
        <f t="shared" si="0"/>
        <v>818664</v>
      </c>
      <c r="J17" s="261">
        <f t="shared" si="0"/>
        <v>837036</v>
      </c>
      <c r="K17" s="261">
        <f t="shared" si="0"/>
        <v>829311</v>
      </c>
      <c r="L17" s="261">
        <f t="shared" ref="L17:Q17" si="1">SUM(L5:L16)</f>
        <v>819782</v>
      </c>
      <c r="M17" s="261">
        <f t="shared" si="1"/>
        <v>858945</v>
      </c>
      <c r="N17" s="261">
        <f t="shared" si="1"/>
        <v>917551</v>
      </c>
      <c r="O17" s="261">
        <f t="shared" si="1"/>
        <v>891828</v>
      </c>
      <c r="P17" s="261">
        <f t="shared" si="1"/>
        <v>932545</v>
      </c>
      <c r="Q17" s="261">
        <f t="shared" si="1"/>
        <v>984936</v>
      </c>
      <c r="R17" s="288">
        <f t="shared" ref="R17" si="2">SUM(R5:R16)</f>
        <v>506155</v>
      </c>
    </row>
    <row r="18" spans="1:18" s="116" customFormat="1" ht="6.6" x14ac:dyDescent="0.15">
      <c r="A18" s="367" t="s">
        <v>174</v>
      </c>
      <c r="B18" s="367"/>
      <c r="C18" s="367"/>
      <c r="D18" s="367"/>
      <c r="E18" s="367"/>
      <c r="F18" s="367"/>
      <c r="G18" s="367"/>
      <c r="H18" s="367"/>
      <c r="I18" s="367"/>
      <c r="J18" s="367"/>
      <c r="K18" s="367"/>
      <c r="L18" s="367"/>
      <c r="M18" s="367"/>
      <c r="N18" s="367"/>
      <c r="O18" s="367"/>
      <c r="P18" s="367"/>
      <c r="Q18" s="367"/>
      <c r="R18" s="367"/>
    </row>
    <row r="19" spans="1:18" s="120" customFormat="1" ht="18" x14ac:dyDescent="0.35">
      <c r="A19" s="361" t="s">
        <v>47</v>
      </c>
      <c r="B19" s="361"/>
      <c r="C19" s="361"/>
      <c r="D19" s="361"/>
      <c r="E19" s="361"/>
      <c r="F19" s="361"/>
      <c r="G19" s="361"/>
      <c r="H19" s="361"/>
      <c r="I19" s="361"/>
      <c r="J19" s="361"/>
      <c r="K19" s="361"/>
      <c r="L19" s="361"/>
      <c r="M19" s="361"/>
      <c r="N19" s="361"/>
      <c r="O19" s="361"/>
      <c r="P19" s="361"/>
      <c r="Q19" s="361"/>
      <c r="R19" s="361"/>
    </row>
    <row r="20" spans="1:18" s="115" customFormat="1" ht="15.6" x14ac:dyDescent="0.3">
      <c r="A20" s="95" t="s">
        <v>23</v>
      </c>
      <c r="B20" s="96">
        <v>2004</v>
      </c>
      <c r="C20" s="53">
        <v>2005</v>
      </c>
      <c r="D20" s="53">
        <v>2006</v>
      </c>
      <c r="E20" s="53">
        <v>2007</v>
      </c>
      <c r="F20" s="53">
        <v>2008</v>
      </c>
      <c r="G20" s="53">
        <v>2009</v>
      </c>
      <c r="H20" s="53">
        <v>2010</v>
      </c>
      <c r="I20" s="53">
        <v>2011</v>
      </c>
      <c r="J20" s="54">
        <v>2012</v>
      </c>
      <c r="K20" s="54">
        <v>2013</v>
      </c>
      <c r="L20" s="54">
        <v>2014</v>
      </c>
      <c r="M20" s="54">
        <v>2015</v>
      </c>
      <c r="N20" s="54">
        <v>2016</v>
      </c>
      <c r="O20" s="54">
        <v>2017</v>
      </c>
      <c r="P20" s="54">
        <v>2018</v>
      </c>
      <c r="Q20" s="54">
        <v>2019</v>
      </c>
      <c r="R20" s="49">
        <v>2020</v>
      </c>
    </row>
    <row r="21" spans="1:18" s="115" customFormat="1" ht="15.6" x14ac:dyDescent="0.3">
      <c r="A21" s="36" t="s">
        <v>24</v>
      </c>
      <c r="B21" s="38" t="s">
        <v>152</v>
      </c>
      <c r="C21" s="38" t="s">
        <v>152</v>
      </c>
      <c r="D21" s="38" t="s">
        <v>152</v>
      </c>
      <c r="E21" s="38" t="s">
        <v>152</v>
      </c>
      <c r="F21" s="259">
        <v>5562</v>
      </c>
      <c r="G21" s="260">
        <v>10675</v>
      </c>
      <c r="H21" s="259">
        <v>5097</v>
      </c>
      <c r="I21" s="259">
        <v>-21097</v>
      </c>
      <c r="J21" s="259">
        <v>8838</v>
      </c>
      <c r="K21" s="259">
        <v>4623</v>
      </c>
      <c r="L21" s="259">
        <v>4843</v>
      </c>
      <c r="M21" s="259">
        <v>5867</v>
      </c>
      <c r="N21" s="259">
        <v>4609</v>
      </c>
      <c r="O21" s="259">
        <v>7487</v>
      </c>
      <c r="P21" s="259">
        <v>7319</v>
      </c>
      <c r="Q21" s="259">
        <v>6943</v>
      </c>
      <c r="R21" s="286">
        <v>5373</v>
      </c>
    </row>
    <row r="22" spans="1:18" s="115" customFormat="1" ht="15.6" x14ac:dyDescent="0.3">
      <c r="A22" s="13" t="s">
        <v>25</v>
      </c>
      <c r="B22" s="38" t="s">
        <v>152</v>
      </c>
      <c r="C22" s="38" t="s">
        <v>152</v>
      </c>
      <c r="D22" s="38" t="s">
        <v>152</v>
      </c>
      <c r="E22" s="20" t="s">
        <v>152</v>
      </c>
      <c r="F22" s="122">
        <v>3960</v>
      </c>
      <c r="G22" s="123">
        <v>4129</v>
      </c>
      <c r="H22" s="122">
        <v>3734</v>
      </c>
      <c r="I22" s="122">
        <v>5588</v>
      </c>
      <c r="J22" s="122">
        <v>4389</v>
      </c>
      <c r="K22" s="122">
        <v>3955</v>
      </c>
      <c r="L22" s="122">
        <v>2909</v>
      </c>
      <c r="M22" s="122">
        <v>1757</v>
      </c>
      <c r="N22" s="122">
        <v>3633</v>
      </c>
      <c r="O22" s="122">
        <v>4446</v>
      </c>
      <c r="P22" s="122">
        <v>4842</v>
      </c>
      <c r="Q22" s="122">
        <v>3256</v>
      </c>
      <c r="R22" s="287">
        <v>2815</v>
      </c>
    </row>
    <row r="23" spans="1:18" s="115" customFormat="1" ht="15.6" x14ac:dyDescent="0.3">
      <c r="A23" s="13" t="s">
        <v>26</v>
      </c>
      <c r="B23" s="38" t="s">
        <v>152</v>
      </c>
      <c r="C23" s="38" t="s">
        <v>152</v>
      </c>
      <c r="D23" s="38" t="s">
        <v>152</v>
      </c>
      <c r="E23" s="20" t="s">
        <v>152</v>
      </c>
      <c r="F23" s="122">
        <v>5410</v>
      </c>
      <c r="G23" s="123">
        <v>4672</v>
      </c>
      <c r="H23" s="122">
        <v>4235</v>
      </c>
      <c r="I23" s="122">
        <v>3421</v>
      </c>
      <c r="J23" s="122">
        <v>1685</v>
      </c>
      <c r="K23" s="122">
        <v>1799</v>
      </c>
      <c r="L23" s="122">
        <v>16375</v>
      </c>
      <c r="M23" s="122">
        <v>2824</v>
      </c>
      <c r="N23" s="122">
        <v>4020</v>
      </c>
      <c r="O23" s="122">
        <v>7591</v>
      </c>
      <c r="P23" s="122">
        <v>3532</v>
      </c>
      <c r="Q23" s="122">
        <v>2106</v>
      </c>
      <c r="R23" s="287">
        <v>5756</v>
      </c>
    </row>
    <row r="24" spans="1:18" s="115" customFormat="1" ht="15.6" x14ac:dyDescent="0.3">
      <c r="A24" s="13" t="s">
        <v>27</v>
      </c>
      <c r="B24" s="38" t="s">
        <v>152</v>
      </c>
      <c r="C24" s="38" t="s">
        <v>152</v>
      </c>
      <c r="D24" s="38" t="s">
        <v>152</v>
      </c>
      <c r="E24" s="258">
        <v>0</v>
      </c>
      <c r="F24" s="122">
        <v>2883.41</v>
      </c>
      <c r="G24" s="123">
        <v>4166</v>
      </c>
      <c r="H24" s="122">
        <v>3587</v>
      </c>
      <c r="I24" s="122">
        <v>3603</v>
      </c>
      <c r="J24" s="122">
        <v>2309</v>
      </c>
      <c r="K24" s="122">
        <v>5027</v>
      </c>
      <c r="L24" s="122">
        <v>2741</v>
      </c>
      <c r="M24" s="122">
        <v>3764</v>
      </c>
      <c r="N24" s="122">
        <v>4503</v>
      </c>
      <c r="O24" s="122">
        <v>10761</v>
      </c>
      <c r="P24" s="122">
        <v>5148</v>
      </c>
      <c r="Q24" s="122">
        <v>3548</v>
      </c>
      <c r="R24" s="287">
        <v>3866</v>
      </c>
    </row>
    <row r="25" spans="1:18" s="115" customFormat="1" ht="15.6" x14ac:dyDescent="0.3">
      <c r="A25" s="13" t="s">
        <v>28</v>
      </c>
      <c r="B25" s="38" t="s">
        <v>152</v>
      </c>
      <c r="C25" s="38" t="s">
        <v>152</v>
      </c>
      <c r="D25" s="38" t="s">
        <v>152</v>
      </c>
      <c r="E25" s="122">
        <v>1030</v>
      </c>
      <c r="F25" s="122">
        <v>7128.28</v>
      </c>
      <c r="G25" s="123">
        <v>3916</v>
      </c>
      <c r="H25" s="122">
        <v>3884</v>
      </c>
      <c r="I25" s="122">
        <v>6210</v>
      </c>
      <c r="J25" s="122">
        <v>2163</v>
      </c>
      <c r="K25" s="122">
        <v>2168</v>
      </c>
      <c r="L25" s="122">
        <v>3552</v>
      </c>
      <c r="M25" s="122">
        <v>3412</v>
      </c>
      <c r="N25" s="122">
        <v>4455</v>
      </c>
      <c r="O25" s="122">
        <v>8560</v>
      </c>
      <c r="P25" s="122">
        <v>4908</v>
      </c>
      <c r="Q25" s="122">
        <v>3127</v>
      </c>
      <c r="R25" s="287">
        <v>4865</v>
      </c>
    </row>
    <row r="26" spans="1:18" s="115" customFormat="1" ht="15.6" x14ac:dyDescent="0.3">
      <c r="A26" s="13" t="s">
        <v>29</v>
      </c>
      <c r="B26" s="38" t="s">
        <v>152</v>
      </c>
      <c r="C26" s="38" t="s">
        <v>152</v>
      </c>
      <c r="D26" s="38" t="s">
        <v>152</v>
      </c>
      <c r="E26" s="122">
        <v>2135</v>
      </c>
      <c r="F26" s="122">
        <v>4823.4799999999996</v>
      </c>
      <c r="G26" s="123">
        <v>3728</v>
      </c>
      <c r="H26" s="122">
        <v>3766</v>
      </c>
      <c r="I26" s="122">
        <v>3213</v>
      </c>
      <c r="J26" s="122">
        <v>3015</v>
      </c>
      <c r="K26" s="122">
        <v>4792</v>
      </c>
      <c r="L26" s="122">
        <v>2982</v>
      </c>
      <c r="M26" s="122">
        <v>2049</v>
      </c>
      <c r="N26" s="122">
        <v>4598</v>
      </c>
      <c r="O26" s="122">
        <v>5145</v>
      </c>
      <c r="P26" s="122">
        <v>5241</v>
      </c>
      <c r="Q26" s="122">
        <v>30659</v>
      </c>
      <c r="R26" s="287">
        <v>3178</v>
      </c>
    </row>
    <row r="27" spans="1:18" s="115" customFormat="1" ht="15.6" x14ac:dyDescent="0.3">
      <c r="A27" s="13" t="s">
        <v>30</v>
      </c>
      <c r="B27" s="38" t="s">
        <v>152</v>
      </c>
      <c r="C27" s="38" t="s">
        <v>152</v>
      </c>
      <c r="D27" s="38" t="s">
        <v>152</v>
      </c>
      <c r="E27" s="122">
        <v>3047</v>
      </c>
      <c r="F27" s="122">
        <v>3898</v>
      </c>
      <c r="G27" s="123">
        <v>2963</v>
      </c>
      <c r="H27" s="122">
        <v>4022</v>
      </c>
      <c r="I27" s="122">
        <v>2314</v>
      </c>
      <c r="J27" s="122">
        <v>3765</v>
      </c>
      <c r="K27" s="122">
        <v>3489</v>
      </c>
      <c r="L27" s="122">
        <v>3994</v>
      </c>
      <c r="M27" s="122">
        <v>3537</v>
      </c>
      <c r="N27" s="122">
        <v>5360</v>
      </c>
      <c r="O27" s="122">
        <v>7388</v>
      </c>
      <c r="P27" s="122">
        <v>6010</v>
      </c>
      <c r="Q27" s="296">
        <v>3949</v>
      </c>
      <c r="R27" s="295" t="s">
        <v>152</v>
      </c>
    </row>
    <row r="28" spans="1:18" s="115" customFormat="1" ht="15.6" x14ac:dyDescent="0.3">
      <c r="A28" s="13" t="s">
        <v>31</v>
      </c>
      <c r="B28" s="38" t="s">
        <v>152</v>
      </c>
      <c r="C28" s="38" t="s">
        <v>152</v>
      </c>
      <c r="D28" s="38" t="s">
        <v>152</v>
      </c>
      <c r="E28" s="122">
        <v>3368</v>
      </c>
      <c r="F28" s="122">
        <v>4440.9799999999996</v>
      </c>
      <c r="G28" s="123">
        <v>6905</v>
      </c>
      <c r="H28" s="122">
        <v>6351</v>
      </c>
      <c r="I28" s="122">
        <v>2097</v>
      </c>
      <c r="J28" s="122">
        <v>2285</v>
      </c>
      <c r="K28" s="122">
        <v>5521</v>
      </c>
      <c r="L28" s="122">
        <v>4816</v>
      </c>
      <c r="M28" s="122">
        <v>3869</v>
      </c>
      <c r="N28" s="122">
        <v>4778</v>
      </c>
      <c r="O28" s="122">
        <v>6638</v>
      </c>
      <c r="P28" s="122">
        <v>2896</v>
      </c>
      <c r="Q28" s="296">
        <v>4159</v>
      </c>
      <c r="R28" s="295" t="s">
        <v>152</v>
      </c>
    </row>
    <row r="29" spans="1:18" s="115" customFormat="1" ht="15.6" x14ac:dyDescent="0.3">
      <c r="A29" s="13" t="s">
        <v>32</v>
      </c>
      <c r="B29" s="38" t="s">
        <v>152</v>
      </c>
      <c r="C29" s="38" t="s">
        <v>152</v>
      </c>
      <c r="D29" s="38" t="s">
        <v>152</v>
      </c>
      <c r="E29" s="122">
        <v>5254.26</v>
      </c>
      <c r="F29" s="122">
        <v>3565.8</v>
      </c>
      <c r="G29" s="123">
        <v>3645</v>
      </c>
      <c r="H29" s="122">
        <v>4099</v>
      </c>
      <c r="I29" s="122">
        <v>3747</v>
      </c>
      <c r="J29" s="122">
        <v>2662</v>
      </c>
      <c r="K29" s="122">
        <v>5729</v>
      </c>
      <c r="L29" s="122">
        <v>1982</v>
      </c>
      <c r="M29" s="122">
        <v>6374</v>
      </c>
      <c r="N29" s="122">
        <v>5803</v>
      </c>
      <c r="O29" s="122">
        <v>5593</v>
      </c>
      <c r="P29" s="122">
        <v>4007</v>
      </c>
      <c r="Q29" s="296">
        <v>3248</v>
      </c>
      <c r="R29" s="295" t="s">
        <v>152</v>
      </c>
    </row>
    <row r="30" spans="1:18" s="115" customFormat="1" ht="15.6" x14ac:dyDescent="0.3">
      <c r="A30" s="13" t="s">
        <v>33</v>
      </c>
      <c r="B30" s="38" t="s">
        <v>152</v>
      </c>
      <c r="C30" s="38" t="s">
        <v>152</v>
      </c>
      <c r="D30" s="38" t="s">
        <v>152</v>
      </c>
      <c r="E30" s="122">
        <v>3995</v>
      </c>
      <c r="F30" s="122">
        <v>4758.58</v>
      </c>
      <c r="G30" s="123">
        <v>7678</v>
      </c>
      <c r="H30" s="122">
        <v>3603</v>
      </c>
      <c r="I30" s="122">
        <v>2810</v>
      </c>
      <c r="J30" s="122">
        <v>8559</v>
      </c>
      <c r="K30" s="122">
        <v>4966</v>
      </c>
      <c r="L30" s="122">
        <v>3497</v>
      </c>
      <c r="M30" s="122">
        <v>3403</v>
      </c>
      <c r="N30" s="122">
        <v>7089</v>
      </c>
      <c r="O30" s="122">
        <v>4994</v>
      </c>
      <c r="P30" s="122">
        <v>4015</v>
      </c>
      <c r="Q30" s="296">
        <v>4205</v>
      </c>
      <c r="R30" s="295" t="s">
        <v>152</v>
      </c>
    </row>
    <row r="31" spans="1:18" s="115" customFormat="1" ht="15.6" x14ac:dyDescent="0.3">
      <c r="A31" s="13" t="s">
        <v>34</v>
      </c>
      <c r="B31" s="38" t="s">
        <v>152</v>
      </c>
      <c r="C31" s="38" t="s">
        <v>152</v>
      </c>
      <c r="D31" s="38" t="s">
        <v>152</v>
      </c>
      <c r="E31" s="122">
        <v>7840</v>
      </c>
      <c r="F31" s="20" t="s">
        <v>35</v>
      </c>
      <c r="G31" s="123">
        <v>3002</v>
      </c>
      <c r="H31" s="122">
        <v>5348</v>
      </c>
      <c r="I31" s="122">
        <v>4272</v>
      </c>
      <c r="J31" s="122">
        <v>3169</v>
      </c>
      <c r="K31" s="122">
        <v>6209</v>
      </c>
      <c r="L31" s="122">
        <v>4889</v>
      </c>
      <c r="M31" s="122">
        <v>3547</v>
      </c>
      <c r="N31" s="122">
        <v>6135</v>
      </c>
      <c r="O31" s="122">
        <v>5040</v>
      </c>
      <c r="P31" s="122">
        <v>4811</v>
      </c>
      <c r="Q31" s="296">
        <v>3640</v>
      </c>
      <c r="R31" s="295" t="s">
        <v>152</v>
      </c>
    </row>
    <row r="32" spans="1:18" s="115" customFormat="1" ht="16.2" thickBot="1" x14ac:dyDescent="0.35">
      <c r="A32" s="100" t="s">
        <v>36</v>
      </c>
      <c r="B32" s="14" t="s">
        <v>152</v>
      </c>
      <c r="C32" s="14" t="s">
        <v>152</v>
      </c>
      <c r="D32" s="14" t="s">
        <v>152</v>
      </c>
      <c r="E32" s="126">
        <v>14390</v>
      </c>
      <c r="F32" s="126">
        <v>5826</v>
      </c>
      <c r="G32" s="126">
        <v>2926</v>
      </c>
      <c r="H32" s="127">
        <v>3457</v>
      </c>
      <c r="I32" s="127">
        <v>4311</v>
      </c>
      <c r="J32" s="127">
        <v>3249</v>
      </c>
      <c r="K32" s="127">
        <v>3655</v>
      </c>
      <c r="L32" s="127">
        <v>3837</v>
      </c>
      <c r="M32" s="127">
        <v>2757</v>
      </c>
      <c r="N32" s="127">
        <v>4729</v>
      </c>
      <c r="O32" s="127">
        <v>18371</v>
      </c>
      <c r="P32" s="127">
        <v>2676</v>
      </c>
      <c r="Q32" s="294">
        <v>3472</v>
      </c>
      <c r="R32" s="292" t="s">
        <v>152</v>
      </c>
    </row>
    <row r="33" spans="1:18" s="115" customFormat="1" ht="16.2" thickTop="1" x14ac:dyDescent="0.3">
      <c r="A33" s="94" t="s">
        <v>37</v>
      </c>
      <c r="B33" s="102" t="s">
        <v>152</v>
      </c>
      <c r="C33" s="58" t="s">
        <v>152</v>
      </c>
      <c r="D33" s="58" t="s">
        <v>152</v>
      </c>
      <c r="E33" s="261">
        <f t="shared" ref="E33:K33" si="3">SUM(E21:E32)</f>
        <v>41059.26</v>
      </c>
      <c r="F33" s="261">
        <f t="shared" si="3"/>
        <v>52256.53</v>
      </c>
      <c r="G33" s="261">
        <f t="shared" si="3"/>
        <v>58405</v>
      </c>
      <c r="H33" s="261">
        <f t="shared" si="3"/>
        <v>51183</v>
      </c>
      <c r="I33" s="261">
        <f t="shared" si="3"/>
        <v>20489</v>
      </c>
      <c r="J33" s="261">
        <f t="shared" si="3"/>
        <v>46088</v>
      </c>
      <c r="K33" s="261">
        <f t="shared" si="3"/>
        <v>51933</v>
      </c>
      <c r="L33" s="261">
        <f t="shared" ref="L33:Q33" si="4">SUM(L21:L32)</f>
        <v>56417</v>
      </c>
      <c r="M33" s="261">
        <f t="shared" si="4"/>
        <v>43160</v>
      </c>
      <c r="N33" s="261">
        <f t="shared" si="4"/>
        <v>59712</v>
      </c>
      <c r="O33" s="261">
        <f t="shared" si="4"/>
        <v>92014</v>
      </c>
      <c r="P33" s="261">
        <f t="shared" si="4"/>
        <v>55405</v>
      </c>
      <c r="Q33" s="261">
        <f t="shared" si="4"/>
        <v>72312</v>
      </c>
      <c r="R33" s="288">
        <f t="shared" ref="R33" si="5">SUM(R21:R32)</f>
        <v>25853</v>
      </c>
    </row>
    <row r="34" spans="1:18" s="116" customFormat="1" ht="6.6" x14ac:dyDescent="0.15">
      <c r="A34" s="367" t="s">
        <v>174</v>
      </c>
      <c r="B34" s="367"/>
      <c r="C34" s="367"/>
      <c r="D34" s="367"/>
      <c r="E34" s="367"/>
      <c r="F34" s="367"/>
      <c r="G34" s="367"/>
      <c r="H34" s="367"/>
      <c r="I34" s="367"/>
      <c r="J34" s="367"/>
      <c r="K34" s="367"/>
      <c r="L34" s="367"/>
      <c r="M34" s="367"/>
      <c r="N34" s="367"/>
      <c r="O34" s="367"/>
      <c r="P34" s="367"/>
      <c r="Q34" s="367"/>
      <c r="R34" s="367"/>
    </row>
    <row r="35" spans="1:18" s="120" customFormat="1" ht="18" x14ac:dyDescent="0.35">
      <c r="A35" s="361" t="s">
        <v>110</v>
      </c>
      <c r="B35" s="361"/>
      <c r="C35" s="361"/>
      <c r="D35" s="361"/>
      <c r="E35" s="361"/>
      <c r="F35" s="361"/>
      <c r="G35" s="361"/>
      <c r="H35" s="361"/>
      <c r="I35" s="361"/>
      <c r="J35" s="361"/>
      <c r="K35" s="361"/>
      <c r="L35" s="361"/>
      <c r="M35" s="361"/>
      <c r="N35" s="361"/>
      <c r="O35" s="361"/>
      <c r="P35" s="361"/>
      <c r="Q35" s="361"/>
      <c r="R35" s="361"/>
    </row>
    <row r="36" spans="1:18" s="115" customFormat="1" ht="15.6" x14ac:dyDescent="0.3">
      <c r="A36" s="95" t="s">
        <v>23</v>
      </c>
      <c r="B36" s="96">
        <v>2004</v>
      </c>
      <c r="C36" s="53">
        <v>2005</v>
      </c>
      <c r="D36" s="53">
        <v>2006</v>
      </c>
      <c r="E36" s="53">
        <v>2007</v>
      </c>
      <c r="F36" s="53">
        <v>2008</v>
      </c>
      <c r="G36" s="53">
        <v>2009</v>
      </c>
      <c r="H36" s="53">
        <v>2010</v>
      </c>
      <c r="I36" s="53">
        <v>2011</v>
      </c>
      <c r="J36" s="54">
        <v>2012</v>
      </c>
      <c r="K36" s="54">
        <v>2013</v>
      </c>
      <c r="L36" s="54">
        <v>2014</v>
      </c>
      <c r="M36" s="54">
        <v>2015</v>
      </c>
      <c r="N36" s="54">
        <v>2016</v>
      </c>
      <c r="O36" s="54">
        <v>2017</v>
      </c>
      <c r="P36" s="54">
        <v>2018</v>
      </c>
      <c r="Q36" s="54">
        <v>2019</v>
      </c>
      <c r="R36" s="49">
        <v>2020</v>
      </c>
    </row>
    <row r="37" spans="1:18" s="115" customFormat="1" ht="15.6" x14ac:dyDescent="0.3">
      <c r="A37" s="36" t="s">
        <v>24</v>
      </c>
      <c r="B37" s="38" t="s">
        <v>152</v>
      </c>
      <c r="C37" s="38" t="s">
        <v>152</v>
      </c>
      <c r="D37" s="38" t="s">
        <v>152</v>
      </c>
      <c r="E37" s="38" t="s">
        <v>152</v>
      </c>
      <c r="F37" s="38" t="s">
        <v>152</v>
      </c>
      <c r="G37" s="260">
        <v>0</v>
      </c>
      <c r="H37" s="259">
        <v>0</v>
      </c>
      <c r="I37" s="259">
        <v>-105</v>
      </c>
      <c r="J37" s="259">
        <v>-543</v>
      </c>
      <c r="K37" s="259">
        <v>-5</v>
      </c>
      <c r="L37" s="259">
        <v>-1204</v>
      </c>
      <c r="M37" s="259">
        <v>-131</v>
      </c>
      <c r="N37" s="259">
        <v>-791</v>
      </c>
      <c r="O37" s="259">
        <v>-7</v>
      </c>
      <c r="P37" s="259">
        <v>-655</v>
      </c>
      <c r="Q37" s="259">
        <v>-50</v>
      </c>
      <c r="R37" s="286">
        <v>-21</v>
      </c>
    </row>
    <row r="38" spans="1:18" s="115" customFormat="1" ht="15.6" x14ac:dyDescent="0.3">
      <c r="A38" s="13" t="s">
        <v>25</v>
      </c>
      <c r="B38" s="38" t="s">
        <v>152</v>
      </c>
      <c r="C38" s="38" t="s">
        <v>152</v>
      </c>
      <c r="D38" s="38" t="s">
        <v>152</v>
      </c>
      <c r="E38" s="20" t="s">
        <v>152</v>
      </c>
      <c r="F38" s="20" t="s">
        <v>152</v>
      </c>
      <c r="G38" s="123">
        <v>0</v>
      </c>
      <c r="H38" s="122">
        <v>-837</v>
      </c>
      <c r="I38" s="122">
        <v>-1593</v>
      </c>
      <c r="J38" s="122">
        <v>-3754</v>
      </c>
      <c r="K38" s="122">
        <v>0</v>
      </c>
      <c r="L38" s="122">
        <v>-1073</v>
      </c>
      <c r="M38" s="122">
        <v>-113</v>
      </c>
      <c r="N38" s="122">
        <v>-359</v>
      </c>
      <c r="O38" s="122">
        <v>0</v>
      </c>
      <c r="P38" s="122">
        <v>-118</v>
      </c>
      <c r="Q38" s="122">
        <v>-1</v>
      </c>
      <c r="R38" s="287">
        <v>-2491</v>
      </c>
    </row>
    <row r="39" spans="1:18" s="115" customFormat="1" ht="15.6" x14ac:dyDescent="0.3">
      <c r="A39" s="13" t="s">
        <v>26</v>
      </c>
      <c r="B39" s="38" t="s">
        <v>152</v>
      </c>
      <c r="C39" s="38" t="s">
        <v>152</v>
      </c>
      <c r="D39" s="38" t="s">
        <v>152</v>
      </c>
      <c r="E39" s="20" t="s">
        <v>152</v>
      </c>
      <c r="F39" s="20" t="s">
        <v>152</v>
      </c>
      <c r="G39" s="123">
        <v>-1955</v>
      </c>
      <c r="H39" s="122">
        <v>-253</v>
      </c>
      <c r="I39" s="122">
        <v>-86</v>
      </c>
      <c r="J39" s="122">
        <v>-1426</v>
      </c>
      <c r="K39" s="122">
        <v>-46</v>
      </c>
      <c r="L39" s="122">
        <v>-1</v>
      </c>
      <c r="M39" s="122">
        <v>-91</v>
      </c>
      <c r="N39" s="122">
        <v>40</v>
      </c>
      <c r="O39" s="122">
        <v>-58</v>
      </c>
      <c r="P39" s="122">
        <v>-1</v>
      </c>
      <c r="Q39" s="122">
        <v>0</v>
      </c>
      <c r="R39" s="287">
        <v>-3</v>
      </c>
    </row>
    <row r="40" spans="1:18" s="115" customFormat="1" ht="15.6" x14ac:dyDescent="0.3">
      <c r="A40" s="13" t="s">
        <v>27</v>
      </c>
      <c r="B40" s="38" t="s">
        <v>152</v>
      </c>
      <c r="C40" s="38" t="s">
        <v>152</v>
      </c>
      <c r="D40" s="38" t="s">
        <v>152</v>
      </c>
      <c r="E40" s="23" t="s">
        <v>152</v>
      </c>
      <c r="F40" s="20" t="s">
        <v>152</v>
      </c>
      <c r="G40" s="123">
        <v>-1365</v>
      </c>
      <c r="H40" s="122">
        <v>-3</v>
      </c>
      <c r="I40" s="122">
        <v>-1</v>
      </c>
      <c r="J40" s="122">
        <v>-77</v>
      </c>
      <c r="K40" s="122">
        <v>-178</v>
      </c>
      <c r="L40" s="122">
        <v>-52</v>
      </c>
      <c r="M40" s="122">
        <v>-30</v>
      </c>
      <c r="N40" s="122">
        <v>-117</v>
      </c>
      <c r="O40" s="122">
        <v>-879</v>
      </c>
      <c r="P40" s="122">
        <v>-8</v>
      </c>
      <c r="Q40" s="122">
        <v>-40</v>
      </c>
      <c r="R40" s="287">
        <v>0</v>
      </c>
    </row>
    <row r="41" spans="1:18" s="115" customFormat="1" ht="15.6" x14ac:dyDescent="0.3">
      <c r="A41" s="13" t="s">
        <v>28</v>
      </c>
      <c r="B41" s="38" t="s">
        <v>152</v>
      </c>
      <c r="C41" s="38" t="s">
        <v>152</v>
      </c>
      <c r="D41" s="38" t="s">
        <v>152</v>
      </c>
      <c r="E41" s="20" t="s">
        <v>152</v>
      </c>
      <c r="F41" s="20" t="s">
        <v>152</v>
      </c>
      <c r="G41" s="123">
        <v>0</v>
      </c>
      <c r="H41" s="122">
        <v>-11</v>
      </c>
      <c r="I41" s="122">
        <v>0</v>
      </c>
      <c r="J41" s="122">
        <v>-312</v>
      </c>
      <c r="K41" s="122">
        <v>0</v>
      </c>
      <c r="L41" s="122">
        <v>-11</v>
      </c>
      <c r="M41" s="122">
        <v>-33</v>
      </c>
      <c r="N41" s="122">
        <v>0</v>
      </c>
      <c r="O41" s="122">
        <v>-2308</v>
      </c>
      <c r="P41" s="122">
        <v>-588</v>
      </c>
      <c r="Q41" s="122">
        <v>0</v>
      </c>
      <c r="R41" s="287">
        <v>-2566</v>
      </c>
    </row>
    <row r="42" spans="1:18" s="115" customFormat="1" ht="15.6" x14ac:dyDescent="0.3">
      <c r="A42" s="13" t="s">
        <v>29</v>
      </c>
      <c r="B42" s="38" t="s">
        <v>152</v>
      </c>
      <c r="C42" s="38" t="s">
        <v>152</v>
      </c>
      <c r="D42" s="38" t="s">
        <v>152</v>
      </c>
      <c r="E42" s="20" t="s">
        <v>152</v>
      </c>
      <c r="F42" s="20" t="s">
        <v>152</v>
      </c>
      <c r="G42" s="123">
        <v>-1</v>
      </c>
      <c r="H42" s="122">
        <v>-588</v>
      </c>
      <c r="I42" s="122">
        <v>-3807</v>
      </c>
      <c r="J42" s="122">
        <v>-1</v>
      </c>
      <c r="K42" s="122">
        <v>0</v>
      </c>
      <c r="L42" s="122">
        <v>0</v>
      </c>
      <c r="M42" s="122">
        <v>-823</v>
      </c>
      <c r="N42" s="122">
        <v>-1562</v>
      </c>
      <c r="O42" s="122">
        <v>-813</v>
      </c>
      <c r="P42" s="122">
        <v>-58</v>
      </c>
      <c r="Q42" s="122">
        <v>-1</v>
      </c>
      <c r="R42" s="287">
        <v>0</v>
      </c>
    </row>
    <row r="43" spans="1:18" s="115" customFormat="1" ht="15.6" x14ac:dyDescent="0.3">
      <c r="A43" s="13" t="s">
        <v>30</v>
      </c>
      <c r="B43" s="38" t="s">
        <v>152</v>
      </c>
      <c r="C43" s="38" t="s">
        <v>152</v>
      </c>
      <c r="D43" s="38" t="s">
        <v>152</v>
      </c>
      <c r="E43" s="20" t="s">
        <v>152</v>
      </c>
      <c r="F43" s="20" t="s">
        <v>152</v>
      </c>
      <c r="G43" s="123">
        <v>-116</v>
      </c>
      <c r="H43" s="122">
        <v>0</v>
      </c>
      <c r="I43" s="122">
        <v>-668</v>
      </c>
      <c r="J43" s="122">
        <v>-3393</v>
      </c>
      <c r="K43" s="122">
        <v>0</v>
      </c>
      <c r="L43" s="122">
        <v>-78</v>
      </c>
      <c r="M43" s="122">
        <v>-2452</v>
      </c>
      <c r="N43" s="122">
        <v>-9130</v>
      </c>
      <c r="O43" s="122">
        <v>0</v>
      </c>
      <c r="P43" s="122">
        <v>0</v>
      </c>
      <c r="Q43" s="296">
        <v>-32</v>
      </c>
      <c r="R43" s="295" t="s">
        <v>152</v>
      </c>
    </row>
    <row r="44" spans="1:18" s="115" customFormat="1" ht="15.6" x14ac:dyDescent="0.3">
      <c r="A44" s="13" t="s">
        <v>31</v>
      </c>
      <c r="B44" s="38" t="s">
        <v>152</v>
      </c>
      <c r="C44" s="38" t="s">
        <v>152</v>
      </c>
      <c r="D44" s="38" t="s">
        <v>152</v>
      </c>
      <c r="E44" s="20" t="s">
        <v>152</v>
      </c>
      <c r="F44" s="20" t="s">
        <v>152</v>
      </c>
      <c r="G44" s="123">
        <v>-8</v>
      </c>
      <c r="H44" s="122">
        <v>-14</v>
      </c>
      <c r="I44" s="122">
        <v>-3</v>
      </c>
      <c r="J44" s="122">
        <v>-413</v>
      </c>
      <c r="K44" s="122">
        <v>-5537</v>
      </c>
      <c r="L44" s="122">
        <v>-1374</v>
      </c>
      <c r="M44" s="122">
        <v>-104</v>
      </c>
      <c r="N44" s="122">
        <v>-132</v>
      </c>
      <c r="O44" s="122">
        <v>0</v>
      </c>
      <c r="P44" s="122">
        <v>0</v>
      </c>
      <c r="Q44" s="296">
        <v>0</v>
      </c>
      <c r="R44" s="295" t="s">
        <v>152</v>
      </c>
    </row>
    <row r="45" spans="1:18" s="115" customFormat="1" ht="15.6" x14ac:dyDescent="0.3">
      <c r="A45" s="13" t="s">
        <v>32</v>
      </c>
      <c r="B45" s="38" t="s">
        <v>152</v>
      </c>
      <c r="C45" s="38" t="s">
        <v>152</v>
      </c>
      <c r="D45" s="38" t="s">
        <v>152</v>
      </c>
      <c r="E45" s="20" t="s">
        <v>152</v>
      </c>
      <c r="F45" s="20" t="s">
        <v>152</v>
      </c>
      <c r="G45" s="123">
        <v>-530</v>
      </c>
      <c r="H45" s="122">
        <v>-40</v>
      </c>
      <c r="I45" s="122">
        <v>-258</v>
      </c>
      <c r="J45" s="122">
        <v>0</v>
      </c>
      <c r="K45" s="122">
        <v>-343</v>
      </c>
      <c r="L45" s="122">
        <v>0</v>
      </c>
      <c r="M45" s="122">
        <v>-1212</v>
      </c>
      <c r="N45" s="122">
        <v>0</v>
      </c>
      <c r="O45" s="122">
        <v>0</v>
      </c>
      <c r="P45" s="122">
        <v>-29</v>
      </c>
      <c r="Q45" s="296">
        <v>0</v>
      </c>
      <c r="R45" s="295" t="s">
        <v>152</v>
      </c>
    </row>
    <row r="46" spans="1:18" s="115" customFormat="1" ht="15.6" x14ac:dyDescent="0.3">
      <c r="A46" s="13" t="s">
        <v>33</v>
      </c>
      <c r="B46" s="38" t="s">
        <v>152</v>
      </c>
      <c r="C46" s="38" t="s">
        <v>152</v>
      </c>
      <c r="D46" s="38" t="s">
        <v>152</v>
      </c>
      <c r="E46" s="20" t="s">
        <v>152</v>
      </c>
      <c r="F46" s="20" t="s">
        <v>152</v>
      </c>
      <c r="G46" s="123">
        <v>-6</v>
      </c>
      <c r="H46" s="122">
        <v>0</v>
      </c>
      <c r="I46" s="122">
        <v>-39</v>
      </c>
      <c r="J46" s="122">
        <v>-32</v>
      </c>
      <c r="K46" s="122">
        <v>-9584</v>
      </c>
      <c r="L46" s="122">
        <v>-4</v>
      </c>
      <c r="M46" s="122">
        <v>-1</v>
      </c>
      <c r="N46" s="122">
        <v>-700</v>
      </c>
      <c r="O46" s="122">
        <v>-12</v>
      </c>
      <c r="P46" s="122">
        <v>-80</v>
      </c>
      <c r="Q46" s="296">
        <v>0</v>
      </c>
      <c r="R46" s="295" t="s">
        <v>152</v>
      </c>
    </row>
    <row r="47" spans="1:18" s="115" customFormat="1" ht="15.6" x14ac:dyDescent="0.3">
      <c r="A47" s="13" t="s">
        <v>34</v>
      </c>
      <c r="B47" s="38" t="s">
        <v>152</v>
      </c>
      <c r="C47" s="38" t="s">
        <v>152</v>
      </c>
      <c r="D47" s="38" t="s">
        <v>152</v>
      </c>
      <c r="E47" s="20" t="s">
        <v>152</v>
      </c>
      <c r="F47" s="20" t="s">
        <v>152</v>
      </c>
      <c r="G47" s="123">
        <v>-1264</v>
      </c>
      <c r="H47" s="122">
        <v>-20196</v>
      </c>
      <c r="I47" s="122">
        <v>-43</v>
      </c>
      <c r="J47" s="122">
        <v>0</v>
      </c>
      <c r="K47" s="122">
        <v>0</v>
      </c>
      <c r="L47" s="122">
        <v>-5207</v>
      </c>
      <c r="M47" s="122">
        <v>-441</v>
      </c>
      <c r="N47" s="122">
        <v>0</v>
      </c>
      <c r="O47" s="122">
        <v>0</v>
      </c>
      <c r="P47" s="122">
        <v>-134</v>
      </c>
      <c r="Q47" s="296">
        <v>-3</v>
      </c>
      <c r="R47" s="295" t="s">
        <v>152</v>
      </c>
    </row>
    <row r="48" spans="1:18" s="115" customFormat="1" ht="16.2" thickBot="1" x14ac:dyDescent="0.35">
      <c r="A48" s="100" t="s">
        <v>36</v>
      </c>
      <c r="B48" s="14" t="s">
        <v>152</v>
      </c>
      <c r="C48" s="14" t="s">
        <v>152</v>
      </c>
      <c r="D48" s="14" t="s">
        <v>152</v>
      </c>
      <c r="E48" s="39" t="s">
        <v>152</v>
      </c>
      <c r="F48" s="262">
        <v>-5</v>
      </c>
      <c r="G48" s="126">
        <v>-14</v>
      </c>
      <c r="H48" s="127">
        <v>-163</v>
      </c>
      <c r="I48" s="127">
        <v>-859</v>
      </c>
      <c r="J48" s="127">
        <v>-109</v>
      </c>
      <c r="K48" s="127">
        <v>-441</v>
      </c>
      <c r="L48" s="127">
        <v>-1495</v>
      </c>
      <c r="M48" s="127">
        <v>-423</v>
      </c>
      <c r="N48" s="127">
        <v>-1933</v>
      </c>
      <c r="O48" s="127">
        <v>-17</v>
      </c>
      <c r="P48" s="127">
        <v>-165</v>
      </c>
      <c r="Q48" s="294">
        <v>0</v>
      </c>
      <c r="R48" s="292" t="s">
        <v>152</v>
      </c>
    </row>
    <row r="49" spans="1:18" s="115" customFormat="1" ht="16.2" thickTop="1" x14ac:dyDescent="0.3">
      <c r="A49" s="94" t="s">
        <v>37</v>
      </c>
      <c r="B49" s="102" t="s">
        <v>152</v>
      </c>
      <c r="C49" s="58" t="s">
        <v>152</v>
      </c>
      <c r="D49" s="58" t="s">
        <v>152</v>
      </c>
      <c r="E49" s="59" t="s">
        <v>152</v>
      </c>
      <c r="F49" s="261">
        <f t="shared" ref="F49:K49" si="6">SUM(F37:F48)</f>
        <v>-5</v>
      </c>
      <c r="G49" s="261">
        <f t="shared" si="6"/>
        <v>-5259</v>
      </c>
      <c r="H49" s="261">
        <f t="shared" si="6"/>
        <v>-22105</v>
      </c>
      <c r="I49" s="261">
        <f t="shared" si="6"/>
        <v>-7462</v>
      </c>
      <c r="J49" s="261">
        <f t="shared" si="6"/>
        <v>-10060</v>
      </c>
      <c r="K49" s="261">
        <f t="shared" si="6"/>
        <v>-16134</v>
      </c>
      <c r="L49" s="261">
        <f t="shared" ref="L49:Q49" si="7">SUM(L37:L48)</f>
        <v>-10499</v>
      </c>
      <c r="M49" s="261">
        <f t="shared" si="7"/>
        <v>-5854</v>
      </c>
      <c r="N49" s="261">
        <f t="shared" si="7"/>
        <v>-14684</v>
      </c>
      <c r="O49" s="261">
        <f t="shared" si="7"/>
        <v>-4094</v>
      </c>
      <c r="P49" s="261">
        <f t="shared" si="7"/>
        <v>-1836</v>
      </c>
      <c r="Q49" s="261">
        <f t="shared" si="7"/>
        <v>-127</v>
      </c>
      <c r="R49" s="288">
        <f t="shared" ref="R49" si="8">SUM(R37:R48)</f>
        <v>-5081</v>
      </c>
    </row>
    <row r="50" spans="1:18" s="116" customFormat="1" ht="6.6" x14ac:dyDescent="0.15">
      <c r="A50" s="367" t="s">
        <v>174</v>
      </c>
      <c r="B50" s="367"/>
      <c r="C50" s="367"/>
      <c r="D50" s="367"/>
      <c r="E50" s="367"/>
      <c r="F50" s="367"/>
      <c r="G50" s="367"/>
      <c r="H50" s="367"/>
      <c r="I50" s="367"/>
      <c r="J50" s="367"/>
      <c r="K50" s="367"/>
      <c r="L50" s="367"/>
      <c r="M50" s="367"/>
      <c r="N50" s="367"/>
      <c r="O50" s="367"/>
      <c r="P50" s="367"/>
      <c r="Q50" s="367"/>
      <c r="R50" s="367"/>
    </row>
    <row r="51" spans="1:18" s="117" customFormat="1" ht="13.8" x14ac:dyDescent="0.3">
      <c r="A51" s="366" t="s">
        <v>154</v>
      </c>
      <c r="B51" s="366"/>
      <c r="C51" s="366"/>
      <c r="D51" s="366"/>
      <c r="E51" s="366"/>
      <c r="F51" s="366"/>
      <c r="G51" s="366"/>
      <c r="H51" s="366"/>
      <c r="I51" s="366"/>
      <c r="J51" s="366"/>
      <c r="K51" s="366"/>
      <c r="L51" s="366"/>
      <c r="M51" s="366"/>
      <c r="N51" s="366"/>
      <c r="O51" s="366"/>
      <c r="P51" s="366"/>
      <c r="Q51" s="366"/>
      <c r="R51" s="366"/>
    </row>
    <row r="52" spans="1:18" s="117" customFormat="1" ht="13.8" x14ac:dyDescent="0.3">
      <c r="A52" s="363" t="s">
        <v>39</v>
      </c>
      <c r="B52" s="363"/>
      <c r="C52" s="363"/>
      <c r="D52" s="363"/>
      <c r="E52" s="363"/>
      <c r="F52" s="363"/>
      <c r="G52" s="363"/>
      <c r="H52" s="363"/>
      <c r="I52" s="363"/>
      <c r="J52" s="363"/>
      <c r="K52" s="363"/>
      <c r="L52" s="363"/>
      <c r="M52" s="363"/>
      <c r="N52" s="363"/>
      <c r="O52" s="363"/>
      <c r="P52" s="363"/>
      <c r="Q52" s="363"/>
      <c r="R52" s="363"/>
    </row>
    <row r="53" spans="1:18" s="117" customFormat="1" ht="13.8" x14ac:dyDescent="0.3">
      <c r="A53" s="364" t="str">
        <f>'Local SUT'!A60</f>
        <v>Source:  Minnesota Department of Revenue, Tax Research Division, February 2021</v>
      </c>
      <c r="B53" s="364"/>
      <c r="C53" s="364"/>
      <c r="D53" s="364"/>
      <c r="E53" s="364"/>
      <c r="F53" s="364"/>
      <c r="G53" s="364"/>
      <c r="H53" s="364"/>
      <c r="I53" s="364"/>
      <c r="J53" s="364"/>
      <c r="K53" s="364"/>
      <c r="L53" s="364"/>
      <c r="M53" s="364"/>
      <c r="N53" s="364"/>
      <c r="O53" s="364"/>
      <c r="P53" s="364"/>
      <c r="Q53" s="364"/>
      <c r="R53" s="364"/>
    </row>
    <row r="54" spans="1:18" s="117" customFormat="1" ht="13.8" x14ac:dyDescent="0.3">
      <c r="A54" s="365" t="s">
        <v>151</v>
      </c>
      <c r="B54" s="365"/>
      <c r="C54" s="365"/>
      <c r="D54" s="365"/>
      <c r="E54" s="365"/>
      <c r="F54" s="365"/>
      <c r="G54" s="365"/>
      <c r="H54" s="365"/>
      <c r="I54" s="365"/>
      <c r="J54" s="365"/>
      <c r="K54" s="365"/>
      <c r="L54" s="365"/>
      <c r="M54" s="365"/>
      <c r="N54" s="365"/>
      <c r="O54" s="365"/>
      <c r="P54" s="365"/>
      <c r="Q54" s="365"/>
      <c r="R54" s="365"/>
    </row>
  </sheetData>
  <mergeCells count="12">
    <mergeCell ref="A50:R50"/>
    <mergeCell ref="A51:R51"/>
    <mergeCell ref="A52:R52"/>
    <mergeCell ref="A53:R53"/>
    <mergeCell ref="A54:R54"/>
    <mergeCell ref="A34:R34"/>
    <mergeCell ref="A35:R35"/>
    <mergeCell ref="A1:R1"/>
    <mergeCell ref="A2:R2"/>
    <mergeCell ref="A3:R3"/>
    <mergeCell ref="A18:R18"/>
    <mergeCell ref="A19:R19"/>
  </mergeCells>
  <pageMargins left="0" right="0" top="0.75" bottom="0.75" header="0.3" footer="0.3"/>
  <pageSetup scale="83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pageSetUpPr fitToPage="1"/>
  </sheetPr>
  <dimension ref="A1:R54"/>
  <sheetViews>
    <sheetView showGridLines="0" workbookViewId="0">
      <pane ySplit="1" topLeftCell="A2" activePane="bottomLeft" state="frozen"/>
      <selection pane="bottomLeft" sqref="A1:R1"/>
    </sheetView>
  </sheetViews>
  <sheetFormatPr defaultColWidth="12.5546875" defaultRowHeight="14.4" x14ac:dyDescent="0.3"/>
  <cols>
    <col min="1" max="1" width="12.5546875" style="103" customWidth="1"/>
    <col min="2" max="5" width="13.5546875" style="145" hidden="1" customWidth="1"/>
    <col min="6" max="18" width="13.5546875" style="145" customWidth="1"/>
    <col min="19" max="16384" width="12.5546875" style="145"/>
  </cols>
  <sheetData>
    <row r="1" spans="1:18" s="129" customFormat="1" ht="21" x14ac:dyDescent="0.4">
      <c r="A1" s="359" t="s">
        <v>193</v>
      </c>
      <c r="B1" s="359"/>
      <c r="C1" s="359"/>
      <c r="D1" s="359"/>
      <c r="E1" s="359"/>
      <c r="F1" s="359"/>
      <c r="G1" s="359"/>
      <c r="H1" s="359"/>
      <c r="I1" s="359"/>
      <c r="J1" s="359"/>
      <c r="K1" s="359"/>
      <c r="L1" s="359"/>
      <c r="M1" s="359"/>
      <c r="N1" s="359"/>
      <c r="O1" s="359"/>
      <c r="P1" s="359"/>
      <c r="Q1" s="359"/>
      <c r="R1" s="359"/>
    </row>
    <row r="2" spans="1:18" s="120" customFormat="1" ht="18" x14ac:dyDescent="0.35">
      <c r="A2" s="360" t="str">
        <f>'Local SUT'!A2</f>
        <v>CY 2004-2020</v>
      </c>
      <c r="B2" s="360"/>
      <c r="C2" s="360"/>
      <c r="D2" s="360"/>
      <c r="E2" s="360"/>
      <c r="F2" s="360"/>
      <c r="G2" s="360"/>
      <c r="H2" s="360"/>
      <c r="I2" s="360"/>
      <c r="J2" s="360"/>
      <c r="K2" s="360"/>
      <c r="L2" s="360"/>
      <c r="M2" s="360"/>
      <c r="N2" s="360"/>
      <c r="O2" s="360"/>
      <c r="P2" s="360"/>
      <c r="Q2" s="360"/>
      <c r="R2" s="360"/>
    </row>
    <row r="3" spans="1:18" s="120" customFormat="1" ht="18" x14ac:dyDescent="0.35">
      <c r="A3" s="361" t="s">
        <v>48</v>
      </c>
      <c r="B3" s="361"/>
      <c r="C3" s="361"/>
      <c r="D3" s="361"/>
      <c r="E3" s="361"/>
      <c r="F3" s="361"/>
      <c r="G3" s="361"/>
      <c r="H3" s="361"/>
      <c r="I3" s="361"/>
      <c r="J3" s="361"/>
      <c r="K3" s="361"/>
      <c r="L3" s="361"/>
      <c r="M3" s="361"/>
      <c r="N3" s="361"/>
      <c r="O3" s="361"/>
      <c r="P3" s="361"/>
      <c r="Q3" s="361"/>
      <c r="R3" s="361"/>
    </row>
    <row r="4" spans="1:18" s="115" customFormat="1" ht="15.6" x14ac:dyDescent="0.3">
      <c r="A4" s="95" t="s">
        <v>23</v>
      </c>
      <c r="B4" s="146">
        <v>2004</v>
      </c>
      <c r="C4" s="146">
        <v>2005</v>
      </c>
      <c r="D4" s="146">
        <v>2006</v>
      </c>
      <c r="E4" s="146">
        <v>2007</v>
      </c>
      <c r="F4" s="146">
        <v>2008</v>
      </c>
      <c r="G4" s="167">
        <v>2009</v>
      </c>
      <c r="H4" s="53">
        <v>2010</v>
      </c>
      <c r="I4" s="146">
        <v>2011</v>
      </c>
      <c r="J4" s="54">
        <v>2012</v>
      </c>
      <c r="K4" s="147">
        <v>2013</v>
      </c>
      <c r="L4" s="168">
        <v>2014</v>
      </c>
      <c r="M4" s="168">
        <v>2015</v>
      </c>
      <c r="N4" s="168">
        <v>2016</v>
      </c>
      <c r="O4" s="168">
        <v>2017</v>
      </c>
      <c r="P4" s="54">
        <v>2018</v>
      </c>
      <c r="Q4" s="54">
        <v>2019</v>
      </c>
      <c r="R4" s="49">
        <v>2020</v>
      </c>
    </row>
    <row r="5" spans="1:18" s="115" customFormat="1" ht="15.6" x14ac:dyDescent="0.3">
      <c r="A5" s="36" t="s">
        <v>24</v>
      </c>
      <c r="B5" s="148" t="s">
        <v>152</v>
      </c>
      <c r="C5" s="149" t="s">
        <v>152</v>
      </c>
      <c r="D5" s="149" t="s">
        <v>152</v>
      </c>
      <c r="E5" s="149" t="s">
        <v>152</v>
      </c>
      <c r="F5" s="149" t="s">
        <v>152</v>
      </c>
      <c r="G5" s="260">
        <v>9666</v>
      </c>
      <c r="H5" s="259">
        <v>11553</v>
      </c>
      <c r="I5" s="259">
        <v>12374</v>
      </c>
      <c r="J5" s="259">
        <v>15459</v>
      </c>
      <c r="K5" s="259">
        <v>13943</v>
      </c>
      <c r="L5" s="259">
        <v>16042</v>
      </c>
      <c r="M5" s="259">
        <v>15952</v>
      </c>
      <c r="N5" s="259">
        <v>18623</v>
      </c>
      <c r="O5" s="259">
        <v>19999</v>
      </c>
      <c r="P5" s="259">
        <v>19206</v>
      </c>
      <c r="Q5" s="268">
        <v>19866</v>
      </c>
      <c r="R5" s="286">
        <v>22222</v>
      </c>
    </row>
    <row r="6" spans="1:18" s="115" customFormat="1" ht="15.6" x14ac:dyDescent="0.3">
      <c r="A6" s="13" t="s">
        <v>25</v>
      </c>
      <c r="B6" s="150" t="s">
        <v>152</v>
      </c>
      <c r="C6" s="151" t="s">
        <v>152</v>
      </c>
      <c r="D6" s="151" t="s">
        <v>152</v>
      </c>
      <c r="E6" s="151" t="s">
        <v>152</v>
      </c>
      <c r="F6" s="20" t="s">
        <v>152</v>
      </c>
      <c r="G6" s="123">
        <v>8292</v>
      </c>
      <c r="H6" s="122">
        <v>11008</v>
      </c>
      <c r="I6" s="122">
        <v>12673</v>
      </c>
      <c r="J6" s="122">
        <v>11953</v>
      </c>
      <c r="K6" s="122">
        <v>12963</v>
      </c>
      <c r="L6" s="122">
        <v>13014</v>
      </c>
      <c r="M6" s="122">
        <v>14506</v>
      </c>
      <c r="N6" s="122">
        <v>15376</v>
      </c>
      <c r="O6" s="122">
        <v>15349</v>
      </c>
      <c r="P6" s="122">
        <v>14690</v>
      </c>
      <c r="Q6" s="122">
        <v>17616</v>
      </c>
      <c r="R6" s="287">
        <v>18527</v>
      </c>
    </row>
    <row r="7" spans="1:18" s="115" customFormat="1" ht="15.6" x14ac:dyDescent="0.3">
      <c r="A7" s="13" t="s">
        <v>26</v>
      </c>
      <c r="B7" s="150" t="s">
        <v>152</v>
      </c>
      <c r="C7" s="151" t="s">
        <v>152</v>
      </c>
      <c r="D7" s="151" t="s">
        <v>152</v>
      </c>
      <c r="E7" s="151" t="s">
        <v>152</v>
      </c>
      <c r="F7" s="20" t="s">
        <v>152</v>
      </c>
      <c r="G7" s="123">
        <v>8625</v>
      </c>
      <c r="H7" s="122">
        <v>9913</v>
      </c>
      <c r="I7" s="122">
        <v>13950</v>
      </c>
      <c r="J7" s="122">
        <v>12464</v>
      </c>
      <c r="K7" s="122">
        <v>12379</v>
      </c>
      <c r="L7" s="122">
        <v>13065</v>
      </c>
      <c r="M7" s="122">
        <v>15212</v>
      </c>
      <c r="N7" s="122">
        <v>15888</v>
      </c>
      <c r="O7" s="122">
        <v>16280</v>
      </c>
      <c r="P7" s="122">
        <v>14091</v>
      </c>
      <c r="Q7" s="122">
        <v>16669</v>
      </c>
      <c r="R7" s="287">
        <v>19178</v>
      </c>
    </row>
    <row r="8" spans="1:18" s="115" customFormat="1" ht="15.6" x14ac:dyDescent="0.3">
      <c r="A8" s="13" t="s">
        <v>27</v>
      </c>
      <c r="B8" s="150" t="s">
        <v>152</v>
      </c>
      <c r="C8" s="151" t="s">
        <v>152</v>
      </c>
      <c r="D8" s="151" t="s">
        <v>152</v>
      </c>
      <c r="E8" s="151" t="s">
        <v>152</v>
      </c>
      <c r="F8" s="20" t="s">
        <v>152</v>
      </c>
      <c r="G8" s="123">
        <v>8741</v>
      </c>
      <c r="H8" s="122">
        <v>11133</v>
      </c>
      <c r="I8" s="122">
        <v>14076</v>
      </c>
      <c r="J8" s="122">
        <v>13610</v>
      </c>
      <c r="K8" s="122">
        <v>13107</v>
      </c>
      <c r="L8" s="122">
        <v>14018</v>
      </c>
      <c r="M8" s="122">
        <v>16617</v>
      </c>
      <c r="N8" s="122">
        <v>18210</v>
      </c>
      <c r="O8" s="122">
        <v>17795</v>
      </c>
      <c r="P8" s="122">
        <v>16368</v>
      </c>
      <c r="Q8" s="122">
        <v>18413</v>
      </c>
      <c r="R8" s="287">
        <v>17362</v>
      </c>
    </row>
    <row r="9" spans="1:18" s="115" customFormat="1" ht="15.6" x14ac:dyDescent="0.3">
      <c r="A9" s="13" t="s">
        <v>28</v>
      </c>
      <c r="B9" s="150" t="s">
        <v>152</v>
      </c>
      <c r="C9" s="151" t="s">
        <v>152</v>
      </c>
      <c r="D9" s="151" t="s">
        <v>152</v>
      </c>
      <c r="E9" s="151" t="s">
        <v>152</v>
      </c>
      <c r="F9" s="20" t="s">
        <v>152</v>
      </c>
      <c r="G9" s="123">
        <v>9348</v>
      </c>
      <c r="H9" s="122">
        <v>11636</v>
      </c>
      <c r="I9" s="122">
        <v>14414</v>
      </c>
      <c r="J9" s="122">
        <v>13790</v>
      </c>
      <c r="K9" s="122">
        <v>12860</v>
      </c>
      <c r="L9" s="122">
        <v>14426</v>
      </c>
      <c r="M9" s="122">
        <v>19035</v>
      </c>
      <c r="N9" s="122">
        <v>16432</v>
      </c>
      <c r="O9" s="122">
        <v>20154</v>
      </c>
      <c r="P9" s="122">
        <v>16214</v>
      </c>
      <c r="Q9" s="122">
        <v>34030</v>
      </c>
      <c r="R9" s="287">
        <v>17726</v>
      </c>
    </row>
    <row r="10" spans="1:18" s="115" customFormat="1" ht="15.6" x14ac:dyDescent="0.3">
      <c r="A10" s="13" t="s">
        <v>29</v>
      </c>
      <c r="B10" s="150" t="s">
        <v>152</v>
      </c>
      <c r="C10" s="151" t="s">
        <v>152</v>
      </c>
      <c r="D10" s="151" t="s">
        <v>152</v>
      </c>
      <c r="E10" s="151" t="s">
        <v>152</v>
      </c>
      <c r="F10" s="20" t="s">
        <v>152</v>
      </c>
      <c r="G10" s="123">
        <v>11158</v>
      </c>
      <c r="H10" s="122">
        <v>14401</v>
      </c>
      <c r="I10" s="122">
        <v>25375</v>
      </c>
      <c r="J10" s="122">
        <v>15800</v>
      </c>
      <c r="K10" s="122">
        <v>16264</v>
      </c>
      <c r="L10" s="122">
        <v>18486</v>
      </c>
      <c r="M10" s="122">
        <v>18849</v>
      </c>
      <c r="N10" s="122">
        <v>20898</v>
      </c>
      <c r="O10" s="122">
        <v>22506</v>
      </c>
      <c r="P10" s="122">
        <v>20973</v>
      </c>
      <c r="Q10" s="122">
        <v>21085</v>
      </c>
      <c r="R10" s="287">
        <v>22591</v>
      </c>
    </row>
    <row r="11" spans="1:18" s="115" customFormat="1" ht="15.6" x14ac:dyDescent="0.3">
      <c r="A11" s="13" t="s">
        <v>30</v>
      </c>
      <c r="B11" s="150" t="s">
        <v>152</v>
      </c>
      <c r="C11" s="151" t="s">
        <v>152</v>
      </c>
      <c r="D11" s="151" t="s">
        <v>152</v>
      </c>
      <c r="E11" s="151" t="s">
        <v>152</v>
      </c>
      <c r="F11" s="20" t="s">
        <v>152</v>
      </c>
      <c r="G11" s="123">
        <v>11479</v>
      </c>
      <c r="H11" s="122">
        <v>13108</v>
      </c>
      <c r="I11" s="122">
        <v>13570</v>
      </c>
      <c r="J11" s="122">
        <v>13375</v>
      </c>
      <c r="K11" s="122">
        <v>8758</v>
      </c>
      <c r="L11" s="122">
        <v>15312</v>
      </c>
      <c r="M11" s="122">
        <v>13733</v>
      </c>
      <c r="N11" s="122">
        <v>15491</v>
      </c>
      <c r="O11" s="122">
        <v>19116</v>
      </c>
      <c r="P11" s="122">
        <v>15989</v>
      </c>
      <c r="Q11" s="297">
        <v>14528</v>
      </c>
      <c r="R11" s="291" t="s">
        <v>152</v>
      </c>
    </row>
    <row r="12" spans="1:18" s="115" customFormat="1" ht="15.6" x14ac:dyDescent="0.3">
      <c r="A12" s="13" t="s">
        <v>31</v>
      </c>
      <c r="B12" s="150" t="s">
        <v>152</v>
      </c>
      <c r="C12" s="151" t="s">
        <v>152</v>
      </c>
      <c r="D12" s="151" t="s">
        <v>152</v>
      </c>
      <c r="E12" s="151" t="s">
        <v>152</v>
      </c>
      <c r="F12" s="20" t="s">
        <v>152</v>
      </c>
      <c r="G12" s="123">
        <v>18003</v>
      </c>
      <c r="H12" s="122">
        <v>20567</v>
      </c>
      <c r="I12" s="122">
        <v>20877</v>
      </c>
      <c r="J12" s="122">
        <v>19953</v>
      </c>
      <c r="K12" s="122">
        <v>25424</v>
      </c>
      <c r="L12" s="122">
        <v>23320</v>
      </c>
      <c r="M12" s="122">
        <v>27895</v>
      </c>
      <c r="N12" s="122">
        <v>29907</v>
      </c>
      <c r="O12" s="122">
        <v>22505</v>
      </c>
      <c r="P12" s="122">
        <v>25956</v>
      </c>
      <c r="Q12" s="297">
        <v>33307</v>
      </c>
      <c r="R12" s="295" t="s">
        <v>152</v>
      </c>
    </row>
    <row r="13" spans="1:18" s="115" customFormat="1" ht="15.6" x14ac:dyDescent="0.3">
      <c r="A13" s="13" t="s">
        <v>32</v>
      </c>
      <c r="B13" s="150" t="s">
        <v>152</v>
      </c>
      <c r="C13" s="151" t="s">
        <v>152</v>
      </c>
      <c r="D13" s="151" t="s">
        <v>152</v>
      </c>
      <c r="E13" s="151" t="s">
        <v>152</v>
      </c>
      <c r="F13" s="20" t="s">
        <v>152</v>
      </c>
      <c r="G13" s="123">
        <v>14624</v>
      </c>
      <c r="H13" s="122">
        <v>15244</v>
      </c>
      <c r="I13" s="122">
        <v>21973</v>
      </c>
      <c r="J13" s="122">
        <v>18556</v>
      </c>
      <c r="K13" s="122">
        <v>18002</v>
      </c>
      <c r="L13" s="122">
        <v>19599</v>
      </c>
      <c r="M13" s="122">
        <v>19365</v>
      </c>
      <c r="N13" s="122">
        <v>20376</v>
      </c>
      <c r="O13" s="122">
        <v>19944</v>
      </c>
      <c r="P13" s="122">
        <v>22251</v>
      </c>
      <c r="Q13" s="297">
        <v>25448</v>
      </c>
      <c r="R13" s="295" t="s">
        <v>152</v>
      </c>
    </row>
    <row r="14" spans="1:18" s="115" customFormat="1" ht="15.6" x14ac:dyDescent="0.3">
      <c r="A14" s="13" t="s">
        <v>33</v>
      </c>
      <c r="B14" s="150" t="s">
        <v>152</v>
      </c>
      <c r="C14" s="151" t="s">
        <v>152</v>
      </c>
      <c r="D14" s="151" t="s">
        <v>152</v>
      </c>
      <c r="E14" s="151" t="s">
        <v>152</v>
      </c>
      <c r="F14" s="20" t="s">
        <v>152</v>
      </c>
      <c r="G14" s="123">
        <v>12871</v>
      </c>
      <c r="H14" s="122">
        <v>13745</v>
      </c>
      <c r="I14" s="122">
        <v>16235</v>
      </c>
      <c r="J14" s="122">
        <v>14700</v>
      </c>
      <c r="K14" s="122">
        <v>15303</v>
      </c>
      <c r="L14" s="122">
        <v>17021</v>
      </c>
      <c r="M14" s="122">
        <v>19465</v>
      </c>
      <c r="N14" s="122">
        <v>19729</v>
      </c>
      <c r="O14" s="122">
        <v>22082</v>
      </c>
      <c r="P14" s="122">
        <v>16851</v>
      </c>
      <c r="Q14" s="297">
        <v>22401</v>
      </c>
      <c r="R14" s="295" t="s">
        <v>152</v>
      </c>
    </row>
    <row r="15" spans="1:18" s="115" customFormat="1" ht="15.6" x14ac:dyDescent="0.3">
      <c r="A15" s="13" t="s">
        <v>34</v>
      </c>
      <c r="B15" s="150" t="s">
        <v>152</v>
      </c>
      <c r="C15" s="151" t="s">
        <v>152</v>
      </c>
      <c r="D15" s="151" t="s">
        <v>152</v>
      </c>
      <c r="E15" s="151" t="s">
        <v>152</v>
      </c>
      <c r="F15" s="20" t="s">
        <v>152</v>
      </c>
      <c r="G15" s="123">
        <v>11170</v>
      </c>
      <c r="H15" s="122">
        <v>17540</v>
      </c>
      <c r="I15" s="122">
        <v>14177</v>
      </c>
      <c r="J15" s="122">
        <v>13832</v>
      </c>
      <c r="K15" s="122">
        <v>14865</v>
      </c>
      <c r="L15" s="122">
        <v>16284</v>
      </c>
      <c r="M15" s="122">
        <v>16709</v>
      </c>
      <c r="N15" s="122">
        <v>16884</v>
      </c>
      <c r="O15" s="122">
        <v>18254</v>
      </c>
      <c r="P15" s="122">
        <v>19794</v>
      </c>
      <c r="Q15" s="297">
        <v>22316</v>
      </c>
      <c r="R15" s="295" t="s">
        <v>152</v>
      </c>
    </row>
    <row r="16" spans="1:18" s="115" customFormat="1" ht="16.2" thickBot="1" x14ac:dyDescent="0.35">
      <c r="A16" s="100" t="s">
        <v>36</v>
      </c>
      <c r="B16" s="152" t="s">
        <v>152</v>
      </c>
      <c r="C16" s="153" t="s">
        <v>152</v>
      </c>
      <c r="D16" s="153" t="s">
        <v>152</v>
      </c>
      <c r="E16" s="153" t="s">
        <v>152</v>
      </c>
      <c r="F16" s="267">
        <v>15274</v>
      </c>
      <c r="G16" s="126">
        <v>11101</v>
      </c>
      <c r="H16" s="127">
        <v>13117</v>
      </c>
      <c r="I16" s="127">
        <v>13485</v>
      </c>
      <c r="J16" s="127">
        <v>13454</v>
      </c>
      <c r="K16" s="127">
        <v>15764</v>
      </c>
      <c r="L16" s="127">
        <v>18358</v>
      </c>
      <c r="M16" s="127">
        <v>17119</v>
      </c>
      <c r="N16" s="127">
        <v>17976</v>
      </c>
      <c r="O16" s="127">
        <v>17500</v>
      </c>
      <c r="P16" s="127">
        <v>20842</v>
      </c>
      <c r="Q16" s="298">
        <v>19371</v>
      </c>
      <c r="R16" s="292" t="s">
        <v>152</v>
      </c>
    </row>
    <row r="17" spans="1:18" s="115" customFormat="1" ht="16.2" thickTop="1" x14ac:dyDescent="0.3">
      <c r="A17" s="94" t="s">
        <v>37</v>
      </c>
      <c r="B17" s="154" t="s">
        <v>152</v>
      </c>
      <c r="C17" s="155" t="s">
        <v>152</v>
      </c>
      <c r="D17" s="155" t="s">
        <v>152</v>
      </c>
      <c r="E17" s="155" t="s">
        <v>152</v>
      </c>
      <c r="F17" s="261">
        <f t="shared" ref="F17:K17" si="0">SUM(F5:F16)</f>
        <v>15274</v>
      </c>
      <c r="G17" s="261">
        <f t="shared" si="0"/>
        <v>135078</v>
      </c>
      <c r="H17" s="261">
        <f t="shared" si="0"/>
        <v>162965</v>
      </c>
      <c r="I17" s="261">
        <f t="shared" si="0"/>
        <v>193179</v>
      </c>
      <c r="J17" s="261">
        <f t="shared" si="0"/>
        <v>176946</v>
      </c>
      <c r="K17" s="261">
        <f t="shared" si="0"/>
        <v>179632</v>
      </c>
      <c r="L17" s="261">
        <f t="shared" ref="L17:R17" si="1">SUM(L5:L16)</f>
        <v>198945</v>
      </c>
      <c r="M17" s="261">
        <f t="shared" si="1"/>
        <v>214457</v>
      </c>
      <c r="N17" s="261">
        <f t="shared" si="1"/>
        <v>225790</v>
      </c>
      <c r="O17" s="261">
        <f t="shared" si="1"/>
        <v>231484</v>
      </c>
      <c r="P17" s="261">
        <f t="shared" si="1"/>
        <v>223225</v>
      </c>
      <c r="Q17" s="261">
        <f t="shared" si="1"/>
        <v>265050</v>
      </c>
      <c r="R17" s="288">
        <f t="shared" si="1"/>
        <v>117606</v>
      </c>
    </row>
    <row r="18" spans="1:18" s="116" customFormat="1" ht="6.6" x14ac:dyDescent="0.15">
      <c r="A18" s="367" t="s">
        <v>174</v>
      </c>
      <c r="B18" s="367"/>
      <c r="C18" s="367"/>
      <c r="D18" s="367"/>
      <c r="E18" s="367"/>
      <c r="F18" s="367"/>
      <c r="G18" s="367"/>
      <c r="H18" s="367"/>
      <c r="I18" s="367"/>
      <c r="J18" s="367"/>
      <c r="K18" s="367"/>
      <c r="L18" s="367"/>
      <c r="M18" s="367"/>
      <c r="N18" s="367"/>
      <c r="O18" s="367"/>
      <c r="P18" s="367"/>
      <c r="Q18" s="367"/>
      <c r="R18" s="367"/>
    </row>
    <row r="19" spans="1:18" s="120" customFormat="1" ht="18" x14ac:dyDescent="0.35">
      <c r="A19" s="361" t="s">
        <v>49</v>
      </c>
      <c r="B19" s="361"/>
      <c r="C19" s="361"/>
      <c r="D19" s="361"/>
      <c r="E19" s="361"/>
      <c r="F19" s="361"/>
      <c r="G19" s="361"/>
      <c r="H19" s="361"/>
      <c r="I19" s="361"/>
      <c r="J19" s="361"/>
      <c r="K19" s="361"/>
      <c r="L19" s="361"/>
      <c r="M19" s="361"/>
      <c r="N19" s="361"/>
      <c r="O19" s="361"/>
      <c r="P19" s="361"/>
      <c r="Q19" s="361"/>
      <c r="R19" s="361"/>
    </row>
    <row r="20" spans="1:18" s="115" customFormat="1" ht="15.6" x14ac:dyDescent="0.3">
      <c r="A20" s="51" t="s">
        <v>23</v>
      </c>
      <c r="B20" s="156">
        <v>2004</v>
      </c>
      <c r="C20" s="146">
        <v>2005</v>
      </c>
      <c r="D20" s="146">
        <v>2006</v>
      </c>
      <c r="E20" s="146">
        <v>2007</v>
      </c>
      <c r="F20" s="156">
        <v>2008</v>
      </c>
      <c r="G20" s="53">
        <v>2009</v>
      </c>
      <c r="H20" s="53">
        <v>2010</v>
      </c>
      <c r="I20" s="53">
        <v>2011</v>
      </c>
      <c r="J20" s="54">
        <v>2012</v>
      </c>
      <c r="K20" s="169">
        <v>2013</v>
      </c>
      <c r="L20" s="54">
        <v>2014</v>
      </c>
      <c r="M20" s="54">
        <v>2015</v>
      </c>
      <c r="N20" s="54">
        <v>2016</v>
      </c>
      <c r="O20" s="54">
        <v>2017</v>
      </c>
      <c r="P20" s="147">
        <v>2018</v>
      </c>
      <c r="Q20" s="54">
        <v>2019</v>
      </c>
      <c r="R20" s="49">
        <v>2020</v>
      </c>
    </row>
    <row r="21" spans="1:18" s="115" customFormat="1" ht="15.6" x14ac:dyDescent="0.3">
      <c r="A21" s="160" t="s">
        <v>24</v>
      </c>
      <c r="B21" s="157" t="s">
        <v>152</v>
      </c>
      <c r="C21" s="149" t="s">
        <v>152</v>
      </c>
      <c r="D21" s="149" t="s">
        <v>152</v>
      </c>
      <c r="E21" s="158" t="s">
        <v>152</v>
      </c>
      <c r="F21" s="159" t="s">
        <v>152</v>
      </c>
      <c r="G21" s="260">
        <v>600</v>
      </c>
      <c r="H21" s="259">
        <v>1922</v>
      </c>
      <c r="I21" s="259">
        <v>17600</v>
      </c>
      <c r="J21" s="259">
        <v>1285</v>
      </c>
      <c r="K21" s="268">
        <v>359</v>
      </c>
      <c r="L21" s="259">
        <v>417</v>
      </c>
      <c r="M21" s="259">
        <v>389</v>
      </c>
      <c r="N21" s="259">
        <v>275</v>
      </c>
      <c r="O21" s="259">
        <v>337</v>
      </c>
      <c r="P21" s="259">
        <v>2410</v>
      </c>
      <c r="Q21" s="259">
        <v>1090</v>
      </c>
      <c r="R21" s="286">
        <v>852</v>
      </c>
    </row>
    <row r="22" spans="1:18" s="115" customFormat="1" ht="15.6" x14ac:dyDescent="0.3">
      <c r="A22" s="13" t="s">
        <v>25</v>
      </c>
      <c r="B22" s="150" t="s">
        <v>152</v>
      </c>
      <c r="C22" s="151" t="s">
        <v>152</v>
      </c>
      <c r="D22" s="151" t="s">
        <v>152</v>
      </c>
      <c r="E22" s="151" t="s">
        <v>152</v>
      </c>
      <c r="F22" s="20" t="s">
        <v>152</v>
      </c>
      <c r="G22" s="123">
        <v>156</v>
      </c>
      <c r="H22" s="122">
        <v>724</v>
      </c>
      <c r="I22" s="122">
        <v>5894</v>
      </c>
      <c r="J22" s="122">
        <v>496</v>
      </c>
      <c r="K22" s="122">
        <v>2660</v>
      </c>
      <c r="L22" s="122">
        <v>297</v>
      </c>
      <c r="M22" s="122">
        <v>229</v>
      </c>
      <c r="N22" s="122">
        <v>173</v>
      </c>
      <c r="O22" s="122">
        <v>216</v>
      </c>
      <c r="P22" s="122">
        <v>662</v>
      </c>
      <c r="Q22" s="122">
        <v>897</v>
      </c>
      <c r="R22" s="287">
        <v>2246</v>
      </c>
    </row>
    <row r="23" spans="1:18" s="115" customFormat="1" ht="15.6" x14ac:dyDescent="0.3">
      <c r="A23" s="13" t="s">
        <v>26</v>
      </c>
      <c r="B23" s="150" t="s">
        <v>152</v>
      </c>
      <c r="C23" s="151" t="s">
        <v>152</v>
      </c>
      <c r="D23" s="151" t="s">
        <v>152</v>
      </c>
      <c r="E23" s="151" t="s">
        <v>152</v>
      </c>
      <c r="F23" s="20" t="s">
        <v>152</v>
      </c>
      <c r="G23" s="123">
        <v>777</v>
      </c>
      <c r="H23" s="122">
        <v>817</v>
      </c>
      <c r="I23" s="122">
        <v>29357</v>
      </c>
      <c r="J23" s="122">
        <v>-357</v>
      </c>
      <c r="K23" s="122">
        <v>1353</v>
      </c>
      <c r="L23" s="122">
        <v>222</v>
      </c>
      <c r="M23" s="122">
        <v>345</v>
      </c>
      <c r="N23" s="122">
        <v>205</v>
      </c>
      <c r="O23" s="122">
        <v>91</v>
      </c>
      <c r="P23" s="122">
        <v>234</v>
      </c>
      <c r="Q23" s="122">
        <v>859</v>
      </c>
      <c r="R23" s="287">
        <v>1628</v>
      </c>
    </row>
    <row r="24" spans="1:18" s="115" customFormat="1" ht="15.6" x14ac:dyDescent="0.3">
      <c r="A24" s="13" t="s">
        <v>27</v>
      </c>
      <c r="B24" s="150" t="s">
        <v>152</v>
      </c>
      <c r="C24" s="151" t="s">
        <v>152</v>
      </c>
      <c r="D24" s="151" t="s">
        <v>152</v>
      </c>
      <c r="E24" s="151" t="s">
        <v>152</v>
      </c>
      <c r="F24" s="20" t="s">
        <v>152</v>
      </c>
      <c r="G24" s="123">
        <v>285</v>
      </c>
      <c r="H24" s="122">
        <v>810</v>
      </c>
      <c r="I24" s="122">
        <v>33899</v>
      </c>
      <c r="J24" s="122">
        <v>-126</v>
      </c>
      <c r="K24" s="122">
        <v>219</v>
      </c>
      <c r="L24" s="122">
        <v>244</v>
      </c>
      <c r="M24" s="122">
        <v>2231</v>
      </c>
      <c r="N24" s="122">
        <v>151</v>
      </c>
      <c r="O24" s="122">
        <v>100</v>
      </c>
      <c r="P24" s="122">
        <v>289</v>
      </c>
      <c r="Q24" s="122">
        <v>222</v>
      </c>
      <c r="R24" s="287">
        <v>411</v>
      </c>
    </row>
    <row r="25" spans="1:18" s="115" customFormat="1" ht="15.6" x14ac:dyDescent="0.3">
      <c r="A25" s="13" t="s">
        <v>28</v>
      </c>
      <c r="B25" s="150" t="s">
        <v>152</v>
      </c>
      <c r="C25" s="151" t="s">
        <v>152</v>
      </c>
      <c r="D25" s="151" t="s">
        <v>152</v>
      </c>
      <c r="E25" s="151" t="s">
        <v>152</v>
      </c>
      <c r="F25" s="20" t="s">
        <v>152</v>
      </c>
      <c r="G25" s="123">
        <v>346</v>
      </c>
      <c r="H25" s="122">
        <v>-171</v>
      </c>
      <c r="I25" s="122">
        <v>5881</v>
      </c>
      <c r="J25" s="122">
        <v>359</v>
      </c>
      <c r="K25" s="122">
        <v>326</v>
      </c>
      <c r="L25" s="122">
        <v>566</v>
      </c>
      <c r="M25" s="122">
        <v>630</v>
      </c>
      <c r="N25" s="122">
        <v>203</v>
      </c>
      <c r="O25" s="122">
        <v>419</v>
      </c>
      <c r="P25" s="122">
        <v>750</v>
      </c>
      <c r="Q25" s="122">
        <v>504</v>
      </c>
      <c r="R25" s="287">
        <v>1796</v>
      </c>
    </row>
    <row r="26" spans="1:18" s="115" customFormat="1" ht="15.6" x14ac:dyDescent="0.3">
      <c r="A26" s="13" t="s">
        <v>29</v>
      </c>
      <c r="B26" s="150" t="s">
        <v>152</v>
      </c>
      <c r="C26" s="151" t="s">
        <v>152</v>
      </c>
      <c r="D26" s="151" t="s">
        <v>152</v>
      </c>
      <c r="E26" s="151" t="s">
        <v>152</v>
      </c>
      <c r="F26" s="20" t="s">
        <v>152</v>
      </c>
      <c r="G26" s="123">
        <v>170</v>
      </c>
      <c r="H26" s="122">
        <v>210</v>
      </c>
      <c r="I26" s="122">
        <v>6003</v>
      </c>
      <c r="J26" s="122">
        <v>1104</v>
      </c>
      <c r="K26" s="122">
        <v>-162</v>
      </c>
      <c r="L26" s="122">
        <v>627</v>
      </c>
      <c r="M26" s="122">
        <v>868</v>
      </c>
      <c r="N26" s="122">
        <v>380</v>
      </c>
      <c r="O26" s="122">
        <v>-413</v>
      </c>
      <c r="P26" s="122">
        <v>1700</v>
      </c>
      <c r="Q26" s="122">
        <v>226</v>
      </c>
      <c r="R26" s="287">
        <v>475</v>
      </c>
    </row>
    <row r="27" spans="1:18" s="115" customFormat="1" ht="15.6" x14ac:dyDescent="0.3">
      <c r="A27" s="13" t="s">
        <v>30</v>
      </c>
      <c r="B27" s="150" t="s">
        <v>152</v>
      </c>
      <c r="C27" s="151" t="s">
        <v>152</v>
      </c>
      <c r="D27" s="151" t="s">
        <v>152</v>
      </c>
      <c r="E27" s="151" t="s">
        <v>152</v>
      </c>
      <c r="F27" s="20" t="s">
        <v>152</v>
      </c>
      <c r="G27" s="123">
        <v>359</v>
      </c>
      <c r="H27" s="122">
        <v>285</v>
      </c>
      <c r="I27" s="122">
        <v>285</v>
      </c>
      <c r="J27" s="122">
        <v>360</v>
      </c>
      <c r="K27" s="122">
        <v>403</v>
      </c>
      <c r="L27" s="122">
        <v>778</v>
      </c>
      <c r="M27" s="122">
        <v>439</v>
      </c>
      <c r="N27" s="122">
        <v>112</v>
      </c>
      <c r="O27" s="122">
        <v>2634</v>
      </c>
      <c r="P27" s="122">
        <v>872</v>
      </c>
      <c r="Q27" s="297">
        <v>511</v>
      </c>
      <c r="R27" s="295" t="s">
        <v>152</v>
      </c>
    </row>
    <row r="28" spans="1:18" s="115" customFormat="1" ht="15.6" x14ac:dyDescent="0.3">
      <c r="A28" s="13" t="s">
        <v>31</v>
      </c>
      <c r="B28" s="150" t="s">
        <v>152</v>
      </c>
      <c r="C28" s="151" t="s">
        <v>152</v>
      </c>
      <c r="D28" s="151" t="s">
        <v>152</v>
      </c>
      <c r="E28" s="151" t="s">
        <v>152</v>
      </c>
      <c r="F28" s="20" t="s">
        <v>152</v>
      </c>
      <c r="G28" s="123">
        <v>149</v>
      </c>
      <c r="H28" s="122">
        <v>191</v>
      </c>
      <c r="I28" s="122">
        <v>585</v>
      </c>
      <c r="J28" s="122">
        <v>563</v>
      </c>
      <c r="K28" s="122">
        <v>226</v>
      </c>
      <c r="L28" s="122">
        <v>363</v>
      </c>
      <c r="M28" s="122">
        <v>322</v>
      </c>
      <c r="N28" s="122">
        <v>126</v>
      </c>
      <c r="O28" s="122">
        <v>300</v>
      </c>
      <c r="P28" s="122">
        <v>459</v>
      </c>
      <c r="Q28" s="297">
        <v>650</v>
      </c>
      <c r="R28" s="295" t="s">
        <v>152</v>
      </c>
    </row>
    <row r="29" spans="1:18" s="115" customFormat="1" ht="15.6" x14ac:dyDescent="0.3">
      <c r="A29" s="13" t="s">
        <v>32</v>
      </c>
      <c r="B29" s="150" t="s">
        <v>152</v>
      </c>
      <c r="C29" s="151" t="s">
        <v>152</v>
      </c>
      <c r="D29" s="151" t="s">
        <v>152</v>
      </c>
      <c r="E29" s="151" t="s">
        <v>152</v>
      </c>
      <c r="F29" s="20" t="s">
        <v>152</v>
      </c>
      <c r="G29" s="123">
        <v>132</v>
      </c>
      <c r="H29" s="122">
        <v>715</v>
      </c>
      <c r="I29" s="122">
        <v>5573</v>
      </c>
      <c r="J29" s="122">
        <v>260</v>
      </c>
      <c r="K29" s="122">
        <v>436</v>
      </c>
      <c r="L29" s="122">
        <v>357</v>
      </c>
      <c r="M29" s="122">
        <v>783</v>
      </c>
      <c r="N29" s="122">
        <v>123</v>
      </c>
      <c r="O29" s="122">
        <v>204</v>
      </c>
      <c r="P29" s="122">
        <v>351</v>
      </c>
      <c r="Q29" s="297">
        <v>461</v>
      </c>
      <c r="R29" s="295" t="s">
        <v>152</v>
      </c>
    </row>
    <row r="30" spans="1:18" s="115" customFormat="1" ht="15.6" x14ac:dyDescent="0.3">
      <c r="A30" s="13" t="s">
        <v>33</v>
      </c>
      <c r="B30" s="150" t="s">
        <v>152</v>
      </c>
      <c r="C30" s="151" t="s">
        <v>152</v>
      </c>
      <c r="D30" s="151" t="s">
        <v>152</v>
      </c>
      <c r="E30" s="151" t="s">
        <v>152</v>
      </c>
      <c r="F30" s="20" t="s">
        <v>152</v>
      </c>
      <c r="G30" s="123">
        <v>1883</v>
      </c>
      <c r="H30" s="122">
        <v>211</v>
      </c>
      <c r="I30" s="122">
        <v>1113</v>
      </c>
      <c r="J30" s="122">
        <v>242</v>
      </c>
      <c r="K30" s="122">
        <v>1910</v>
      </c>
      <c r="L30" s="122">
        <v>-12</v>
      </c>
      <c r="M30" s="122">
        <v>490</v>
      </c>
      <c r="N30" s="122">
        <v>200</v>
      </c>
      <c r="O30" s="122">
        <v>325</v>
      </c>
      <c r="P30" s="122">
        <v>92</v>
      </c>
      <c r="Q30" s="297">
        <v>1016</v>
      </c>
      <c r="R30" s="295" t="s">
        <v>152</v>
      </c>
    </row>
    <row r="31" spans="1:18" s="115" customFormat="1" ht="15.6" x14ac:dyDescent="0.3">
      <c r="A31" s="13" t="s">
        <v>34</v>
      </c>
      <c r="B31" s="150" t="s">
        <v>152</v>
      </c>
      <c r="C31" s="151" t="s">
        <v>152</v>
      </c>
      <c r="D31" s="151" t="s">
        <v>152</v>
      </c>
      <c r="E31" s="151" t="s">
        <v>152</v>
      </c>
      <c r="F31" s="20" t="s">
        <v>152</v>
      </c>
      <c r="G31" s="123">
        <v>1117</v>
      </c>
      <c r="H31" s="122">
        <v>267</v>
      </c>
      <c r="I31" s="122">
        <v>1592</v>
      </c>
      <c r="J31" s="122">
        <v>211</v>
      </c>
      <c r="K31" s="122">
        <v>612</v>
      </c>
      <c r="L31" s="122">
        <v>281</v>
      </c>
      <c r="M31" s="122">
        <v>1082</v>
      </c>
      <c r="N31" s="122">
        <v>444</v>
      </c>
      <c r="O31" s="122">
        <v>929</v>
      </c>
      <c r="P31" s="122">
        <v>262</v>
      </c>
      <c r="Q31" s="297">
        <v>2228</v>
      </c>
      <c r="R31" s="295" t="s">
        <v>152</v>
      </c>
    </row>
    <row r="32" spans="1:18" s="115" customFormat="1" ht="16.2" thickBot="1" x14ac:dyDescent="0.35">
      <c r="A32" s="100" t="s">
        <v>36</v>
      </c>
      <c r="B32" s="152" t="s">
        <v>152</v>
      </c>
      <c r="C32" s="153" t="s">
        <v>152</v>
      </c>
      <c r="D32" s="153" t="s">
        <v>152</v>
      </c>
      <c r="E32" s="153" t="s">
        <v>152</v>
      </c>
      <c r="F32" s="267">
        <v>868</v>
      </c>
      <c r="G32" s="126">
        <v>1998</v>
      </c>
      <c r="H32" s="127">
        <v>1431</v>
      </c>
      <c r="I32" s="127">
        <v>1038</v>
      </c>
      <c r="J32" s="127">
        <v>667</v>
      </c>
      <c r="K32" s="127">
        <v>465</v>
      </c>
      <c r="L32" s="127">
        <v>663</v>
      </c>
      <c r="M32" s="127">
        <v>448</v>
      </c>
      <c r="N32" s="127">
        <v>1134</v>
      </c>
      <c r="O32" s="127">
        <v>297</v>
      </c>
      <c r="P32" s="127">
        <v>299</v>
      </c>
      <c r="Q32" s="298">
        <v>577</v>
      </c>
      <c r="R32" s="292" t="s">
        <v>152</v>
      </c>
    </row>
    <row r="33" spans="1:18" s="115" customFormat="1" ht="16.2" thickTop="1" x14ac:dyDescent="0.3">
      <c r="A33" s="94" t="s">
        <v>37</v>
      </c>
      <c r="B33" s="154" t="s">
        <v>152</v>
      </c>
      <c r="C33" s="155" t="s">
        <v>152</v>
      </c>
      <c r="D33" s="155" t="s">
        <v>152</v>
      </c>
      <c r="E33" s="155" t="s">
        <v>152</v>
      </c>
      <c r="F33" s="261">
        <f t="shared" ref="F33:K33" si="2">SUM(F21:F32)</f>
        <v>868</v>
      </c>
      <c r="G33" s="261">
        <f t="shared" si="2"/>
        <v>7972</v>
      </c>
      <c r="H33" s="261">
        <f t="shared" si="2"/>
        <v>7412</v>
      </c>
      <c r="I33" s="261">
        <f t="shared" si="2"/>
        <v>108820</v>
      </c>
      <c r="J33" s="261">
        <f t="shared" si="2"/>
        <v>5064</v>
      </c>
      <c r="K33" s="261">
        <f t="shared" si="2"/>
        <v>8807</v>
      </c>
      <c r="L33" s="261">
        <f t="shared" ref="L33:R33" si="3">SUM(L21:L32)</f>
        <v>4803</v>
      </c>
      <c r="M33" s="261">
        <f t="shared" si="3"/>
        <v>8256</v>
      </c>
      <c r="N33" s="261">
        <f t="shared" si="3"/>
        <v>3526</v>
      </c>
      <c r="O33" s="261">
        <f t="shared" si="3"/>
        <v>5439</v>
      </c>
      <c r="P33" s="261">
        <f t="shared" si="3"/>
        <v>8380</v>
      </c>
      <c r="Q33" s="261">
        <f t="shared" si="3"/>
        <v>9241</v>
      </c>
      <c r="R33" s="288">
        <f t="shared" si="3"/>
        <v>7408</v>
      </c>
    </row>
    <row r="34" spans="1:18" s="116" customFormat="1" ht="6.6" x14ac:dyDescent="0.15">
      <c r="A34" s="367" t="s">
        <v>174</v>
      </c>
      <c r="B34" s="367"/>
      <c r="C34" s="367"/>
      <c r="D34" s="367"/>
      <c r="E34" s="367"/>
      <c r="F34" s="367"/>
      <c r="G34" s="367"/>
      <c r="H34" s="367"/>
      <c r="I34" s="367"/>
      <c r="J34" s="367"/>
      <c r="K34" s="367"/>
      <c r="L34" s="367"/>
      <c r="M34" s="367"/>
      <c r="N34" s="367"/>
      <c r="O34" s="367"/>
      <c r="P34" s="367"/>
      <c r="Q34" s="367"/>
      <c r="R34" s="367"/>
    </row>
    <row r="35" spans="1:18" s="120" customFormat="1" ht="18" x14ac:dyDescent="0.35">
      <c r="A35" s="361" t="s">
        <v>111</v>
      </c>
      <c r="B35" s="361"/>
      <c r="C35" s="361"/>
      <c r="D35" s="361"/>
      <c r="E35" s="361"/>
      <c r="F35" s="361"/>
      <c r="G35" s="361"/>
      <c r="H35" s="361"/>
      <c r="I35" s="361"/>
      <c r="J35" s="361"/>
      <c r="K35" s="361"/>
      <c r="L35" s="361"/>
      <c r="M35" s="361"/>
      <c r="N35" s="361"/>
      <c r="O35" s="361"/>
      <c r="P35" s="361"/>
      <c r="Q35" s="361"/>
      <c r="R35" s="361"/>
    </row>
    <row r="36" spans="1:18" s="115" customFormat="1" ht="15.6" x14ac:dyDescent="0.3">
      <c r="A36" s="95" t="s">
        <v>23</v>
      </c>
      <c r="B36" s="146">
        <v>2004</v>
      </c>
      <c r="C36" s="146">
        <v>2005</v>
      </c>
      <c r="D36" s="146">
        <v>2006</v>
      </c>
      <c r="E36" s="146">
        <v>2007</v>
      </c>
      <c r="F36" s="146">
        <v>2008</v>
      </c>
      <c r="G36" s="167">
        <v>2009</v>
      </c>
      <c r="H36" s="53">
        <v>2010</v>
      </c>
      <c r="I36" s="146">
        <v>2011</v>
      </c>
      <c r="J36" s="54">
        <v>2012</v>
      </c>
      <c r="K36" s="147">
        <v>2013</v>
      </c>
      <c r="L36" s="168">
        <v>2014</v>
      </c>
      <c r="M36" s="54">
        <v>2015</v>
      </c>
      <c r="N36" s="54">
        <v>2016</v>
      </c>
      <c r="O36" s="147">
        <v>2017</v>
      </c>
      <c r="P36" s="54">
        <v>2018</v>
      </c>
      <c r="Q36" s="54">
        <v>2019</v>
      </c>
      <c r="R36" s="49">
        <v>2020</v>
      </c>
    </row>
    <row r="37" spans="1:18" s="115" customFormat="1" ht="15.6" x14ac:dyDescent="0.3">
      <c r="A37" s="36" t="s">
        <v>24</v>
      </c>
      <c r="B37" s="148" t="s">
        <v>152</v>
      </c>
      <c r="C37" s="149" t="s">
        <v>152</v>
      </c>
      <c r="D37" s="149" t="s">
        <v>152</v>
      </c>
      <c r="E37" s="149" t="s">
        <v>152</v>
      </c>
      <c r="F37" s="38" t="s">
        <v>152</v>
      </c>
      <c r="G37" s="260">
        <v>0</v>
      </c>
      <c r="H37" s="259">
        <v>0</v>
      </c>
      <c r="I37" s="259">
        <v>0</v>
      </c>
      <c r="J37" s="259">
        <v>0</v>
      </c>
      <c r="K37" s="259">
        <v>0</v>
      </c>
      <c r="L37" s="259">
        <v>0</v>
      </c>
      <c r="M37" s="259">
        <v>0</v>
      </c>
      <c r="N37" s="259">
        <v>0</v>
      </c>
      <c r="O37" s="259">
        <v>0</v>
      </c>
      <c r="P37" s="259">
        <v>0</v>
      </c>
      <c r="Q37" s="268">
        <v>0</v>
      </c>
      <c r="R37" s="286">
        <v>0</v>
      </c>
    </row>
    <row r="38" spans="1:18" s="115" customFormat="1" ht="15.6" x14ac:dyDescent="0.3">
      <c r="A38" s="13" t="s">
        <v>25</v>
      </c>
      <c r="B38" s="150" t="s">
        <v>152</v>
      </c>
      <c r="C38" s="151" t="s">
        <v>152</v>
      </c>
      <c r="D38" s="151" t="s">
        <v>152</v>
      </c>
      <c r="E38" s="151" t="s">
        <v>152</v>
      </c>
      <c r="F38" s="20" t="s">
        <v>152</v>
      </c>
      <c r="G38" s="123">
        <v>0</v>
      </c>
      <c r="H38" s="122">
        <v>-2569</v>
      </c>
      <c r="I38" s="122">
        <v>0</v>
      </c>
      <c r="J38" s="122">
        <v>0</v>
      </c>
      <c r="K38" s="122">
        <v>-991</v>
      </c>
      <c r="L38" s="122">
        <v>-97</v>
      </c>
      <c r="M38" s="122">
        <v>0</v>
      </c>
      <c r="N38" s="122">
        <v>-442</v>
      </c>
      <c r="O38" s="122">
        <v>0</v>
      </c>
      <c r="P38" s="122">
        <v>0</v>
      </c>
      <c r="Q38" s="122">
        <v>0</v>
      </c>
      <c r="R38" s="287">
        <v>0</v>
      </c>
    </row>
    <row r="39" spans="1:18" s="115" customFormat="1" ht="15.6" x14ac:dyDescent="0.3">
      <c r="A39" s="13" t="s">
        <v>26</v>
      </c>
      <c r="B39" s="150" t="s">
        <v>152</v>
      </c>
      <c r="C39" s="151" t="s">
        <v>152</v>
      </c>
      <c r="D39" s="151" t="s">
        <v>152</v>
      </c>
      <c r="E39" s="151" t="s">
        <v>152</v>
      </c>
      <c r="F39" s="20" t="s">
        <v>152</v>
      </c>
      <c r="G39" s="123">
        <v>0</v>
      </c>
      <c r="H39" s="122">
        <v>0</v>
      </c>
      <c r="I39" s="122">
        <v>0</v>
      </c>
      <c r="J39" s="122">
        <v>-32657</v>
      </c>
      <c r="K39" s="122">
        <v>0</v>
      </c>
      <c r="L39" s="122">
        <v>0</v>
      </c>
      <c r="M39" s="122">
        <v>0</v>
      </c>
      <c r="N39" s="122">
        <v>0</v>
      </c>
      <c r="O39" s="122">
        <v>0</v>
      </c>
      <c r="P39" s="122">
        <v>0</v>
      </c>
      <c r="Q39" s="122">
        <v>0</v>
      </c>
      <c r="R39" s="287">
        <v>0</v>
      </c>
    </row>
    <row r="40" spans="1:18" s="115" customFormat="1" ht="15.6" x14ac:dyDescent="0.3">
      <c r="A40" s="13" t="s">
        <v>27</v>
      </c>
      <c r="B40" s="150" t="s">
        <v>152</v>
      </c>
      <c r="C40" s="151" t="s">
        <v>152</v>
      </c>
      <c r="D40" s="151" t="s">
        <v>152</v>
      </c>
      <c r="E40" s="151" t="s">
        <v>152</v>
      </c>
      <c r="F40" s="20" t="s">
        <v>152</v>
      </c>
      <c r="G40" s="123">
        <v>0</v>
      </c>
      <c r="H40" s="122">
        <v>0</v>
      </c>
      <c r="I40" s="122">
        <v>0</v>
      </c>
      <c r="J40" s="122">
        <v>0</v>
      </c>
      <c r="K40" s="122">
        <v>0</v>
      </c>
      <c r="L40" s="122">
        <v>0</v>
      </c>
      <c r="M40" s="122">
        <v>0</v>
      </c>
      <c r="N40" s="122">
        <v>0</v>
      </c>
      <c r="O40" s="122">
        <v>0</v>
      </c>
      <c r="P40" s="122">
        <v>0</v>
      </c>
      <c r="Q40" s="122">
        <v>-582</v>
      </c>
      <c r="R40" s="287">
        <v>0</v>
      </c>
    </row>
    <row r="41" spans="1:18" s="115" customFormat="1" ht="15.6" x14ac:dyDescent="0.3">
      <c r="A41" s="13" t="s">
        <v>28</v>
      </c>
      <c r="B41" s="150" t="s">
        <v>152</v>
      </c>
      <c r="C41" s="151" t="s">
        <v>152</v>
      </c>
      <c r="D41" s="151" t="s">
        <v>152</v>
      </c>
      <c r="E41" s="151" t="s">
        <v>152</v>
      </c>
      <c r="F41" s="20" t="s">
        <v>152</v>
      </c>
      <c r="G41" s="123">
        <v>0</v>
      </c>
      <c r="H41" s="122">
        <v>0</v>
      </c>
      <c r="I41" s="122">
        <v>0</v>
      </c>
      <c r="J41" s="122">
        <v>-1</v>
      </c>
      <c r="K41" s="122">
        <v>0</v>
      </c>
      <c r="L41" s="122">
        <v>0</v>
      </c>
      <c r="M41" s="122">
        <v>0</v>
      </c>
      <c r="N41" s="122">
        <v>0</v>
      </c>
      <c r="O41" s="122">
        <v>0</v>
      </c>
      <c r="P41" s="122">
        <v>0</v>
      </c>
      <c r="Q41" s="122">
        <v>0</v>
      </c>
      <c r="R41" s="287">
        <v>0</v>
      </c>
    </row>
    <row r="42" spans="1:18" s="115" customFormat="1" ht="15.6" x14ac:dyDescent="0.3">
      <c r="A42" s="13" t="s">
        <v>29</v>
      </c>
      <c r="B42" s="150" t="s">
        <v>152</v>
      </c>
      <c r="C42" s="151" t="s">
        <v>152</v>
      </c>
      <c r="D42" s="151" t="s">
        <v>152</v>
      </c>
      <c r="E42" s="151" t="s">
        <v>152</v>
      </c>
      <c r="F42" s="20" t="s">
        <v>152</v>
      </c>
      <c r="G42" s="123">
        <v>0</v>
      </c>
      <c r="H42" s="122">
        <v>0</v>
      </c>
      <c r="I42" s="122">
        <v>0</v>
      </c>
      <c r="J42" s="122">
        <v>0</v>
      </c>
      <c r="K42" s="122">
        <v>0</v>
      </c>
      <c r="L42" s="122">
        <v>0</v>
      </c>
      <c r="M42" s="122">
        <v>0</v>
      </c>
      <c r="N42" s="122">
        <v>0</v>
      </c>
      <c r="O42" s="122">
        <v>0</v>
      </c>
      <c r="P42" s="122">
        <v>0</v>
      </c>
      <c r="Q42" s="122">
        <v>0</v>
      </c>
      <c r="R42" s="287">
        <v>0</v>
      </c>
    </row>
    <row r="43" spans="1:18" s="115" customFormat="1" ht="15.6" x14ac:dyDescent="0.3">
      <c r="A43" s="13" t="s">
        <v>30</v>
      </c>
      <c r="B43" s="150" t="s">
        <v>152</v>
      </c>
      <c r="C43" s="151" t="s">
        <v>152</v>
      </c>
      <c r="D43" s="151" t="s">
        <v>152</v>
      </c>
      <c r="E43" s="151" t="s">
        <v>152</v>
      </c>
      <c r="F43" s="20" t="s">
        <v>152</v>
      </c>
      <c r="G43" s="123">
        <v>0</v>
      </c>
      <c r="H43" s="122">
        <v>0</v>
      </c>
      <c r="I43" s="122">
        <v>0</v>
      </c>
      <c r="J43" s="122">
        <v>-22094</v>
      </c>
      <c r="K43" s="122">
        <v>-310</v>
      </c>
      <c r="L43" s="122">
        <v>0</v>
      </c>
      <c r="M43" s="122">
        <v>0</v>
      </c>
      <c r="N43" s="122">
        <v>0</v>
      </c>
      <c r="O43" s="122">
        <v>0</v>
      </c>
      <c r="P43" s="122">
        <v>0</v>
      </c>
      <c r="Q43" s="297">
        <v>0</v>
      </c>
      <c r="R43" s="295" t="s">
        <v>152</v>
      </c>
    </row>
    <row r="44" spans="1:18" s="115" customFormat="1" ht="15.6" x14ac:dyDescent="0.3">
      <c r="A44" s="13" t="s">
        <v>31</v>
      </c>
      <c r="B44" s="150" t="s">
        <v>152</v>
      </c>
      <c r="C44" s="151" t="s">
        <v>152</v>
      </c>
      <c r="D44" s="151" t="s">
        <v>152</v>
      </c>
      <c r="E44" s="151" t="s">
        <v>152</v>
      </c>
      <c r="F44" s="20" t="s">
        <v>152</v>
      </c>
      <c r="G44" s="123">
        <v>0</v>
      </c>
      <c r="H44" s="122">
        <v>0</v>
      </c>
      <c r="I44" s="122">
        <v>0</v>
      </c>
      <c r="J44" s="122">
        <v>0</v>
      </c>
      <c r="K44" s="122">
        <v>-1</v>
      </c>
      <c r="L44" s="122">
        <v>0</v>
      </c>
      <c r="M44" s="122">
        <v>-49</v>
      </c>
      <c r="N44" s="122">
        <v>0</v>
      </c>
      <c r="O44" s="122">
        <v>0</v>
      </c>
      <c r="P44" s="122">
        <v>0</v>
      </c>
      <c r="Q44" s="297">
        <v>0</v>
      </c>
      <c r="R44" s="295" t="s">
        <v>152</v>
      </c>
    </row>
    <row r="45" spans="1:18" s="115" customFormat="1" ht="15.6" x14ac:dyDescent="0.3">
      <c r="A45" s="13" t="s">
        <v>32</v>
      </c>
      <c r="B45" s="150" t="s">
        <v>152</v>
      </c>
      <c r="C45" s="151" t="s">
        <v>152</v>
      </c>
      <c r="D45" s="151" t="s">
        <v>152</v>
      </c>
      <c r="E45" s="151" t="s">
        <v>152</v>
      </c>
      <c r="F45" s="20" t="s">
        <v>152</v>
      </c>
      <c r="G45" s="123">
        <v>0</v>
      </c>
      <c r="H45" s="122">
        <v>0</v>
      </c>
      <c r="I45" s="122">
        <v>-368</v>
      </c>
      <c r="J45" s="122">
        <v>-2064</v>
      </c>
      <c r="K45" s="122">
        <v>0</v>
      </c>
      <c r="L45" s="122">
        <v>0</v>
      </c>
      <c r="M45" s="122">
        <v>0</v>
      </c>
      <c r="N45" s="122">
        <v>0</v>
      </c>
      <c r="O45" s="122">
        <v>-5778</v>
      </c>
      <c r="P45" s="122">
        <v>0</v>
      </c>
      <c r="Q45" s="297">
        <v>0</v>
      </c>
      <c r="R45" s="295" t="s">
        <v>152</v>
      </c>
    </row>
    <row r="46" spans="1:18" s="115" customFormat="1" ht="15.6" x14ac:dyDescent="0.3">
      <c r="A46" s="13" t="s">
        <v>33</v>
      </c>
      <c r="B46" s="150" t="s">
        <v>152</v>
      </c>
      <c r="C46" s="151" t="s">
        <v>152</v>
      </c>
      <c r="D46" s="151" t="s">
        <v>152</v>
      </c>
      <c r="E46" s="151" t="s">
        <v>152</v>
      </c>
      <c r="F46" s="20" t="s">
        <v>152</v>
      </c>
      <c r="G46" s="123">
        <v>0</v>
      </c>
      <c r="H46" s="122">
        <v>0</v>
      </c>
      <c r="I46" s="122">
        <v>-80143</v>
      </c>
      <c r="J46" s="122">
        <v>0</v>
      </c>
      <c r="K46" s="122">
        <v>-41</v>
      </c>
      <c r="L46" s="122">
        <v>-11256</v>
      </c>
      <c r="M46" s="122">
        <v>0</v>
      </c>
      <c r="N46" s="122">
        <v>0</v>
      </c>
      <c r="O46" s="122">
        <v>0</v>
      </c>
      <c r="P46" s="122">
        <v>0</v>
      </c>
      <c r="Q46" s="297">
        <v>0</v>
      </c>
      <c r="R46" s="295" t="s">
        <v>152</v>
      </c>
    </row>
    <row r="47" spans="1:18" s="115" customFormat="1" ht="15.6" x14ac:dyDescent="0.3">
      <c r="A47" s="13" t="s">
        <v>34</v>
      </c>
      <c r="B47" s="150" t="s">
        <v>152</v>
      </c>
      <c r="C47" s="151" t="s">
        <v>152</v>
      </c>
      <c r="D47" s="151" t="s">
        <v>152</v>
      </c>
      <c r="E47" s="151" t="s">
        <v>152</v>
      </c>
      <c r="F47" s="20" t="s">
        <v>152</v>
      </c>
      <c r="G47" s="123">
        <v>0</v>
      </c>
      <c r="H47" s="122">
        <v>0</v>
      </c>
      <c r="I47" s="122">
        <v>0</v>
      </c>
      <c r="J47" s="122">
        <v>0</v>
      </c>
      <c r="K47" s="122">
        <v>0</v>
      </c>
      <c r="L47" s="122">
        <v>0</v>
      </c>
      <c r="M47" s="122">
        <v>0</v>
      </c>
      <c r="N47" s="122">
        <v>0</v>
      </c>
      <c r="O47" s="122">
        <v>0</v>
      </c>
      <c r="P47" s="122">
        <v>0</v>
      </c>
      <c r="Q47" s="297">
        <v>0</v>
      </c>
      <c r="R47" s="295" t="s">
        <v>152</v>
      </c>
    </row>
    <row r="48" spans="1:18" s="115" customFormat="1" ht="16.2" thickBot="1" x14ac:dyDescent="0.35">
      <c r="A48" s="100" t="s">
        <v>36</v>
      </c>
      <c r="B48" s="152" t="s">
        <v>152</v>
      </c>
      <c r="C48" s="153" t="s">
        <v>152</v>
      </c>
      <c r="D48" s="153" t="s">
        <v>152</v>
      </c>
      <c r="E48" s="153" t="s">
        <v>152</v>
      </c>
      <c r="F48" s="153" t="s">
        <v>152</v>
      </c>
      <c r="G48" s="126">
        <v>0</v>
      </c>
      <c r="H48" s="127">
        <v>0</v>
      </c>
      <c r="I48" s="127">
        <v>0</v>
      </c>
      <c r="J48" s="127">
        <v>0</v>
      </c>
      <c r="K48" s="127">
        <v>0</v>
      </c>
      <c r="L48" s="127">
        <v>0</v>
      </c>
      <c r="M48" s="127">
        <v>0</v>
      </c>
      <c r="N48" s="127">
        <v>0</v>
      </c>
      <c r="O48" s="127">
        <v>0</v>
      </c>
      <c r="P48" s="127">
        <v>0</v>
      </c>
      <c r="Q48" s="298">
        <v>0</v>
      </c>
      <c r="R48" s="292" t="s">
        <v>152</v>
      </c>
    </row>
    <row r="49" spans="1:18" s="115" customFormat="1" ht="16.2" thickTop="1" x14ac:dyDescent="0.3">
      <c r="A49" s="94" t="s">
        <v>37</v>
      </c>
      <c r="B49" s="154" t="s">
        <v>152</v>
      </c>
      <c r="C49" s="155" t="s">
        <v>152</v>
      </c>
      <c r="D49" s="155" t="s">
        <v>152</v>
      </c>
      <c r="E49" s="155" t="s">
        <v>152</v>
      </c>
      <c r="F49" s="59" t="s">
        <v>152</v>
      </c>
      <c r="G49" s="261">
        <f t="shared" ref="G49:P49" si="4">SUM(G37:G48)</f>
        <v>0</v>
      </c>
      <c r="H49" s="261">
        <f t="shared" si="4"/>
        <v>-2569</v>
      </c>
      <c r="I49" s="261">
        <f t="shared" si="4"/>
        <v>-80511</v>
      </c>
      <c r="J49" s="261">
        <f t="shared" si="4"/>
        <v>-56816</v>
      </c>
      <c r="K49" s="261">
        <f t="shared" si="4"/>
        <v>-1343</v>
      </c>
      <c r="L49" s="261">
        <f t="shared" si="4"/>
        <v>-11353</v>
      </c>
      <c r="M49" s="261">
        <f t="shared" si="4"/>
        <v>-49</v>
      </c>
      <c r="N49" s="261">
        <f t="shared" si="4"/>
        <v>-442</v>
      </c>
      <c r="O49" s="261">
        <f t="shared" si="4"/>
        <v>-5778</v>
      </c>
      <c r="P49" s="261">
        <f t="shared" si="4"/>
        <v>0</v>
      </c>
      <c r="Q49" s="261">
        <f t="shared" ref="Q49:R49" si="5">SUM(Q37:Q48)</f>
        <v>-582</v>
      </c>
      <c r="R49" s="288">
        <f t="shared" si="5"/>
        <v>0</v>
      </c>
    </row>
    <row r="50" spans="1:18" s="116" customFormat="1" ht="6.6" x14ac:dyDescent="0.15">
      <c r="A50" s="367" t="s">
        <v>174</v>
      </c>
      <c r="B50" s="367"/>
      <c r="C50" s="367"/>
      <c r="D50" s="367"/>
      <c r="E50" s="367"/>
      <c r="F50" s="367"/>
      <c r="G50" s="367"/>
      <c r="H50" s="367"/>
      <c r="I50" s="367"/>
      <c r="J50" s="367"/>
      <c r="K50" s="367"/>
      <c r="L50" s="367"/>
      <c r="M50" s="367"/>
      <c r="N50" s="367"/>
      <c r="O50" s="367"/>
      <c r="P50" s="367"/>
      <c r="Q50" s="367"/>
      <c r="R50" s="367"/>
    </row>
    <row r="51" spans="1:18" s="117" customFormat="1" ht="13.8" x14ac:dyDescent="0.3">
      <c r="A51" s="366" t="s">
        <v>155</v>
      </c>
      <c r="B51" s="366"/>
      <c r="C51" s="366"/>
      <c r="D51" s="366"/>
      <c r="E51" s="366"/>
      <c r="F51" s="366"/>
      <c r="G51" s="366"/>
      <c r="H51" s="366"/>
      <c r="I51" s="366"/>
      <c r="J51" s="366"/>
      <c r="K51" s="366"/>
      <c r="L51" s="366"/>
      <c r="M51" s="366"/>
      <c r="N51" s="366"/>
      <c r="O51" s="366"/>
      <c r="P51" s="366"/>
      <c r="Q51" s="366"/>
      <c r="R51" s="366"/>
    </row>
    <row r="52" spans="1:18" s="117" customFormat="1" ht="13.8" x14ac:dyDescent="0.3">
      <c r="A52" s="364" t="str">
        <f>'Local SUT'!A60</f>
        <v>Source:  Minnesota Department of Revenue, Tax Research Division, February 2021</v>
      </c>
      <c r="B52" s="364"/>
      <c r="C52" s="364"/>
      <c r="D52" s="364"/>
      <c r="E52" s="364"/>
      <c r="F52" s="364"/>
      <c r="G52" s="364"/>
      <c r="H52" s="364"/>
      <c r="I52" s="364"/>
      <c r="J52" s="364"/>
      <c r="K52" s="364"/>
      <c r="L52" s="364"/>
      <c r="M52" s="364"/>
      <c r="N52" s="364"/>
      <c r="O52" s="364"/>
      <c r="P52" s="364"/>
      <c r="Q52" s="364"/>
      <c r="R52" s="364"/>
    </row>
    <row r="53" spans="1:18" s="117" customFormat="1" ht="13.8" x14ac:dyDescent="0.3">
      <c r="A53" s="374" t="s">
        <v>151</v>
      </c>
      <c r="B53" s="374"/>
      <c r="C53" s="374"/>
      <c r="D53" s="374"/>
      <c r="E53" s="374"/>
      <c r="F53" s="374"/>
      <c r="G53" s="374"/>
      <c r="H53" s="374"/>
      <c r="I53" s="374"/>
      <c r="J53" s="374"/>
      <c r="K53" s="374"/>
      <c r="L53" s="374"/>
      <c r="M53" s="374"/>
      <c r="N53" s="374"/>
      <c r="O53" s="374"/>
      <c r="P53" s="374"/>
      <c r="Q53" s="374"/>
      <c r="R53" s="374"/>
    </row>
    <row r="54" spans="1:18" x14ac:dyDescent="0.3">
      <c r="R54" s="117"/>
    </row>
  </sheetData>
  <mergeCells count="11">
    <mergeCell ref="A50:R50"/>
    <mergeCell ref="A51:R51"/>
    <mergeCell ref="A52:R52"/>
    <mergeCell ref="A53:R53"/>
    <mergeCell ref="A1:R1"/>
    <mergeCell ref="A2:R2"/>
    <mergeCell ref="A3:R3"/>
    <mergeCell ref="A18:R18"/>
    <mergeCell ref="A19:R19"/>
    <mergeCell ref="A34:R34"/>
    <mergeCell ref="A35:R35"/>
  </mergeCells>
  <pageMargins left="0" right="0" top="0.75" bottom="0.75" header="0.3" footer="0.3"/>
  <pageSetup scale="86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8">
    <pageSetUpPr fitToPage="1"/>
  </sheetPr>
  <dimension ref="A1:R54"/>
  <sheetViews>
    <sheetView showGridLines="0" zoomScaleNormal="100" workbookViewId="0">
      <pane ySplit="1" topLeftCell="A2" activePane="bottomLeft" state="frozen"/>
      <selection pane="bottomLeft" sqref="A1:R1"/>
    </sheetView>
  </sheetViews>
  <sheetFormatPr defaultColWidth="12.5546875" defaultRowHeight="14.4" x14ac:dyDescent="0.3"/>
  <cols>
    <col min="1" max="1" width="12.5546875" style="165"/>
    <col min="2" max="10" width="13.5546875" style="166" hidden="1" customWidth="1"/>
    <col min="11" max="17" width="13.5546875" style="166" customWidth="1"/>
    <col min="18" max="18" width="13.5546875" style="145" customWidth="1"/>
    <col min="19" max="16384" width="12.5546875" style="166"/>
  </cols>
  <sheetData>
    <row r="1" spans="1:18" s="161" customFormat="1" ht="21" x14ac:dyDescent="0.4">
      <c r="A1" s="377" t="s">
        <v>194</v>
      </c>
      <c r="B1" s="377"/>
      <c r="C1" s="377"/>
      <c r="D1" s="377"/>
      <c r="E1" s="377"/>
      <c r="F1" s="377"/>
      <c r="G1" s="377"/>
      <c r="H1" s="377"/>
      <c r="I1" s="377"/>
      <c r="J1" s="377"/>
      <c r="K1" s="377"/>
      <c r="L1" s="377"/>
      <c r="M1" s="377"/>
      <c r="N1" s="377"/>
      <c r="O1" s="377"/>
      <c r="P1" s="377"/>
      <c r="Q1" s="377"/>
      <c r="R1" s="377"/>
    </row>
    <row r="2" spans="1:18" s="162" customFormat="1" ht="18" x14ac:dyDescent="0.35">
      <c r="A2" s="378" t="str">
        <f>'Local SUT'!A2</f>
        <v>CY 2004-2020</v>
      </c>
      <c r="B2" s="378"/>
      <c r="C2" s="378"/>
      <c r="D2" s="378"/>
      <c r="E2" s="378"/>
      <c r="F2" s="378"/>
      <c r="G2" s="378"/>
      <c r="H2" s="378"/>
      <c r="I2" s="378"/>
      <c r="J2" s="378"/>
      <c r="K2" s="378"/>
      <c r="L2" s="378"/>
      <c r="M2" s="378"/>
      <c r="N2" s="378"/>
      <c r="O2" s="378"/>
      <c r="P2" s="378"/>
      <c r="Q2" s="378"/>
      <c r="R2" s="378"/>
    </row>
    <row r="3" spans="1:18" s="162" customFormat="1" ht="18" x14ac:dyDescent="0.35">
      <c r="A3" s="361" t="s">
        <v>70</v>
      </c>
      <c r="B3" s="361"/>
      <c r="C3" s="361"/>
      <c r="D3" s="361"/>
      <c r="E3" s="361"/>
      <c r="F3" s="361"/>
      <c r="G3" s="361"/>
      <c r="H3" s="361"/>
      <c r="I3" s="361"/>
      <c r="J3" s="361"/>
      <c r="K3" s="361"/>
      <c r="L3" s="361"/>
      <c r="M3" s="361"/>
      <c r="N3" s="361"/>
      <c r="O3" s="361"/>
      <c r="P3" s="361"/>
      <c r="Q3" s="361"/>
      <c r="R3" s="361"/>
    </row>
    <row r="4" spans="1:18" s="163" customFormat="1" ht="15.6" x14ac:dyDescent="0.3">
      <c r="A4" s="95" t="s">
        <v>23</v>
      </c>
      <c r="B4" s="96">
        <v>2004</v>
      </c>
      <c r="C4" s="53">
        <v>2005</v>
      </c>
      <c r="D4" s="53">
        <v>2006</v>
      </c>
      <c r="E4" s="53">
        <v>2007</v>
      </c>
      <c r="F4" s="53">
        <v>2008</v>
      </c>
      <c r="G4" s="53">
        <v>2009</v>
      </c>
      <c r="H4" s="53">
        <v>2010</v>
      </c>
      <c r="I4" s="53">
        <v>2011</v>
      </c>
      <c r="J4" s="54">
        <v>2012</v>
      </c>
      <c r="K4" s="54">
        <v>2013</v>
      </c>
      <c r="L4" s="54">
        <v>2014</v>
      </c>
      <c r="M4" s="54">
        <v>2015</v>
      </c>
      <c r="N4" s="54">
        <v>2016</v>
      </c>
      <c r="O4" s="54">
        <v>2017</v>
      </c>
      <c r="P4" s="54">
        <v>2018</v>
      </c>
      <c r="Q4" s="54">
        <v>2019</v>
      </c>
      <c r="R4" s="49">
        <v>2020</v>
      </c>
    </row>
    <row r="5" spans="1:18" s="163" customFormat="1" ht="15.6" x14ac:dyDescent="0.3">
      <c r="A5" s="36" t="s">
        <v>24</v>
      </c>
      <c r="B5" s="148" t="s">
        <v>152</v>
      </c>
      <c r="C5" s="149" t="s">
        <v>152</v>
      </c>
      <c r="D5" s="149" t="s">
        <v>152</v>
      </c>
      <c r="E5" s="149" t="s">
        <v>152</v>
      </c>
      <c r="F5" s="149" t="s">
        <v>152</v>
      </c>
      <c r="G5" s="149" t="s">
        <v>152</v>
      </c>
      <c r="H5" s="149" t="s">
        <v>152</v>
      </c>
      <c r="I5" s="149" t="s">
        <v>152</v>
      </c>
      <c r="J5" s="149" t="s">
        <v>152</v>
      </c>
      <c r="K5" s="38" t="s">
        <v>152</v>
      </c>
      <c r="L5" s="269">
        <v>81318</v>
      </c>
      <c r="M5" s="269">
        <v>79573</v>
      </c>
      <c r="N5" s="269">
        <v>81133</v>
      </c>
      <c r="O5" s="269">
        <v>91267</v>
      </c>
      <c r="P5" s="269">
        <v>81208</v>
      </c>
      <c r="Q5" s="269">
        <v>81108</v>
      </c>
      <c r="R5" s="286">
        <v>88292</v>
      </c>
    </row>
    <row r="6" spans="1:18" s="163" customFormat="1" ht="15.6" x14ac:dyDescent="0.3">
      <c r="A6" s="13" t="s">
        <v>25</v>
      </c>
      <c r="B6" s="150" t="s">
        <v>152</v>
      </c>
      <c r="C6" s="151" t="s">
        <v>152</v>
      </c>
      <c r="D6" s="151" t="s">
        <v>152</v>
      </c>
      <c r="E6" s="151" t="s">
        <v>152</v>
      </c>
      <c r="F6" s="151" t="s">
        <v>152</v>
      </c>
      <c r="G6" s="151" t="s">
        <v>152</v>
      </c>
      <c r="H6" s="151" t="s">
        <v>152</v>
      </c>
      <c r="I6" s="151" t="s">
        <v>152</v>
      </c>
      <c r="J6" s="151" t="s">
        <v>152</v>
      </c>
      <c r="K6" s="20" t="s">
        <v>152</v>
      </c>
      <c r="L6" s="20">
        <v>66735</v>
      </c>
      <c r="M6" s="20">
        <v>61559</v>
      </c>
      <c r="N6" s="20">
        <v>65074</v>
      </c>
      <c r="O6" s="20">
        <v>65085</v>
      </c>
      <c r="P6" s="20">
        <v>59334</v>
      </c>
      <c r="Q6" s="20">
        <v>69129</v>
      </c>
      <c r="R6" s="287">
        <v>71657</v>
      </c>
    </row>
    <row r="7" spans="1:18" s="163" customFormat="1" ht="15.6" x14ac:dyDescent="0.3">
      <c r="A7" s="13" t="s">
        <v>26</v>
      </c>
      <c r="B7" s="150" t="s">
        <v>152</v>
      </c>
      <c r="C7" s="151" t="s">
        <v>152</v>
      </c>
      <c r="D7" s="151" t="s">
        <v>152</v>
      </c>
      <c r="E7" s="151" t="s">
        <v>152</v>
      </c>
      <c r="F7" s="151" t="s">
        <v>152</v>
      </c>
      <c r="G7" s="151" t="s">
        <v>152</v>
      </c>
      <c r="H7" s="151" t="s">
        <v>152</v>
      </c>
      <c r="I7" s="151" t="s">
        <v>152</v>
      </c>
      <c r="J7" s="151" t="s">
        <v>152</v>
      </c>
      <c r="K7" s="20" t="s">
        <v>152</v>
      </c>
      <c r="L7" s="20">
        <v>65172</v>
      </c>
      <c r="M7" s="20">
        <v>56448</v>
      </c>
      <c r="N7" s="20">
        <v>63811</v>
      </c>
      <c r="O7" s="20">
        <v>58178</v>
      </c>
      <c r="P7" s="20">
        <v>56429</v>
      </c>
      <c r="Q7" s="20">
        <v>64308</v>
      </c>
      <c r="R7" s="287">
        <v>63060</v>
      </c>
    </row>
    <row r="8" spans="1:18" s="163" customFormat="1" ht="15.6" x14ac:dyDescent="0.3">
      <c r="A8" s="13" t="s">
        <v>27</v>
      </c>
      <c r="B8" s="150" t="s">
        <v>152</v>
      </c>
      <c r="C8" s="151" t="s">
        <v>152</v>
      </c>
      <c r="D8" s="151" t="s">
        <v>152</v>
      </c>
      <c r="E8" s="151" t="s">
        <v>152</v>
      </c>
      <c r="F8" s="151" t="s">
        <v>152</v>
      </c>
      <c r="G8" s="151" t="s">
        <v>152</v>
      </c>
      <c r="H8" s="151" t="s">
        <v>152</v>
      </c>
      <c r="I8" s="151" t="s">
        <v>152</v>
      </c>
      <c r="J8" s="151" t="s">
        <v>152</v>
      </c>
      <c r="K8" s="20" t="s">
        <v>152</v>
      </c>
      <c r="L8" s="20">
        <v>65483</v>
      </c>
      <c r="M8" s="20">
        <v>67771</v>
      </c>
      <c r="N8" s="20">
        <v>67809</v>
      </c>
      <c r="O8" s="20">
        <v>70770</v>
      </c>
      <c r="P8" s="20">
        <v>69046</v>
      </c>
      <c r="Q8" s="20">
        <v>71960</v>
      </c>
      <c r="R8" s="287">
        <v>72015</v>
      </c>
    </row>
    <row r="9" spans="1:18" s="163" customFormat="1" ht="15.6" x14ac:dyDescent="0.3">
      <c r="A9" s="13" t="s">
        <v>28</v>
      </c>
      <c r="B9" s="150" t="s">
        <v>152</v>
      </c>
      <c r="C9" s="151" t="s">
        <v>152</v>
      </c>
      <c r="D9" s="151" t="s">
        <v>152</v>
      </c>
      <c r="E9" s="151" t="s">
        <v>152</v>
      </c>
      <c r="F9" s="151" t="s">
        <v>152</v>
      </c>
      <c r="G9" s="151" t="s">
        <v>152</v>
      </c>
      <c r="H9" s="151" t="s">
        <v>152</v>
      </c>
      <c r="I9" s="151" t="s">
        <v>152</v>
      </c>
      <c r="J9" s="151" t="s">
        <v>152</v>
      </c>
      <c r="K9" s="246">
        <v>53608</v>
      </c>
      <c r="L9" s="20">
        <v>61518</v>
      </c>
      <c r="M9" s="20">
        <v>66465</v>
      </c>
      <c r="N9" s="20">
        <v>69996</v>
      </c>
      <c r="O9" s="20">
        <v>70092</v>
      </c>
      <c r="P9" s="20">
        <v>60940</v>
      </c>
      <c r="Q9" s="20">
        <v>71986</v>
      </c>
      <c r="R9" s="287">
        <v>77164</v>
      </c>
    </row>
    <row r="10" spans="1:18" s="163" customFormat="1" ht="15.6" x14ac:dyDescent="0.3">
      <c r="A10" s="13" t="s">
        <v>29</v>
      </c>
      <c r="B10" s="150" t="s">
        <v>152</v>
      </c>
      <c r="C10" s="151" t="s">
        <v>152</v>
      </c>
      <c r="D10" s="151" t="s">
        <v>152</v>
      </c>
      <c r="E10" s="151" t="s">
        <v>152</v>
      </c>
      <c r="F10" s="151" t="s">
        <v>152</v>
      </c>
      <c r="G10" s="151" t="s">
        <v>152</v>
      </c>
      <c r="H10" s="151" t="s">
        <v>152</v>
      </c>
      <c r="I10" s="151" t="s">
        <v>152</v>
      </c>
      <c r="J10" s="151" t="s">
        <v>152</v>
      </c>
      <c r="K10" s="20">
        <v>71819</v>
      </c>
      <c r="L10" s="20">
        <v>75982</v>
      </c>
      <c r="M10" s="20">
        <v>78272</v>
      </c>
      <c r="N10" s="20">
        <v>79695</v>
      </c>
      <c r="O10" s="20">
        <v>80034</v>
      </c>
      <c r="P10" s="20">
        <v>78968</v>
      </c>
      <c r="Q10" s="20">
        <v>87336</v>
      </c>
      <c r="R10" s="287">
        <v>99761</v>
      </c>
    </row>
    <row r="11" spans="1:18" s="163" customFormat="1" ht="15.6" x14ac:dyDescent="0.3">
      <c r="A11" s="13" t="s">
        <v>30</v>
      </c>
      <c r="B11" s="150" t="s">
        <v>152</v>
      </c>
      <c r="C11" s="151" t="s">
        <v>152</v>
      </c>
      <c r="D11" s="151" t="s">
        <v>152</v>
      </c>
      <c r="E11" s="151" t="s">
        <v>152</v>
      </c>
      <c r="F11" s="151" t="s">
        <v>152</v>
      </c>
      <c r="G11" s="151" t="s">
        <v>152</v>
      </c>
      <c r="H11" s="151" t="s">
        <v>152</v>
      </c>
      <c r="I11" s="151" t="s">
        <v>152</v>
      </c>
      <c r="J11" s="151" t="s">
        <v>152</v>
      </c>
      <c r="K11" s="20">
        <v>65427</v>
      </c>
      <c r="L11" s="20">
        <v>76874</v>
      </c>
      <c r="M11" s="20">
        <v>78447</v>
      </c>
      <c r="N11" s="20">
        <v>80044</v>
      </c>
      <c r="O11" s="20">
        <v>83139</v>
      </c>
      <c r="P11" s="20">
        <v>76218</v>
      </c>
      <c r="Q11" s="20">
        <v>85219</v>
      </c>
      <c r="R11" s="291" t="s">
        <v>152</v>
      </c>
    </row>
    <row r="12" spans="1:18" s="163" customFormat="1" ht="15.6" x14ac:dyDescent="0.3">
      <c r="A12" s="13" t="s">
        <v>31</v>
      </c>
      <c r="B12" s="150" t="s">
        <v>152</v>
      </c>
      <c r="C12" s="151" t="s">
        <v>152</v>
      </c>
      <c r="D12" s="151" t="s">
        <v>152</v>
      </c>
      <c r="E12" s="151" t="s">
        <v>152</v>
      </c>
      <c r="F12" s="151" t="s">
        <v>152</v>
      </c>
      <c r="G12" s="151" t="s">
        <v>152</v>
      </c>
      <c r="H12" s="151" t="s">
        <v>152</v>
      </c>
      <c r="I12" s="151" t="s">
        <v>152</v>
      </c>
      <c r="J12" s="151" t="s">
        <v>152</v>
      </c>
      <c r="K12" s="20">
        <v>87489</v>
      </c>
      <c r="L12" s="20">
        <v>78795</v>
      </c>
      <c r="M12" s="20">
        <v>82176</v>
      </c>
      <c r="N12" s="20">
        <v>84753</v>
      </c>
      <c r="O12" s="20">
        <v>82484</v>
      </c>
      <c r="P12" s="20">
        <v>82492</v>
      </c>
      <c r="Q12" s="20">
        <v>85977</v>
      </c>
      <c r="R12" s="295" t="s">
        <v>152</v>
      </c>
    </row>
    <row r="13" spans="1:18" s="163" customFormat="1" ht="15.6" x14ac:dyDescent="0.3">
      <c r="A13" s="13" t="s">
        <v>32</v>
      </c>
      <c r="B13" s="150" t="s">
        <v>152</v>
      </c>
      <c r="C13" s="151" t="s">
        <v>152</v>
      </c>
      <c r="D13" s="151" t="s">
        <v>152</v>
      </c>
      <c r="E13" s="151" t="s">
        <v>152</v>
      </c>
      <c r="F13" s="151" t="s">
        <v>152</v>
      </c>
      <c r="G13" s="151" t="s">
        <v>152</v>
      </c>
      <c r="H13" s="151" t="s">
        <v>152</v>
      </c>
      <c r="I13" s="151" t="s">
        <v>152</v>
      </c>
      <c r="J13" s="151" t="s">
        <v>152</v>
      </c>
      <c r="K13" s="20">
        <v>77174</v>
      </c>
      <c r="L13" s="20">
        <v>76478</v>
      </c>
      <c r="M13" s="20">
        <v>73640</v>
      </c>
      <c r="N13" s="20">
        <v>78161</v>
      </c>
      <c r="O13" s="20">
        <v>78379</v>
      </c>
      <c r="P13" s="20">
        <v>76898</v>
      </c>
      <c r="Q13" s="20">
        <v>85321</v>
      </c>
      <c r="R13" s="295" t="s">
        <v>152</v>
      </c>
    </row>
    <row r="14" spans="1:18" s="163" customFormat="1" ht="15.6" x14ac:dyDescent="0.3">
      <c r="A14" s="13" t="s">
        <v>33</v>
      </c>
      <c r="B14" s="150" t="s">
        <v>152</v>
      </c>
      <c r="C14" s="151" t="s">
        <v>152</v>
      </c>
      <c r="D14" s="151" t="s">
        <v>152</v>
      </c>
      <c r="E14" s="151" t="s">
        <v>152</v>
      </c>
      <c r="F14" s="151" t="s">
        <v>152</v>
      </c>
      <c r="G14" s="151" t="s">
        <v>152</v>
      </c>
      <c r="H14" s="151" t="s">
        <v>152</v>
      </c>
      <c r="I14" s="151" t="s">
        <v>152</v>
      </c>
      <c r="J14" s="151" t="s">
        <v>152</v>
      </c>
      <c r="K14" s="20">
        <v>73159</v>
      </c>
      <c r="L14" s="20">
        <v>71689</v>
      </c>
      <c r="M14" s="20">
        <v>70050</v>
      </c>
      <c r="N14" s="20">
        <v>77722</v>
      </c>
      <c r="O14" s="20">
        <v>75187</v>
      </c>
      <c r="P14" s="20">
        <v>76304</v>
      </c>
      <c r="Q14" s="20">
        <v>77532</v>
      </c>
      <c r="R14" s="295" t="s">
        <v>152</v>
      </c>
    </row>
    <row r="15" spans="1:18" s="163" customFormat="1" ht="15.6" x14ac:dyDescent="0.3">
      <c r="A15" s="13" t="s">
        <v>34</v>
      </c>
      <c r="B15" s="150" t="s">
        <v>152</v>
      </c>
      <c r="C15" s="151" t="s">
        <v>152</v>
      </c>
      <c r="D15" s="151" t="s">
        <v>152</v>
      </c>
      <c r="E15" s="151" t="s">
        <v>152</v>
      </c>
      <c r="F15" s="151" t="s">
        <v>152</v>
      </c>
      <c r="G15" s="151" t="s">
        <v>152</v>
      </c>
      <c r="H15" s="151" t="s">
        <v>152</v>
      </c>
      <c r="I15" s="151" t="s">
        <v>152</v>
      </c>
      <c r="J15" s="151" t="s">
        <v>152</v>
      </c>
      <c r="K15" s="20">
        <v>71611</v>
      </c>
      <c r="L15" s="20">
        <v>72305</v>
      </c>
      <c r="M15" s="20">
        <v>73053</v>
      </c>
      <c r="N15" s="20">
        <v>72716</v>
      </c>
      <c r="O15" s="20">
        <v>70160</v>
      </c>
      <c r="P15" s="20">
        <v>78284</v>
      </c>
      <c r="Q15" s="20">
        <v>77937</v>
      </c>
      <c r="R15" s="295" t="s">
        <v>152</v>
      </c>
    </row>
    <row r="16" spans="1:18" s="163" customFormat="1" ht="16.2" thickBot="1" x14ac:dyDescent="0.35">
      <c r="A16" s="100" t="s">
        <v>36</v>
      </c>
      <c r="B16" s="152" t="s">
        <v>152</v>
      </c>
      <c r="C16" s="153" t="s">
        <v>152</v>
      </c>
      <c r="D16" s="153" t="s">
        <v>152</v>
      </c>
      <c r="E16" s="153" t="s">
        <v>152</v>
      </c>
      <c r="F16" s="153" t="s">
        <v>152</v>
      </c>
      <c r="G16" s="153" t="s">
        <v>152</v>
      </c>
      <c r="H16" s="153" t="s">
        <v>152</v>
      </c>
      <c r="I16" s="153" t="s">
        <v>152</v>
      </c>
      <c r="J16" s="153" t="s">
        <v>152</v>
      </c>
      <c r="K16" s="28">
        <v>68928</v>
      </c>
      <c r="L16" s="28">
        <v>69429</v>
      </c>
      <c r="M16" s="28">
        <v>67628</v>
      </c>
      <c r="N16" s="28">
        <v>74592</v>
      </c>
      <c r="O16" s="28">
        <v>69039</v>
      </c>
      <c r="P16" s="28">
        <v>74205</v>
      </c>
      <c r="Q16" s="28">
        <v>75842</v>
      </c>
      <c r="R16" s="292" t="s">
        <v>152</v>
      </c>
    </row>
    <row r="17" spans="1:18" s="163" customFormat="1" ht="16.2" thickTop="1" x14ac:dyDescent="0.3">
      <c r="A17" s="94" t="s">
        <v>37</v>
      </c>
      <c r="B17" s="154" t="s">
        <v>152</v>
      </c>
      <c r="C17" s="155" t="s">
        <v>152</v>
      </c>
      <c r="D17" s="155" t="s">
        <v>152</v>
      </c>
      <c r="E17" s="155" t="s">
        <v>152</v>
      </c>
      <c r="F17" s="155" t="s">
        <v>152</v>
      </c>
      <c r="G17" s="155" t="s">
        <v>152</v>
      </c>
      <c r="H17" s="155" t="s">
        <v>152</v>
      </c>
      <c r="I17" s="155" t="s">
        <v>152</v>
      </c>
      <c r="J17" s="155" t="s">
        <v>152</v>
      </c>
      <c r="K17" s="270">
        <f t="shared" ref="K17:P17" si="0">SUM(K5:K16)</f>
        <v>569215</v>
      </c>
      <c r="L17" s="270">
        <f t="shared" si="0"/>
        <v>861778</v>
      </c>
      <c r="M17" s="270">
        <f t="shared" si="0"/>
        <v>855082</v>
      </c>
      <c r="N17" s="270">
        <f t="shared" si="0"/>
        <v>895506</v>
      </c>
      <c r="O17" s="270">
        <f t="shared" si="0"/>
        <v>893814</v>
      </c>
      <c r="P17" s="270">
        <f t="shared" si="0"/>
        <v>870326</v>
      </c>
      <c r="Q17" s="270">
        <f t="shared" ref="Q17:R17" si="1">SUM(Q5:Q16)</f>
        <v>933655</v>
      </c>
      <c r="R17" s="288">
        <f t="shared" si="1"/>
        <v>471949</v>
      </c>
    </row>
    <row r="18" spans="1:18" s="164" customFormat="1" ht="6.6" x14ac:dyDescent="0.15">
      <c r="A18" s="367" t="s">
        <v>174</v>
      </c>
      <c r="B18" s="367"/>
      <c r="C18" s="367"/>
      <c r="D18" s="367"/>
      <c r="E18" s="367"/>
      <c r="F18" s="367"/>
      <c r="G18" s="367"/>
      <c r="H18" s="367"/>
      <c r="I18" s="367"/>
      <c r="J18" s="367"/>
      <c r="K18" s="367"/>
      <c r="L18" s="367"/>
      <c r="M18" s="367"/>
      <c r="N18" s="367"/>
      <c r="O18" s="367"/>
      <c r="P18" s="367"/>
      <c r="Q18" s="367"/>
      <c r="R18" s="367"/>
    </row>
    <row r="19" spans="1:18" s="162" customFormat="1" ht="18" x14ac:dyDescent="0.35">
      <c r="A19" s="361" t="s">
        <v>71</v>
      </c>
      <c r="B19" s="361"/>
      <c r="C19" s="361"/>
      <c r="D19" s="361"/>
      <c r="E19" s="361"/>
      <c r="F19" s="361"/>
      <c r="G19" s="361"/>
      <c r="H19" s="361"/>
      <c r="I19" s="361"/>
      <c r="J19" s="361"/>
      <c r="K19" s="361"/>
      <c r="L19" s="361"/>
      <c r="M19" s="361"/>
      <c r="N19" s="361"/>
      <c r="O19" s="361"/>
      <c r="P19" s="361"/>
      <c r="Q19" s="361"/>
      <c r="R19" s="361"/>
    </row>
    <row r="20" spans="1:18" s="163" customFormat="1" ht="15.6" x14ac:dyDescent="0.3">
      <c r="A20" s="95" t="s">
        <v>23</v>
      </c>
      <c r="B20" s="96">
        <v>2004</v>
      </c>
      <c r="C20" s="53">
        <v>2005</v>
      </c>
      <c r="D20" s="53">
        <v>2006</v>
      </c>
      <c r="E20" s="53">
        <v>2007</v>
      </c>
      <c r="F20" s="53">
        <v>2008</v>
      </c>
      <c r="G20" s="53">
        <v>2009</v>
      </c>
      <c r="H20" s="53">
        <v>2010</v>
      </c>
      <c r="I20" s="53">
        <v>2011</v>
      </c>
      <c r="J20" s="54">
        <v>2012</v>
      </c>
      <c r="K20" s="54">
        <v>2013</v>
      </c>
      <c r="L20" s="54">
        <v>2014</v>
      </c>
      <c r="M20" s="54">
        <v>2015</v>
      </c>
      <c r="N20" s="54">
        <v>2016</v>
      </c>
      <c r="O20" s="54">
        <v>2017</v>
      </c>
      <c r="P20" s="54">
        <v>2018</v>
      </c>
      <c r="Q20" s="54">
        <v>2019</v>
      </c>
      <c r="R20" s="49">
        <v>2020</v>
      </c>
    </row>
    <row r="21" spans="1:18" s="163" customFormat="1" ht="15.6" x14ac:dyDescent="0.3">
      <c r="A21" s="36" t="s">
        <v>24</v>
      </c>
      <c r="B21" s="148" t="s">
        <v>152</v>
      </c>
      <c r="C21" s="149" t="s">
        <v>152</v>
      </c>
      <c r="D21" s="149" t="s">
        <v>152</v>
      </c>
      <c r="E21" s="149" t="s">
        <v>152</v>
      </c>
      <c r="F21" s="149" t="s">
        <v>152</v>
      </c>
      <c r="G21" s="149" t="s">
        <v>152</v>
      </c>
      <c r="H21" s="149" t="s">
        <v>152</v>
      </c>
      <c r="I21" s="149" t="s">
        <v>152</v>
      </c>
      <c r="J21" s="149" t="s">
        <v>152</v>
      </c>
      <c r="K21" s="38" t="s">
        <v>152</v>
      </c>
      <c r="L21" s="269">
        <v>13111</v>
      </c>
      <c r="M21" s="269">
        <v>45241</v>
      </c>
      <c r="N21" s="269">
        <v>6191</v>
      </c>
      <c r="O21" s="269">
        <v>9917</v>
      </c>
      <c r="P21" s="269">
        <v>8122</v>
      </c>
      <c r="Q21" s="269">
        <v>8057</v>
      </c>
      <c r="R21" s="286">
        <v>7252</v>
      </c>
    </row>
    <row r="22" spans="1:18" s="163" customFormat="1" ht="15.6" x14ac:dyDescent="0.3">
      <c r="A22" s="13" t="s">
        <v>25</v>
      </c>
      <c r="B22" s="150" t="s">
        <v>152</v>
      </c>
      <c r="C22" s="151" t="s">
        <v>152</v>
      </c>
      <c r="D22" s="151" t="s">
        <v>152</v>
      </c>
      <c r="E22" s="151" t="s">
        <v>152</v>
      </c>
      <c r="F22" s="151" t="s">
        <v>152</v>
      </c>
      <c r="G22" s="151" t="s">
        <v>152</v>
      </c>
      <c r="H22" s="151" t="s">
        <v>152</v>
      </c>
      <c r="I22" s="151" t="s">
        <v>152</v>
      </c>
      <c r="J22" s="151" t="s">
        <v>152</v>
      </c>
      <c r="K22" s="20" t="s">
        <v>152</v>
      </c>
      <c r="L22" s="20">
        <v>17953</v>
      </c>
      <c r="M22" s="20">
        <v>15191</v>
      </c>
      <c r="N22" s="20">
        <v>8513</v>
      </c>
      <c r="O22" s="20">
        <v>8541</v>
      </c>
      <c r="P22" s="20">
        <v>6395</v>
      </c>
      <c r="Q22" s="20">
        <v>10113</v>
      </c>
      <c r="R22" s="287">
        <v>4735</v>
      </c>
    </row>
    <row r="23" spans="1:18" s="163" customFormat="1" ht="15.6" x14ac:dyDescent="0.3">
      <c r="A23" s="13" t="s">
        <v>26</v>
      </c>
      <c r="B23" s="150" t="s">
        <v>152</v>
      </c>
      <c r="C23" s="151" t="s">
        <v>152</v>
      </c>
      <c r="D23" s="151" t="s">
        <v>152</v>
      </c>
      <c r="E23" s="151" t="s">
        <v>152</v>
      </c>
      <c r="F23" s="151" t="s">
        <v>152</v>
      </c>
      <c r="G23" s="151" t="s">
        <v>152</v>
      </c>
      <c r="H23" s="151" t="s">
        <v>152</v>
      </c>
      <c r="I23" s="151" t="s">
        <v>152</v>
      </c>
      <c r="J23" s="151" t="s">
        <v>152</v>
      </c>
      <c r="K23" s="20" t="s">
        <v>152</v>
      </c>
      <c r="L23" s="20">
        <v>10560</v>
      </c>
      <c r="M23" s="20">
        <v>17407</v>
      </c>
      <c r="N23" s="20">
        <v>6178</v>
      </c>
      <c r="O23" s="20">
        <v>5448</v>
      </c>
      <c r="P23" s="20">
        <v>5958</v>
      </c>
      <c r="Q23" s="20">
        <v>13311</v>
      </c>
      <c r="R23" s="287">
        <v>6698</v>
      </c>
    </row>
    <row r="24" spans="1:18" s="163" customFormat="1" ht="15.6" x14ac:dyDescent="0.3">
      <c r="A24" s="13" t="s">
        <v>27</v>
      </c>
      <c r="B24" s="150" t="s">
        <v>152</v>
      </c>
      <c r="C24" s="151" t="s">
        <v>152</v>
      </c>
      <c r="D24" s="151" t="s">
        <v>152</v>
      </c>
      <c r="E24" s="151" t="s">
        <v>152</v>
      </c>
      <c r="F24" s="151" t="s">
        <v>152</v>
      </c>
      <c r="G24" s="151" t="s">
        <v>152</v>
      </c>
      <c r="H24" s="151" t="s">
        <v>152</v>
      </c>
      <c r="I24" s="151" t="s">
        <v>152</v>
      </c>
      <c r="J24" s="151" t="s">
        <v>152</v>
      </c>
      <c r="K24" s="20" t="s">
        <v>152</v>
      </c>
      <c r="L24" s="20">
        <v>14176</v>
      </c>
      <c r="M24" s="20">
        <v>21837</v>
      </c>
      <c r="N24" s="20">
        <v>1712</v>
      </c>
      <c r="O24" s="20">
        <v>6911</v>
      </c>
      <c r="P24" s="20">
        <v>6276</v>
      </c>
      <c r="Q24" s="20">
        <v>8883</v>
      </c>
      <c r="R24" s="287">
        <v>6894</v>
      </c>
    </row>
    <row r="25" spans="1:18" s="163" customFormat="1" ht="15.6" x14ac:dyDescent="0.3">
      <c r="A25" s="13" t="s">
        <v>28</v>
      </c>
      <c r="B25" s="150" t="s">
        <v>152</v>
      </c>
      <c r="C25" s="151" t="s">
        <v>152</v>
      </c>
      <c r="D25" s="151" t="s">
        <v>152</v>
      </c>
      <c r="E25" s="151" t="s">
        <v>152</v>
      </c>
      <c r="F25" s="151" t="s">
        <v>152</v>
      </c>
      <c r="G25" s="151" t="s">
        <v>152</v>
      </c>
      <c r="H25" s="151" t="s">
        <v>152</v>
      </c>
      <c r="I25" s="151" t="s">
        <v>152</v>
      </c>
      <c r="J25" s="151" t="s">
        <v>152</v>
      </c>
      <c r="K25" s="246">
        <v>16292</v>
      </c>
      <c r="L25" s="20">
        <v>20155</v>
      </c>
      <c r="M25" s="20">
        <v>17034</v>
      </c>
      <c r="N25" s="20">
        <v>5264</v>
      </c>
      <c r="O25" s="20">
        <v>6719</v>
      </c>
      <c r="P25" s="20">
        <v>7127</v>
      </c>
      <c r="Q25" s="20">
        <v>7299</v>
      </c>
      <c r="R25" s="287">
        <v>6315</v>
      </c>
    </row>
    <row r="26" spans="1:18" s="163" customFormat="1" ht="15.6" x14ac:dyDescent="0.3">
      <c r="A26" s="13" t="s">
        <v>29</v>
      </c>
      <c r="B26" s="150" t="s">
        <v>152</v>
      </c>
      <c r="C26" s="151" t="s">
        <v>152</v>
      </c>
      <c r="D26" s="151" t="s">
        <v>152</v>
      </c>
      <c r="E26" s="151" t="s">
        <v>152</v>
      </c>
      <c r="F26" s="151" t="s">
        <v>152</v>
      </c>
      <c r="G26" s="151" t="s">
        <v>152</v>
      </c>
      <c r="H26" s="151" t="s">
        <v>152</v>
      </c>
      <c r="I26" s="151" t="s">
        <v>152</v>
      </c>
      <c r="J26" s="151" t="s">
        <v>152</v>
      </c>
      <c r="K26" s="20">
        <v>13965</v>
      </c>
      <c r="L26" s="20">
        <v>22237</v>
      </c>
      <c r="M26" s="20">
        <v>13301</v>
      </c>
      <c r="N26" s="20">
        <v>2210</v>
      </c>
      <c r="O26" s="20">
        <v>9004</v>
      </c>
      <c r="P26" s="20">
        <v>4824</v>
      </c>
      <c r="Q26" s="20">
        <v>7750</v>
      </c>
      <c r="R26" s="287">
        <v>8702</v>
      </c>
    </row>
    <row r="27" spans="1:18" s="163" customFormat="1" ht="15.6" x14ac:dyDescent="0.3">
      <c r="A27" s="13" t="s">
        <v>30</v>
      </c>
      <c r="B27" s="150" t="s">
        <v>152</v>
      </c>
      <c r="C27" s="151" t="s">
        <v>152</v>
      </c>
      <c r="D27" s="151" t="s">
        <v>152</v>
      </c>
      <c r="E27" s="151" t="s">
        <v>152</v>
      </c>
      <c r="F27" s="151" t="s">
        <v>152</v>
      </c>
      <c r="G27" s="151" t="s">
        <v>152</v>
      </c>
      <c r="H27" s="151" t="s">
        <v>152</v>
      </c>
      <c r="I27" s="151" t="s">
        <v>152</v>
      </c>
      <c r="J27" s="151" t="s">
        <v>152</v>
      </c>
      <c r="K27" s="20">
        <v>7031</v>
      </c>
      <c r="L27" s="20">
        <v>6273</v>
      </c>
      <c r="M27" s="20">
        <v>3148</v>
      </c>
      <c r="N27" s="20">
        <v>3434</v>
      </c>
      <c r="O27" s="20">
        <v>4999</v>
      </c>
      <c r="P27" s="20">
        <v>4016</v>
      </c>
      <c r="Q27" s="20">
        <v>5129</v>
      </c>
      <c r="R27" s="295" t="s">
        <v>152</v>
      </c>
    </row>
    <row r="28" spans="1:18" s="163" customFormat="1" ht="15.6" x14ac:dyDescent="0.3">
      <c r="A28" s="13" t="s">
        <v>31</v>
      </c>
      <c r="B28" s="150" t="s">
        <v>152</v>
      </c>
      <c r="C28" s="151" t="s">
        <v>152</v>
      </c>
      <c r="D28" s="151" t="s">
        <v>152</v>
      </c>
      <c r="E28" s="151" t="s">
        <v>152</v>
      </c>
      <c r="F28" s="151" t="s">
        <v>152</v>
      </c>
      <c r="G28" s="151" t="s">
        <v>152</v>
      </c>
      <c r="H28" s="151" t="s">
        <v>152</v>
      </c>
      <c r="I28" s="151" t="s">
        <v>152</v>
      </c>
      <c r="J28" s="151" t="s">
        <v>152</v>
      </c>
      <c r="K28" s="20">
        <v>25192</v>
      </c>
      <c r="L28" s="20">
        <v>25128</v>
      </c>
      <c r="M28" s="20">
        <v>15660</v>
      </c>
      <c r="N28" s="20">
        <v>11391</v>
      </c>
      <c r="O28" s="20">
        <v>11554</v>
      </c>
      <c r="P28" s="20">
        <v>7932</v>
      </c>
      <c r="Q28" s="20">
        <v>10989</v>
      </c>
      <c r="R28" s="295" t="s">
        <v>152</v>
      </c>
    </row>
    <row r="29" spans="1:18" s="163" customFormat="1" ht="15.6" x14ac:dyDescent="0.3">
      <c r="A29" s="13" t="s">
        <v>32</v>
      </c>
      <c r="B29" s="150" t="s">
        <v>152</v>
      </c>
      <c r="C29" s="151" t="s">
        <v>152</v>
      </c>
      <c r="D29" s="151" t="s">
        <v>152</v>
      </c>
      <c r="E29" s="151" t="s">
        <v>152</v>
      </c>
      <c r="F29" s="151" t="s">
        <v>152</v>
      </c>
      <c r="G29" s="151" t="s">
        <v>152</v>
      </c>
      <c r="H29" s="151" t="s">
        <v>152</v>
      </c>
      <c r="I29" s="151" t="s">
        <v>152</v>
      </c>
      <c r="J29" s="151" t="s">
        <v>152</v>
      </c>
      <c r="K29" s="20">
        <v>16268</v>
      </c>
      <c r="L29" s="20">
        <v>13757</v>
      </c>
      <c r="M29" s="20">
        <v>5129</v>
      </c>
      <c r="N29" s="20">
        <v>6795</v>
      </c>
      <c r="O29" s="20">
        <v>6672</v>
      </c>
      <c r="P29" s="20">
        <v>5427</v>
      </c>
      <c r="Q29" s="20">
        <v>5873</v>
      </c>
      <c r="R29" s="295" t="s">
        <v>152</v>
      </c>
    </row>
    <row r="30" spans="1:18" s="163" customFormat="1" ht="15.6" x14ac:dyDescent="0.3">
      <c r="A30" s="13" t="s">
        <v>33</v>
      </c>
      <c r="B30" s="150" t="s">
        <v>152</v>
      </c>
      <c r="C30" s="151" t="s">
        <v>152</v>
      </c>
      <c r="D30" s="151" t="s">
        <v>152</v>
      </c>
      <c r="E30" s="151" t="s">
        <v>152</v>
      </c>
      <c r="F30" s="151" t="s">
        <v>152</v>
      </c>
      <c r="G30" s="151" t="s">
        <v>152</v>
      </c>
      <c r="H30" s="151" t="s">
        <v>152</v>
      </c>
      <c r="I30" s="151" t="s">
        <v>152</v>
      </c>
      <c r="J30" s="151" t="s">
        <v>152</v>
      </c>
      <c r="K30" s="20">
        <v>18251</v>
      </c>
      <c r="L30" s="20">
        <v>23794</v>
      </c>
      <c r="M30" s="20">
        <v>6079</v>
      </c>
      <c r="N30" s="20">
        <v>9292</v>
      </c>
      <c r="O30" s="20">
        <v>11995</v>
      </c>
      <c r="P30" s="20">
        <v>5728</v>
      </c>
      <c r="Q30" s="20">
        <v>15948</v>
      </c>
      <c r="R30" s="295" t="s">
        <v>152</v>
      </c>
    </row>
    <row r="31" spans="1:18" s="163" customFormat="1" ht="15.6" x14ac:dyDescent="0.3">
      <c r="A31" s="13" t="s">
        <v>34</v>
      </c>
      <c r="B31" s="150" t="s">
        <v>152</v>
      </c>
      <c r="C31" s="151" t="s">
        <v>152</v>
      </c>
      <c r="D31" s="151" t="s">
        <v>152</v>
      </c>
      <c r="E31" s="151" t="s">
        <v>152</v>
      </c>
      <c r="F31" s="151" t="s">
        <v>152</v>
      </c>
      <c r="G31" s="151" t="s">
        <v>152</v>
      </c>
      <c r="H31" s="151" t="s">
        <v>152</v>
      </c>
      <c r="I31" s="151" t="s">
        <v>152</v>
      </c>
      <c r="J31" s="151" t="s">
        <v>152</v>
      </c>
      <c r="K31" s="20">
        <v>12716</v>
      </c>
      <c r="L31" s="20">
        <v>20307</v>
      </c>
      <c r="M31" s="20">
        <v>5247</v>
      </c>
      <c r="N31" s="20">
        <v>9211</v>
      </c>
      <c r="O31" s="20">
        <v>11638</v>
      </c>
      <c r="P31" s="20">
        <v>7396</v>
      </c>
      <c r="Q31" s="20">
        <v>5955</v>
      </c>
      <c r="R31" s="295" t="s">
        <v>152</v>
      </c>
    </row>
    <row r="32" spans="1:18" s="163" customFormat="1" ht="16.2" thickBot="1" x14ac:dyDescent="0.35">
      <c r="A32" s="100" t="s">
        <v>36</v>
      </c>
      <c r="B32" s="152" t="s">
        <v>152</v>
      </c>
      <c r="C32" s="153" t="s">
        <v>152</v>
      </c>
      <c r="D32" s="153" t="s">
        <v>152</v>
      </c>
      <c r="E32" s="153" t="s">
        <v>152</v>
      </c>
      <c r="F32" s="153" t="s">
        <v>152</v>
      </c>
      <c r="G32" s="153" t="s">
        <v>152</v>
      </c>
      <c r="H32" s="153" t="s">
        <v>152</v>
      </c>
      <c r="I32" s="153" t="s">
        <v>152</v>
      </c>
      <c r="J32" s="153" t="s">
        <v>152</v>
      </c>
      <c r="K32" s="28">
        <v>16832</v>
      </c>
      <c r="L32" s="28">
        <v>13677</v>
      </c>
      <c r="M32" s="28">
        <v>4958</v>
      </c>
      <c r="N32" s="28">
        <v>7247</v>
      </c>
      <c r="O32" s="28">
        <v>5143</v>
      </c>
      <c r="P32" s="28">
        <v>6805</v>
      </c>
      <c r="Q32" s="28">
        <v>6304</v>
      </c>
      <c r="R32" s="292" t="s">
        <v>152</v>
      </c>
    </row>
    <row r="33" spans="1:18" s="163" customFormat="1" ht="16.2" thickTop="1" x14ac:dyDescent="0.3">
      <c r="A33" s="94" t="s">
        <v>37</v>
      </c>
      <c r="B33" s="154" t="s">
        <v>152</v>
      </c>
      <c r="C33" s="155" t="s">
        <v>152</v>
      </c>
      <c r="D33" s="155" t="s">
        <v>152</v>
      </c>
      <c r="E33" s="155" t="s">
        <v>152</v>
      </c>
      <c r="F33" s="155" t="s">
        <v>152</v>
      </c>
      <c r="G33" s="155" t="s">
        <v>152</v>
      </c>
      <c r="H33" s="155" t="s">
        <v>152</v>
      </c>
      <c r="I33" s="155" t="s">
        <v>152</v>
      </c>
      <c r="J33" s="155" t="s">
        <v>152</v>
      </c>
      <c r="K33" s="270">
        <f t="shared" ref="K33:P33" si="2">SUM(K21:K32)</f>
        <v>126547</v>
      </c>
      <c r="L33" s="270">
        <f t="shared" si="2"/>
        <v>201128</v>
      </c>
      <c r="M33" s="270">
        <f t="shared" si="2"/>
        <v>170232</v>
      </c>
      <c r="N33" s="270">
        <f t="shared" si="2"/>
        <v>77438</v>
      </c>
      <c r="O33" s="270">
        <f t="shared" si="2"/>
        <v>98541</v>
      </c>
      <c r="P33" s="270">
        <f t="shared" si="2"/>
        <v>76006</v>
      </c>
      <c r="Q33" s="270">
        <f t="shared" ref="Q33:R33" si="3">SUM(Q21:Q32)</f>
        <v>105611</v>
      </c>
      <c r="R33" s="288">
        <f t="shared" si="3"/>
        <v>40596</v>
      </c>
    </row>
    <row r="34" spans="1:18" s="164" customFormat="1" ht="6.6" x14ac:dyDescent="0.15">
      <c r="A34" s="367" t="s">
        <v>174</v>
      </c>
      <c r="B34" s="367"/>
      <c r="C34" s="367"/>
      <c r="D34" s="367"/>
      <c r="E34" s="367"/>
      <c r="F34" s="367"/>
      <c r="G34" s="367"/>
      <c r="H34" s="367"/>
      <c r="I34" s="367"/>
      <c r="J34" s="367"/>
      <c r="K34" s="367"/>
      <c r="L34" s="367"/>
      <c r="M34" s="367"/>
      <c r="N34" s="367"/>
      <c r="O34" s="367"/>
      <c r="P34" s="367"/>
      <c r="Q34" s="367"/>
      <c r="R34" s="367"/>
    </row>
    <row r="35" spans="1:18" s="162" customFormat="1" ht="18" x14ac:dyDescent="0.35">
      <c r="A35" s="361" t="s">
        <v>112</v>
      </c>
      <c r="B35" s="361"/>
      <c r="C35" s="361"/>
      <c r="D35" s="361"/>
      <c r="E35" s="361"/>
      <c r="F35" s="361"/>
      <c r="G35" s="361"/>
      <c r="H35" s="361"/>
      <c r="I35" s="361"/>
      <c r="J35" s="361"/>
      <c r="K35" s="361"/>
      <c r="L35" s="361"/>
      <c r="M35" s="361"/>
      <c r="N35" s="361"/>
      <c r="O35" s="361"/>
      <c r="P35" s="361"/>
      <c r="Q35" s="361"/>
      <c r="R35" s="361"/>
    </row>
    <row r="36" spans="1:18" s="163" customFormat="1" ht="15.6" x14ac:dyDescent="0.3">
      <c r="A36" s="95" t="s">
        <v>23</v>
      </c>
      <c r="B36" s="96">
        <v>2004</v>
      </c>
      <c r="C36" s="53">
        <v>2005</v>
      </c>
      <c r="D36" s="53">
        <v>2006</v>
      </c>
      <c r="E36" s="53">
        <v>2007</v>
      </c>
      <c r="F36" s="53">
        <v>2008</v>
      </c>
      <c r="G36" s="53">
        <v>2009</v>
      </c>
      <c r="H36" s="53">
        <v>2010</v>
      </c>
      <c r="I36" s="53">
        <v>2011</v>
      </c>
      <c r="J36" s="54">
        <v>2012</v>
      </c>
      <c r="K36" s="54">
        <v>2013</v>
      </c>
      <c r="L36" s="54">
        <v>2014</v>
      </c>
      <c r="M36" s="54">
        <v>2015</v>
      </c>
      <c r="N36" s="54">
        <v>2016</v>
      </c>
      <c r="O36" s="54">
        <v>2017</v>
      </c>
      <c r="P36" s="54">
        <v>2018</v>
      </c>
      <c r="Q36" s="54">
        <v>2019</v>
      </c>
      <c r="R36" s="49">
        <v>2020</v>
      </c>
    </row>
    <row r="37" spans="1:18" s="163" customFormat="1" ht="15.6" x14ac:dyDescent="0.3">
      <c r="A37" s="36" t="s">
        <v>24</v>
      </c>
      <c r="B37" s="148" t="s">
        <v>152</v>
      </c>
      <c r="C37" s="149" t="s">
        <v>152</v>
      </c>
      <c r="D37" s="149" t="s">
        <v>152</v>
      </c>
      <c r="E37" s="149" t="s">
        <v>152</v>
      </c>
      <c r="F37" s="149" t="s">
        <v>152</v>
      </c>
      <c r="G37" s="149" t="s">
        <v>152</v>
      </c>
      <c r="H37" s="149" t="s">
        <v>152</v>
      </c>
      <c r="I37" s="149" t="s">
        <v>152</v>
      </c>
      <c r="J37" s="149" t="s">
        <v>152</v>
      </c>
      <c r="K37" s="38" t="s">
        <v>152</v>
      </c>
      <c r="L37" s="269">
        <v>0</v>
      </c>
      <c r="M37" s="269">
        <v>0</v>
      </c>
      <c r="N37" s="269">
        <v>-80916</v>
      </c>
      <c r="O37" s="269">
        <v>0</v>
      </c>
      <c r="P37" s="269">
        <v>-14</v>
      </c>
      <c r="Q37" s="269">
        <v>0</v>
      </c>
      <c r="R37" s="286">
        <v>-5520</v>
      </c>
    </row>
    <row r="38" spans="1:18" s="163" customFormat="1" ht="15.6" x14ac:dyDescent="0.3">
      <c r="A38" s="13" t="s">
        <v>25</v>
      </c>
      <c r="B38" s="150" t="s">
        <v>152</v>
      </c>
      <c r="C38" s="151" t="s">
        <v>152</v>
      </c>
      <c r="D38" s="151" t="s">
        <v>152</v>
      </c>
      <c r="E38" s="151" t="s">
        <v>152</v>
      </c>
      <c r="F38" s="151" t="s">
        <v>152</v>
      </c>
      <c r="G38" s="151" t="s">
        <v>152</v>
      </c>
      <c r="H38" s="151" t="s">
        <v>152</v>
      </c>
      <c r="I38" s="151" t="s">
        <v>152</v>
      </c>
      <c r="J38" s="151" t="s">
        <v>152</v>
      </c>
      <c r="K38" s="20" t="s">
        <v>152</v>
      </c>
      <c r="L38" s="20">
        <v>-11</v>
      </c>
      <c r="M38" s="20">
        <v>-132</v>
      </c>
      <c r="N38" s="20">
        <v>-43663</v>
      </c>
      <c r="O38" s="20">
        <v>0</v>
      </c>
      <c r="P38" s="20">
        <v>0</v>
      </c>
      <c r="Q38" s="20">
        <v>-35</v>
      </c>
      <c r="R38" s="287">
        <v>0</v>
      </c>
    </row>
    <row r="39" spans="1:18" s="163" customFormat="1" ht="15.6" x14ac:dyDescent="0.3">
      <c r="A39" s="13" t="s">
        <v>26</v>
      </c>
      <c r="B39" s="150" t="s">
        <v>152</v>
      </c>
      <c r="C39" s="151" t="s">
        <v>152</v>
      </c>
      <c r="D39" s="151" t="s">
        <v>152</v>
      </c>
      <c r="E39" s="151" t="s">
        <v>152</v>
      </c>
      <c r="F39" s="151" t="s">
        <v>152</v>
      </c>
      <c r="G39" s="151" t="s">
        <v>152</v>
      </c>
      <c r="H39" s="151" t="s">
        <v>152</v>
      </c>
      <c r="I39" s="151" t="s">
        <v>152</v>
      </c>
      <c r="J39" s="151" t="s">
        <v>152</v>
      </c>
      <c r="K39" s="20" t="s">
        <v>152</v>
      </c>
      <c r="L39" s="20">
        <v>-181</v>
      </c>
      <c r="M39" s="20">
        <v>-3596</v>
      </c>
      <c r="N39" s="20">
        <v>-241</v>
      </c>
      <c r="O39" s="20">
        <v>0</v>
      </c>
      <c r="P39" s="20">
        <v>0</v>
      </c>
      <c r="Q39" s="20">
        <v>-28</v>
      </c>
      <c r="R39" s="287">
        <v>0</v>
      </c>
    </row>
    <row r="40" spans="1:18" s="163" customFormat="1" ht="15.6" x14ac:dyDescent="0.3">
      <c r="A40" s="13" t="s">
        <v>27</v>
      </c>
      <c r="B40" s="150" t="s">
        <v>152</v>
      </c>
      <c r="C40" s="151" t="s">
        <v>152</v>
      </c>
      <c r="D40" s="151" t="s">
        <v>152</v>
      </c>
      <c r="E40" s="151" t="s">
        <v>152</v>
      </c>
      <c r="F40" s="151" t="s">
        <v>152</v>
      </c>
      <c r="G40" s="151" t="s">
        <v>152</v>
      </c>
      <c r="H40" s="151" t="s">
        <v>152</v>
      </c>
      <c r="I40" s="151" t="s">
        <v>152</v>
      </c>
      <c r="J40" s="151" t="s">
        <v>152</v>
      </c>
      <c r="K40" s="20" t="s">
        <v>152</v>
      </c>
      <c r="L40" s="20">
        <v>-41868</v>
      </c>
      <c r="M40" s="20">
        <v>-73</v>
      </c>
      <c r="N40" s="20">
        <v>-509</v>
      </c>
      <c r="O40" s="20">
        <v>-11</v>
      </c>
      <c r="P40" s="20">
        <v>-1784</v>
      </c>
      <c r="Q40" s="20">
        <v>-230</v>
      </c>
      <c r="R40" s="287">
        <v>-628</v>
      </c>
    </row>
    <row r="41" spans="1:18" s="163" customFormat="1" ht="15.6" x14ac:dyDescent="0.3">
      <c r="A41" s="13" t="s">
        <v>28</v>
      </c>
      <c r="B41" s="150" t="s">
        <v>152</v>
      </c>
      <c r="C41" s="151" t="s">
        <v>152</v>
      </c>
      <c r="D41" s="151" t="s">
        <v>152</v>
      </c>
      <c r="E41" s="151" t="s">
        <v>152</v>
      </c>
      <c r="F41" s="151" t="s">
        <v>152</v>
      </c>
      <c r="G41" s="151" t="s">
        <v>152</v>
      </c>
      <c r="H41" s="151" t="s">
        <v>152</v>
      </c>
      <c r="I41" s="151" t="s">
        <v>152</v>
      </c>
      <c r="J41" s="151" t="s">
        <v>152</v>
      </c>
      <c r="K41" s="246">
        <v>0</v>
      </c>
      <c r="L41" s="20">
        <v>-205</v>
      </c>
      <c r="M41" s="20">
        <v>-50745</v>
      </c>
      <c r="N41" s="20">
        <v>0</v>
      </c>
      <c r="O41" s="20">
        <v>10</v>
      </c>
      <c r="P41" s="20">
        <v>0</v>
      </c>
      <c r="Q41" s="20">
        <v>0</v>
      </c>
      <c r="R41" s="287">
        <v>-11511</v>
      </c>
    </row>
    <row r="42" spans="1:18" s="163" customFormat="1" ht="15.6" x14ac:dyDescent="0.3">
      <c r="A42" s="13" t="s">
        <v>29</v>
      </c>
      <c r="B42" s="150" t="s">
        <v>152</v>
      </c>
      <c r="C42" s="151" t="s">
        <v>152</v>
      </c>
      <c r="D42" s="151" t="s">
        <v>152</v>
      </c>
      <c r="E42" s="151" t="s">
        <v>152</v>
      </c>
      <c r="F42" s="151" t="s">
        <v>152</v>
      </c>
      <c r="G42" s="151" t="s">
        <v>152</v>
      </c>
      <c r="H42" s="151" t="s">
        <v>152</v>
      </c>
      <c r="I42" s="151" t="s">
        <v>152</v>
      </c>
      <c r="J42" s="151" t="s">
        <v>152</v>
      </c>
      <c r="K42" s="20">
        <v>0</v>
      </c>
      <c r="L42" s="20">
        <v>0</v>
      </c>
      <c r="M42" s="20">
        <v>-44</v>
      </c>
      <c r="N42" s="20">
        <v>-15607</v>
      </c>
      <c r="O42" s="20">
        <v>0</v>
      </c>
      <c r="P42" s="20">
        <v>-38</v>
      </c>
      <c r="Q42" s="20">
        <v>0</v>
      </c>
      <c r="R42" s="287">
        <v>0</v>
      </c>
    </row>
    <row r="43" spans="1:18" s="163" customFormat="1" ht="15.6" x14ac:dyDescent="0.3">
      <c r="A43" s="13" t="s">
        <v>30</v>
      </c>
      <c r="B43" s="150" t="s">
        <v>152</v>
      </c>
      <c r="C43" s="151" t="s">
        <v>152</v>
      </c>
      <c r="D43" s="151" t="s">
        <v>152</v>
      </c>
      <c r="E43" s="151" t="s">
        <v>152</v>
      </c>
      <c r="F43" s="151" t="s">
        <v>152</v>
      </c>
      <c r="G43" s="151" t="s">
        <v>152</v>
      </c>
      <c r="H43" s="151" t="s">
        <v>152</v>
      </c>
      <c r="I43" s="151" t="s">
        <v>152</v>
      </c>
      <c r="J43" s="151" t="s">
        <v>152</v>
      </c>
      <c r="K43" s="20">
        <v>0</v>
      </c>
      <c r="L43" s="20">
        <v>-466</v>
      </c>
      <c r="M43" s="20">
        <v>-38382</v>
      </c>
      <c r="N43" s="20">
        <v>-886</v>
      </c>
      <c r="O43" s="20">
        <v>-47</v>
      </c>
      <c r="P43" s="20">
        <v>0</v>
      </c>
      <c r="Q43" s="20">
        <v>0</v>
      </c>
      <c r="R43" s="295" t="s">
        <v>152</v>
      </c>
    </row>
    <row r="44" spans="1:18" s="163" customFormat="1" ht="15.6" x14ac:dyDescent="0.3">
      <c r="A44" s="13" t="s">
        <v>31</v>
      </c>
      <c r="B44" s="150" t="s">
        <v>152</v>
      </c>
      <c r="C44" s="151" t="s">
        <v>152</v>
      </c>
      <c r="D44" s="151" t="s">
        <v>152</v>
      </c>
      <c r="E44" s="151" t="s">
        <v>152</v>
      </c>
      <c r="F44" s="151" t="s">
        <v>152</v>
      </c>
      <c r="G44" s="151" t="s">
        <v>152</v>
      </c>
      <c r="H44" s="151" t="s">
        <v>152</v>
      </c>
      <c r="I44" s="151" t="s">
        <v>152</v>
      </c>
      <c r="J44" s="151" t="s">
        <v>152</v>
      </c>
      <c r="K44" s="20">
        <v>0</v>
      </c>
      <c r="L44" s="20">
        <v>-26684</v>
      </c>
      <c r="M44" s="20">
        <v>-92</v>
      </c>
      <c r="N44" s="20">
        <v>0</v>
      </c>
      <c r="O44" s="20">
        <v>-31</v>
      </c>
      <c r="P44" s="20">
        <v>0</v>
      </c>
      <c r="Q44" s="20">
        <v>0</v>
      </c>
      <c r="R44" s="295" t="s">
        <v>152</v>
      </c>
    </row>
    <row r="45" spans="1:18" s="163" customFormat="1" ht="15.6" x14ac:dyDescent="0.3">
      <c r="A45" s="13" t="s">
        <v>32</v>
      </c>
      <c r="B45" s="150" t="s">
        <v>152</v>
      </c>
      <c r="C45" s="151" t="s">
        <v>152</v>
      </c>
      <c r="D45" s="151" t="s">
        <v>152</v>
      </c>
      <c r="E45" s="151" t="s">
        <v>152</v>
      </c>
      <c r="F45" s="151" t="s">
        <v>152</v>
      </c>
      <c r="G45" s="151" t="s">
        <v>152</v>
      </c>
      <c r="H45" s="151" t="s">
        <v>152</v>
      </c>
      <c r="I45" s="151" t="s">
        <v>152</v>
      </c>
      <c r="J45" s="151" t="s">
        <v>152</v>
      </c>
      <c r="K45" s="20">
        <v>0</v>
      </c>
      <c r="L45" s="20">
        <v>0</v>
      </c>
      <c r="M45" s="20">
        <v>0</v>
      </c>
      <c r="N45" s="20">
        <v>0</v>
      </c>
      <c r="O45" s="20">
        <v>0</v>
      </c>
      <c r="P45" s="20">
        <v>0</v>
      </c>
      <c r="Q45" s="20">
        <v>-549</v>
      </c>
      <c r="R45" s="295" t="s">
        <v>152</v>
      </c>
    </row>
    <row r="46" spans="1:18" s="163" customFormat="1" ht="15.6" x14ac:dyDescent="0.3">
      <c r="A46" s="13" t="s">
        <v>33</v>
      </c>
      <c r="B46" s="150" t="s">
        <v>152</v>
      </c>
      <c r="C46" s="151" t="s">
        <v>152</v>
      </c>
      <c r="D46" s="151" t="s">
        <v>152</v>
      </c>
      <c r="E46" s="151" t="s">
        <v>152</v>
      </c>
      <c r="F46" s="151" t="s">
        <v>152</v>
      </c>
      <c r="G46" s="151" t="s">
        <v>152</v>
      </c>
      <c r="H46" s="151" t="s">
        <v>152</v>
      </c>
      <c r="I46" s="151" t="s">
        <v>152</v>
      </c>
      <c r="J46" s="151" t="s">
        <v>152</v>
      </c>
      <c r="K46" s="20">
        <v>0</v>
      </c>
      <c r="L46" s="20">
        <v>0</v>
      </c>
      <c r="M46" s="20">
        <v>-21120</v>
      </c>
      <c r="N46" s="20">
        <v>0</v>
      </c>
      <c r="O46" s="20">
        <v>-1974</v>
      </c>
      <c r="P46" s="20">
        <v>0</v>
      </c>
      <c r="Q46" s="20">
        <v>0</v>
      </c>
      <c r="R46" s="295" t="s">
        <v>152</v>
      </c>
    </row>
    <row r="47" spans="1:18" s="163" customFormat="1" ht="15.6" x14ac:dyDescent="0.3">
      <c r="A47" s="13" t="s">
        <v>34</v>
      </c>
      <c r="B47" s="150" t="s">
        <v>152</v>
      </c>
      <c r="C47" s="151" t="s">
        <v>152</v>
      </c>
      <c r="D47" s="151" t="s">
        <v>152</v>
      </c>
      <c r="E47" s="151" t="s">
        <v>152</v>
      </c>
      <c r="F47" s="151" t="s">
        <v>152</v>
      </c>
      <c r="G47" s="151" t="s">
        <v>152</v>
      </c>
      <c r="H47" s="151" t="s">
        <v>152</v>
      </c>
      <c r="I47" s="151" t="s">
        <v>152</v>
      </c>
      <c r="J47" s="151" t="s">
        <v>152</v>
      </c>
      <c r="K47" s="20">
        <v>0</v>
      </c>
      <c r="L47" s="20">
        <v>0</v>
      </c>
      <c r="M47" s="20">
        <v>-33</v>
      </c>
      <c r="N47" s="20">
        <v>0</v>
      </c>
      <c r="O47" s="20">
        <v>0</v>
      </c>
      <c r="P47" s="20">
        <v>0</v>
      </c>
      <c r="Q47" s="20">
        <v>0</v>
      </c>
      <c r="R47" s="295" t="s">
        <v>152</v>
      </c>
    </row>
    <row r="48" spans="1:18" s="163" customFormat="1" ht="16.2" thickBot="1" x14ac:dyDescent="0.35">
      <c r="A48" s="100" t="s">
        <v>36</v>
      </c>
      <c r="B48" s="152" t="s">
        <v>152</v>
      </c>
      <c r="C48" s="153" t="s">
        <v>152</v>
      </c>
      <c r="D48" s="153" t="s">
        <v>152</v>
      </c>
      <c r="E48" s="153" t="s">
        <v>152</v>
      </c>
      <c r="F48" s="153" t="s">
        <v>152</v>
      </c>
      <c r="G48" s="153" t="s">
        <v>152</v>
      </c>
      <c r="H48" s="153" t="s">
        <v>152</v>
      </c>
      <c r="I48" s="153" t="s">
        <v>152</v>
      </c>
      <c r="J48" s="153" t="s">
        <v>152</v>
      </c>
      <c r="K48" s="28">
        <v>0</v>
      </c>
      <c r="L48" s="28">
        <v>0</v>
      </c>
      <c r="M48" s="28">
        <v>0</v>
      </c>
      <c r="N48" s="28">
        <v>0</v>
      </c>
      <c r="O48" s="28">
        <v>0</v>
      </c>
      <c r="P48" s="28">
        <v>0</v>
      </c>
      <c r="Q48" s="28">
        <v>0</v>
      </c>
      <c r="R48" s="292" t="s">
        <v>152</v>
      </c>
    </row>
    <row r="49" spans="1:18" s="163" customFormat="1" ht="16.2" thickTop="1" x14ac:dyDescent="0.3">
      <c r="A49" s="94" t="s">
        <v>37</v>
      </c>
      <c r="B49" s="154" t="s">
        <v>152</v>
      </c>
      <c r="C49" s="155" t="s">
        <v>152</v>
      </c>
      <c r="D49" s="155" t="s">
        <v>152</v>
      </c>
      <c r="E49" s="155" t="s">
        <v>152</v>
      </c>
      <c r="F49" s="155" t="s">
        <v>152</v>
      </c>
      <c r="G49" s="155" t="s">
        <v>152</v>
      </c>
      <c r="H49" s="155" t="s">
        <v>152</v>
      </c>
      <c r="I49" s="155" t="s">
        <v>152</v>
      </c>
      <c r="J49" s="155" t="s">
        <v>152</v>
      </c>
      <c r="K49" s="270">
        <f t="shared" ref="K49:P49" si="4">SUM(K37:K48)</f>
        <v>0</v>
      </c>
      <c r="L49" s="270">
        <f t="shared" si="4"/>
        <v>-69415</v>
      </c>
      <c r="M49" s="270">
        <f t="shared" si="4"/>
        <v>-114217</v>
      </c>
      <c r="N49" s="270">
        <f t="shared" si="4"/>
        <v>-141822</v>
      </c>
      <c r="O49" s="270">
        <f t="shared" si="4"/>
        <v>-2053</v>
      </c>
      <c r="P49" s="270">
        <f t="shared" si="4"/>
        <v>-1836</v>
      </c>
      <c r="Q49" s="270">
        <f t="shared" ref="Q49:R49" si="5">SUM(Q37:Q48)</f>
        <v>-842</v>
      </c>
      <c r="R49" s="288">
        <f t="shared" si="5"/>
        <v>-17659</v>
      </c>
    </row>
    <row r="50" spans="1:18" s="164" customFormat="1" ht="6.6" x14ac:dyDescent="0.15">
      <c r="A50" s="367" t="s">
        <v>174</v>
      </c>
      <c r="B50" s="367"/>
      <c r="C50" s="367"/>
      <c r="D50" s="367"/>
      <c r="E50" s="367"/>
      <c r="F50" s="367"/>
      <c r="G50" s="367"/>
      <c r="H50" s="367"/>
      <c r="I50" s="367"/>
      <c r="J50" s="367"/>
      <c r="K50" s="367"/>
      <c r="L50" s="367"/>
      <c r="M50" s="367"/>
      <c r="N50" s="367"/>
      <c r="O50" s="367"/>
      <c r="P50" s="367"/>
      <c r="Q50" s="367"/>
      <c r="R50" s="367"/>
    </row>
    <row r="51" spans="1:18" s="118" customFormat="1" ht="13.8" x14ac:dyDescent="0.3">
      <c r="A51" s="366" t="s">
        <v>156</v>
      </c>
      <c r="B51" s="366"/>
      <c r="C51" s="366"/>
      <c r="D51" s="366"/>
      <c r="E51" s="366"/>
      <c r="F51" s="366"/>
      <c r="G51" s="366"/>
      <c r="H51" s="366"/>
      <c r="I51" s="366"/>
      <c r="J51" s="366"/>
      <c r="K51" s="366"/>
      <c r="L51" s="366"/>
      <c r="M51" s="366"/>
      <c r="N51" s="366"/>
      <c r="O51" s="366"/>
      <c r="P51" s="366"/>
      <c r="Q51" s="366"/>
      <c r="R51" s="366"/>
    </row>
    <row r="52" spans="1:18" s="118" customFormat="1" ht="13.8" x14ac:dyDescent="0.3">
      <c r="A52" s="375" t="str">
        <f>'Local SUT'!A60</f>
        <v>Source:  Minnesota Department of Revenue, Tax Research Division, February 2021</v>
      </c>
      <c r="B52" s="375"/>
      <c r="C52" s="375"/>
      <c r="D52" s="375"/>
      <c r="E52" s="375"/>
      <c r="F52" s="375"/>
      <c r="G52" s="375"/>
      <c r="H52" s="375"/>
      <c r="I52" s="375"/>
      <c r="J52" s="375"/>
      <c r="K52" s="375"/>
      <c r="L52" s="375"/>
      <c r="M52" s="375"/>
      <c r="N52" s="375"/>
      <c r="O52" s="375"/>
      <c r="P52" s="375"/>
      <c r="Q52" s="375"/>
      <c r="R52" s="375"/>
    </row>
    <row r="53" spans="1:18" s="118" customFormat="1" ht="13.8" x14ac:dyDescent="0.3">
      <c r="A53" s="376" t="s">
        <v>151</v>
      </c>
      <c r="B53" s="376"/>
      <c r="C53" s="376"/>
      <c r="D53" s="376"/>
      <c r="E53" s="376"/>
      <c r="F53" s="376"/>
      <c r="G53" s="376"/>
      <c r="H53" s="376"/>
      <c r="I53" s="376"/>
      <c r="J53" s="376"/>
      <c r="K53" s="376"/>
      <c r="L53" s="376"/>
      <c r="M53" s="376"/>
      <c r="N53" s="376"/>
      <c r="O53" s="376"/>
      <c r="P53" s="376"/>
      <c r="Q53" s="376"/>
      <c r="R53" s="376"/>
    </row>
    <row r="54" spans="1:18" x14ac:dyDescent="0.3">
      <c r="R54" s="117"/>
    </row>
  </sheetData>
  <mergeCells count="11">
    <mergeCell ref="A50:R50"/>
    <mergeCell ref="A51:R51"/>
    <mergeCell ref="A52:R52"/>
    <mergeCell ref="A53:R53"/>
    <mergeCell ref="A1:R1"/>
    <mergeCell ref="A2:R2"/>
    <mergeCell ref="A3:R3"/>
    <mergeCell ref="A18:R18"/>
    <mergeCell ref="A19:R19"/>
    <mergeCell ref="A34:R34"/>
    <mergeCell ref="A35:R35"/>
  </mergeCells>
  <pageMargins left="0.75" right="0" top="0.75" bottom="0.75" header="0.3" footer="0.3"/>
  <pageSetup scale="86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45D4CA-B29F-4886-8545-9244973C4581}">
  <sheetPr codeName="Sheet38">
    <pageSetUpPr fitToPage="1"/>
  </sheetPr>
  <dimension ref="A1:V54"/>
  <sheetViews>
    <sheetView showGridLines="0" zoomScaleNormal="100" workbookViewId="0">
      <pane ySplit="1" topLeftCell="A2" activePane="bottomLeft" state="frozen"/>
      <selection pane="bottomLeft" sqref="A1:V1"/>
    </sheetView>
  </sheetViews>
  <sheetFormatPr defaultColWidth="12.5546875" defaultRowHeight="14.4" x14ac:dyDescent="0.3"/>
  <cols>
    <col min="1" max="1" width="12.5546875" style="165"/>
    <col min="2" max="16" width="13.5546875" style="166" hidden="1" customWidth="1"/>
    <col min="17" max="17" width="13.5546875" style="166" customWidth="1"/>
    <col min="18" max="18" width="13.5546875" style="145" customWidth="1"/>
    <col min="19" max="16384" width="12.5546875" style="166"/>
  </cols>
  <sheetData>
    <row r="1" spans="1:22" s="161" customFormat="1" ht="21" x14ac:dyDescent="0.4">
      <c r="A1" s="377" t="s">
        <v>218</v>
      </c>
      <c r="B1" s="377"/>
      <c r="C1" s="377"/>
      <c r="D1" s="377"/>
      <c r="E1" s="377"/>
      <c r="F1" s="377"/>
      <c r="G1" s="377"/>
      <c r="H1" s="377"/>
      <c r="I1" s="377"/>
      <c r="J1" s="377"/>
      <c r="K1" s="377"/>
      <c r="L1" s="377"/>
      <c r="M1" s="377"/>
      <c r="N1" s="377"/>
      <c r="O1" s="377"/>
      <c r="P1" s="377"/>
      <c r="Q1" s="377"/>
      <c r="R1" s="377"/>
      <c r="S1" s="377"/>
      <c r="T1" s="377"/>
      <c r="U1" s="377"/>
      <c r="V1" s="377"/>
    </row>
    <row r="2" spans="1:22" s="162" customFormat="1" ht="18" x14ac:dyDescent="0.35">
      <c r="A2" s="378" t="str">
        <f>'Local SUT'!A2</f>
        <v>CY 2004-2020</v>
      </c>
      <c r="B2" s="378"/>
      <c r="C2" s="378"/>
      <c r="D2" s="378"/>
      <c r="E2" s="378"/>
      <c r="F2" s="378"/>
      <c r="G2" s="378"/>
      <c r="H2" s="378"/>
      <c r="I2" s="378"/>
      <c r="J2" s="378"/>
      <c r="K2" s="378"/>
      <c r="L2" s="378"/>
      <c r="M2" s="378"/>
      <c r="N2" s="378"/>
      <c r="O2" s="378"/>
      <c r="P2" s="378"/>
      <c r="Q2" s="378"/>
      <c r="R2" s="378"/>
    </row>
    <row r="3" spans="1:22" s="162" customFormat="1" ht="18" x14ac:dyDescent="0.35">
      <c r="A3" s="361" t="s">
        <v>222</v>
      </c>
      <c r="B3" s="361"/>
      <c r="C3" s="361"/>
      <c r="D3" s="361"/>
      <c r="E3" s="361"/>
      <c r="F3" s="361"/>
      <c r="G3" s="361"/>
      <c r="H3" s="361"/>
      <c r="I3" s="361"/>
      <c r="J3" s="361"/>
      <c r="K3" s="361"/>
      <c r="L3" s="361"/>
      <c r="M3" s="361"/>
      <c r="N3" s="361"/>
      <c r="O3" s="361"/>
      <c r="P3" s="361"/>
      <c r="Q3" s="361"/>
      <c r="R3" s="361"/>
    </row>
    <row r="4" spans="1:22" s="163" customFormat="1" ht="15.6" x14ac:dyDescent="0.3">
      <c r="A4" s="95" t="s">
        <v>23</v>
      </c>
      <c r="B4" s="96">
        <v>2004</v>
      </c>
      <c r="C4" s="53">
        <v>2005</v>
      </c>
      <c r="D4" s="53">
        <v>2006</v>
      </c>
      <c r="E4" s="53">
        <v>2007</v>
      </c>
      <c r="F4" s="53">
        <v>2008</v>
      </c>
      <c r="G4" s="53">
        <v>2009</v>
      </c>
      <c r="H4" s="53">
        <v>2010</v>
      </c>
      <c r="I4" s="53">
        <v>2011</v>
      </c>
      <c r="J4" s="54">
        <v>2012</v>
      </c>
      <c r="K4" s="54">
        <v>2013</v>
      </c>
      <c r="L4" s="54">
        <v>2014</v>
      </c>
      <c r="M4" s="54">
        <v>2015</v>
      </c>
      <c r="N4" s="54">
        <v>2016</v>
      </c>
      <c r="O4" s="54">
        <v>2017</v>
      </c>
      <c r="P4" s="54">
        <v>2018</v>
      </c>
      <c r="Q4" s="54">
        <v>2019</v>
      </c>
      <c r="R4" s="49">
        <v>2020</v>
      </c>
    </row>
    <row r="5" spans="1:22" s="163" customFormat="1" ht="15.6" x14ac:dyDescent="0.3">
      <c r="A5" s="36" t="s">
        <v>24</v>
      </c>
      <c r="B5" s="148" t="s">
        <v>152</v>
      </c>
      <c r="C5" s="149" t="s">
        <v>152</v>
      </c>
      <c r="D5" s="149" t="s">
        <v>152</v>
      </c>
      <c r="E5" s="149" t="s">
        <v>152</v>
      </c>
      <c r="F5" s="149" t="s">
        <v>152</v>
      </c>
      <c r="G5" s="149" t="s">
        <v>152</v>
      </c>
      <c r="H5" s="149" t="s">
        <v>152</v>
      </c>
      <c r="I5" s="149" t="s">
        <v>152</v>
      </c>
      <c r="J5" s="149" t="s">
        <v>152</v>
      </c>
      <c r="K5" s="38" t="s">
        <v>152</v>
      </c>
      <c r="L5" s="38" t="s">
        <v>152</v>
      </c>
      <c r="M5" s="38" t="s">
        <v>152</v>
      </c>
      <c r="N5" s="38" t="s">
        <v>152</v>
      </c>
      <c r="O5" s="38" t="s">
        <v>152</v>
      </c>
      <c r="P5" s="38" t="s">
        <v>152</v>
      </c>
      <c r="Q5" s="38" t="s">
        <v>152</v>
      </c>
      <c r="R5" s="286">
        <v>124016</v>
      </c>
    </row>
    <row r="6" spans="1:22" s="163" customFormat="1" ht="15.6" x14ac:dyDescent="0.3">
      <c r="A6" s="13" t="s">
        <v>25</v>
      </c>
      <c r="B6" s="150" t="s">
        <v>152</v>
      </c>
      <c r="C6" s="151" t="s">
        <v>152</v>
      </c>
      <c r="D6" s="151" t="s">
        <v>152</v>
      </c>
      <c r="E6" s="151" t="s">
        <v>152</v>
      </c>
      <c r="F6" s="151" t="s">
        <v>152</v>
      </c>
      <c r="G6" s="151" t="s">
        <v>152</v>
      </c>
      <c r="H6" s="151" t="s">
        <v>152</v>
      </c>
      <c r="I6" s="151" t="s">
        <v>152</v>
      </c>
      <c r="J6" s="151" t="s">
        <v>152</v>
      </c>
      <c r="K6" s="20" t="s">
        <v>152</v>
      </c>
      <c r="L6" s="20" t="s">
        <v>152</v>
      </c>
      <c r="M6" s="20" t="s">
        <v>152</v>
      </c>
      <c r="N6" s="20" t="s">
        <v>152</v>
      </c>
      <c r="O6" s="20" t="s">
        <v>152</v>
      </c>
      <c r="P6" s="20" t="s">
        <v>152</v>
      </c>
      <c r="Q6" s="20" t="s">
        <v>152</v>
      </c>
      <c r="R6" s="287">
        <v>99010</v>
      </c>
    </row>
    <row r="7" spans="1:22" s="163" customFormat="1" ht="15.6" x14ac:dyDescent="0.3">
      <c r="A7" s="13" t="s">
        <v>26</v>
      </c>
      <c r="B7" s="150" t="s">
        <v>152</v>
      </c>
      <c r="C7" s="151" t="s">
        <v>152</v>
      </c>
      <c r="D7" s="151" t="s">
        <v>152</v>
      </c>
      <c r="E7" s="151" t="s">
        <v>152</v>
      </c>
      <c r="F7" s="151" t="s">
        <v>152</v>
      </c>
      <c r="G7" s="151" t="s">
        <v>152</v>
      </c>
      <c r="H7" s="151" t="s">
        <v>152</v>
      </c>
      <c r="I7" s="151" t="s">
        <v>152</v>
      </c>
      <c r="J7" s="151" t="s">
        <v>152</v>
      </c>
      <c r="K7" s="20" t="s">
        <v>152</v>
      </c>
      <c r="L7" s="20" t="s">
        <v>152</v>
      </c>
      <c r="M7" s="20" t="s">
        <v>152</v>
      </c>
      <c r="N7" s="20" t="s">
        <v>152</v>
      </c>
      <c r="O7" s="20" t="s">
        <v>152</v>
      </c>
      <c r="P7" s="20" t="s">
        <v>152</v>
      </c>
      <c r="Q7" s="20" t="s">
        <v>152</v>
      </c>
      <c r="R7" s="287">
        <v>101093</v>
      </c>
    </row>
    <row r="8" spans="1:22" s="163" customFormat="1" ht="15.6" x14ac:dyDescent="0.3">
      <c r="A8" s="13" t="s">
        <v>27</v>
      </c>
      <c r="B8" s="150" t="s">
        <v>152</v>
      </c>
      <c r="C8" s="151" t="s">
        <v>152</v>
      </c>
      <c r="D8" s="151" t="s">
        <v>152</v>
      </c>
      <c r="E8" s="151" t="s">
        <v>152</v>
      </c>
      <c r="F8" s="151" t="s">
        <v>152</v>
      </c>
      <c r="G8" s="151" t="s">
        <v>152</v>
      </c>
      <c r="H8" s="151" t="s">
        <v>152</v>
      </c>
      <c r="I8" s="151" t="s">
        <v>152</v>
      </c>
      <c r="J8" s="151" t="s">
        <v>152</v>
      </c>
      <c r="K8" s="20" t="s">
        <v>152</v>
      </c>
      <c r="L8" s="20" t="s">
        <v>152</v>
      </c>
      <c r="M8" s="20" t="s">
        <v>152</v>
      </c>
      <c r="N8" s="20" t="s">
        <v>152</v>
      </c>
      <c r="O8" s="20" t="s">
        <v>152</v>
      </c>
      <c r="P8" s="20" t="s">
        <v>152</v>
      </c>
      <c r="Q8" s="20" t="s">
        <v>152</v>
      </c>
      <c r="R8" s="287">
        <v>105762</v>
      </c>
    </row>
    <row r="9" spans="1:22" s="163" customFormat="1" ht="15.6" x14ac:dyDescent="0.3">
      <c r="A9" s="13" t="s">
        <v>28</v>
      </c>
      <c r="B9" s="150" t="s">
        <v>152</v>
      </c>
      <c r="C9" s="151" t="s">
        <v>152</v>
      </c>
      <c r="D9" s="151" t="s">
        <v>152</v>
      </c>
      <c r="E9" s="151" t="s">
        <v>152</v>
      </c>
      <c r="F9" s="151" t="s">
        <v>152</v>
      </c>
      <c r="G9" s="151" t="s">
        <v>152</v>
      </c>
      <c r="H9" s="151" t="s">
        <v>152</v>
      </c>
      <c r="I9" s="151" t="s">
        <v>152</v>
      </c>
      <c r="J9" s="151" t="s">
        <v>152</v>
      </c>
      <c r="K9" s="38" t="s">
        <v>152</v>
      </c>
      <c r="L9" s="38" t="s">
        <v>152</v>
      </c>
      <c r="M9" s="38" t="s">
        <v>152</v>
      </c>
      <c r="N9" s="38" t="s">
        <v>152</v>
      </c>
      <c r="O9" s="38" t="s">
        <v>152</v>
      </c>
      <c r="P9" s="38" t="s">
        <v>152</v>
      </c>
      <c r="Q9" s="38" t="s">
        <v>152</v>
      </c>
      <c r="R9" s="287">
        <v>116827</v>
      </c>
    </row>
    <row r="10" spans="1:22" s="163" customFormat="1" ht="15.6" x14ac:dyDescent="0.3">
      <c r="A10" s="13" t="s">
        <v>29</v>
      </c>
      <c r="B10" s="150" t="s">
        <v>152</v>
      </c>
      <c r="C10" s="151" t="s">
        <v>152</v>
      </c>
      <c r="D10" s="151" t="s">
        <v>152</v>
      </c>
      <c r="E10" s="151" t="s">
        <v>152</v>
      </c>
      <c r="F10" s="151" t="s">
        <v>152</v>
      </c>
      <c r="G10" s="151" t="s">
        <v>152</v>
      </c>
      <c r="H10" s="151" t="s">
        <v>152</v>
      </c>
      <c r="I10" s="151" t="s">
        <v>152</v>
      </c>
      <c r="J10" s="151" t="s">
        <v>152</v>
      </c>
      <c r="K10" s="38" t="s">
        <v>152</v>
      </c>
      <c r="L10" s="38" t="s">
        <v>152</v>
      </c>
      <c r="M10" s="38" t="s">
        <v>152</v>
      </c>
      <c r="N10" s="38" t="s">
        <v>152</v>
      </c>
      <c r="O10" s="38" t="s">
        <v>152</v>
      </c>
      <c r="P10" s="38" t="s">
        <v>152</v>
      </c>
      <c r="Q10" s="38" t="s">
        <v>152</v>
      </c>
      <c r="R10" s="287">
        <v>161488</v>
      </c>
    </row>
    <row r="11" spans="1:22" s="163" customFormat="1" ht="15.6" x14ac:dyDescent="0.3">
      <c r="A11" s="13" t="s">
        <v>30</v>
      </c>
      <c r="B11" s="150" t="s">
        <v>152</v>
      </c>
      <c r="C11" s="151" t="s">
        <v>152</v>
      </c>
      <c r="D11" s="151" t="s">
        <v>152</v>
      </c>
      <c r="E11" s="151" t="s">
        <v>152</v>
      </c>
      <c r="F11" s="151" t="s">
        <v>152</v>
      </c>
      <c r="G11" s="151" t="s">
        <v>152</v>
      </c>
      <c r="H11" s="151" t="s">
        <v>152</v>
      </c>
      <c r="I11" s="151" t="s">
        <v>152</v>
      </c>
      <c r="J11" s="151" t="s">
        <v>152</v>
      </c>
      <c r="K11" s="38" t="s">
        <v>152</v>
      </c>
      <c r="L11" s="38" t="s">
        <v>152</v>
      </c>
      <c r="M11" s="38" t="s">
        <v>152</v>
      </c>
      <c r="N11" s="38" t="s">
        <v>152</v>
      </c>
      <c r="O11" s="38" t="s">
        <v>152</v>
      </c>
      <c r="P11" s="38" t="s">
        <v>152</v>
      </c>
      <c r="Q11" s="38" t="s">
        <v>152</v>
      </c>
      <c r="R11" s="291" t="s">
        <v>152</v>
      </c>
    </row>
    <row r="12" spans="1:22" s="163" customFormat="1" ht="15.6" x14ac:dyDescent="0.3">
      <c r="A12" s="13" t="s">
        <v>31</v>
      </c>
      <c r="B12" s="150" t="s">
        <v>152</v>
      </c>
      <c r="C12" s="151" t="s">
        <v>152</v>
      </c>
      <c r="D12" s="151" t="s">
        <v>152</v>
      </c>
      <c r="E12" s="151" t="s">
        <v>152</v>
      </c>
      <c r="F12" s="151" t="s">
        <v>152</v>
      </c>
      <c r="G12" s="151" t="s">
        <v>152</v>
      </c>
      <c r="H12" s="151" t="s">
        <v>152</v>
      </c>
      <c r="I12" s="151" t="s">
        <v>152</v>
      </c>
      <c r="J12" s="151" t="s">
        <v>152</v>
      </c>
      <c r="K12" s="38" t="s">
        <v>152</v>
      </c>
      <c r="L12" s="38" t="s">
        <v>152</v>
      </c>
      <c r="M12" s="38" t="s">
        <v>152</v>
      </c>
      <c r="N12" s="38" t="s">
        <v>152</v>
      </c>
      <c r="O12" s="38" t="s">
        <v>152</v>
      </c>
      <c r="P12" s="38" t="s">
        <v>152</v>
      </c>
      <c r="Q12" s="38" t="s">
        <v>152</v>
      </c>
      <c r="R12" s="295" t="s">
        <v>152</v>
      </c>
    </row>
    <row r="13" spans="1:22" s="163" customFormat="1" ht="15.6" x14ac:dyDescent="0.3">
      <c r="A13" s="13" t="s">
        <v>32</v>
      </c>
      <c r="B13" s="150" t="s">
        <v>152</v>
      </c>
      <c r="C13" s="151" t="s">
        <v>152</v>
      </c>
      <c r="D13" s="151" t="s">
        <v>152</v>
      </c>
      <c r="E13" s="151" t="s">
        <v>152</v>
      </c>
      <c r="F13" s="151" t="s">
        <v>152</v>
      </c>
      <c r="G13" s="151" t="s">
        <v>152</v>
      </c>
      <c r="H13" s="151" t="s">
        <v>152</v>
      </c>
      <c r="I13" s="151" t="s">
        <v>152</v>
      </c>
      <c r="J13" s="151" t="s">
        <v>152</v>
      </c>
      <c r="K13" s="38" t="s">
        <v>152</v>
      </c>
      <c r="L13" s="38" t="s">
        <v>152</v>
      </c>
      <c r="M13" s="38" t="s">
        <v>152</v>
      </c>
      <c r="N13" s="38" t="s">
        <v>152</v>
      </c>
      <c r="O13" s="38" t="s">
        <v>152</v>
      </c>
      <c r="P13" s="38" t="s">
        <v>152</v>
      </c>
      <c r="Q13" s="38" t="s">
        <v>152</v>
      </c>
      <c r="R13" s="295" t="s">
        <v>152</v>
      </c>
    </row>
    <row r="14" spans="1:22" s="163" customFormat="1" ht="15.6" x14ac:dyDescent="0.3">
      <c r="A14" s="13" t="s">
        <v>33</v>
      </c>
      <c r="B14" s="150" t="s">
        <v>152</v>
      </c>
      <c r="C14" s="151" t="s">
        <v>152</v>
      </c>
      <c r="D14" s="151" t="s">
        <v>152</v>
      </c>
      <c r="E14" s="151" t="s">
        <v>152</v>
      </c>
      <c r="F14" s="151" t="s">
        <v>152</v>
      </c>
      <c r="G14" s="151" t="s">
        <v>152</v>
      </c>
      <c r="H14" s="151" t="s">
        <v>152</v>
      </c>
      <c r="I14" s="151" t="s">
        <v>152</v>
      </c>
      <c r="J14" s="151" t="s">
        <v>152</v>
      </c>
      <c r="K14" s="38" t="s">
        <v>152</v>
      </c>
      <c r="L14" s="38" t="s">
        <v>152</v>
      </c>
      <c r="M14" s="38" t="s">
        <v>152</v>
      </c>
      <c r="N14" s="38" t="s">
        <v>152</v>
      </c>
      <c r="O14" s="38" t="s">
        <v>152</v>
      </c>
      <c r="P14" s="38" t="s">
        <v>152</v>
      </c>
      <c r="Q14" s="301">
        <v>25</v>
      </c>
      <c r="R14" s="302" t="s">
        <v>152</v>
      </c>
    </row>
    <row r="15" spans="1:22" s="163" customFormat="1" ht="15.6" x14ac:dyDescent="0.3">
      <c r="A15" s="13" t="s">
        <v>34</v>
      </c>
      <c r="B15" s="150" t="s">
        <v>152</v>
      </c>
      <c r="C15" s="151" t="s">
        <v>152</v>
      </c>
      <c r="D15" s="151" t="s">
        <v>152</v>
      </c>
      <c r="E15" s="151" t="s">
        <v>152</v>
      </c>
      <c r="F15" s="151" t="s">
        <v>152</v>
      </c>
      <c r="G15" s="151" t="s">
        <v>152</v>
      </c>
      <c r="H15" s="151" t="s">
        <v>152</v>
      </c>
      <c r="I15" s="151" t="s">
        <v>152</v>
      </c>
      <c r="J15" s="151" t="s">
        <v>152</v>
      </c>
      <c r="K15" s="38" t="s">
        <v>152</v>
      </c>
      <c r="L15" s="38" t="s">
        <v>152</v>
      </c>
      <c r="M15" s="38" t="s">
        <v>152</v>
      </c>
      <c r="N15" s="38" t="s">
        <v>152</v>
      </c>
      <c r="O15" s="38" t="s">
        <v>152</v>
      </c>
      <c r="P15" s="38" t="s">
        <v>152</v>
      </c>
      <c r="Q15" s="296">
        <v>120536</v>
      </c>
      <c r="R15" s="295" t="s">
        <v>152</v>
      </c>
    </row>
    <row r="16" spans="1:22" s="163" customFormat="1" ht="16.2" thickBot="1" x14ac:dyDescent="0.35">
      <c r="A16" s="100" t="s">
        <v>36</v>
      </c>
      <c r="B16" s="152" t="s">
        <v>152</v>
      </c>
      <c r="C16" s="153" t="s">
        <v>152</v>
      </c>
      <c r="D16" s="153" t="s">
        <v>152</v>
      </c>
      <c r="E16" s="153" t="s">
        <v>152</v>
      </c>
      <c r="F16" s="153" t="s">
        <v>152</v>
      </c>
      <c r="G16" s="153" t="s">
        <v>152</v>
      </c>
      <c r="H16" s="153" t="s">
        <v>152</v>
      </c>
      <c r="I16" s="153" t="s">
        <v>152</v>
      </c>
      <c r="J16" s="153" t="s">
        <v>152</v>
      </c>
      <c r="K16" s="101" t="s">
        <v>152</v>
      </c>
      <c r="L16" s="101" t="s">
        <v>152</v>
      </c>
      <c r="M16" s="101" t="s">
        <v>152</v>
      </c>
      <c r="N16" s="101" t="s">
        <v>152</v>
      </c>
      <c r="O16" s="101" t="s">
        <v>152</v>
      </c>
      <c r="P16" s="101" t="s">
        <v>152</v>
      </c>
      <c r="Q16" s="294">
        <v>114741</v>
      </c>
      <c r="R16" s="292" t="s">
        <v>152</v>
      </c>
    </row>
    <row r="17" spans="1:18" s="163" customFormat="1" ht="16.2" thickTop="1" x14ac:dyDescent="0.3">
      <c r="A17" s="94" t="s">
        <v>37</v>
      </c>
      <c r="B17" s="154" t="s">
        <v>152</v>
      </c>
      <c r="C17" s="155" t="s">
        <v>152</v>
      </c>
      <c r="D17" s="155" t="s">
        <v>152</v>
      </c>
      <c r="E17" s="155" t="s">
        <v>152</v>
      </c>
      <c r="F17" s="155" t="s">
        <v>152</v>
      </c>
      <c r="G17" s="155" t="s">
        <v>152</v>
      </c>
      <c r="H17" s="155" t="s">
        <v>152</v>
      </c>
      <c r="I17" s="155" t="s">
        <v>152</v>
      </c>
      <c r="J17" s="155" t="s">
        <v>152</v>
      </c>
      <c r="K17" s="270">
        <f t="shared" ref="K17:R17" si="0">SUM(K5:K16)</f>
        <v>0</v>
      </c>
      <c r="L17" s="270">
        <f t="shared" si="0"/>
        <v>0</v>
      </c>
      <c r="M17" s="270">
        <f t="shared" si="0"/>
        <v>0</v>
      </c>
      <c r="N17" s="270">
        <f t="shared" si="0"/>
        <v>0</v>
      </c>
      <c r="O17" s="270">
        <f t="shared" si="0"/>
        <v>0</v>
      </c>
      <c r="P17" s="270">
        <f t="shared" si="0"/>
        <v>0</v>
      </c>
      <c r="Q17" s="270">
        <f t="shared" si="0"/>
        <v>235302</v>
      </c>
      <c r="R17" s="288">
        <f t="shared" si="0"/>
        <v>708196</v>
      </c>
    </row>
    <row r="18" spans="1:18" s="164" customFormat="1" ht="6.6" x14ac:dyDescent="0.15">
      <c r="A18" s="367" t="s">
        <v>174</v>
      </c>
      <c r="B18" s="367"/>
      <c r="C18" s="367"/>
      <c r="D18" s="367"/>
      <c r="E18" s="367"/>
      <c r="F18" s="367"/>
      <c r="G18" s="367"/>
      <c r="H18" s="367"/>
      <c r="I18" s="367"/>
      <c r="J18" s="367"/>
      <c r="K18" s="367"/>
      <c r="L18" s="367"/>
      <c r="M18" s="367"/>
      <c r="N18" s="367"/>
      <c r="O18" s="367"/>
      <c r="P18" s="367"/>
      <c r="Q18" s="367"/>
      <c r="R18" s="367"/>
    </row>
    <row r="19" spans="1:18" s="162" customFormat="1" ht="18" x14ac:dyDescent="0.35">
      <c r="A19" s="361" t="s">
        <v>220</v>
      </c>
      <c r="B19" s="361"/>
      <c r="C19" s="361"/>
      <c r="D19" s="361"/>
      <c r="E19" s="361"/>
      <c r="F19" s="361"/>
      <c r="G19" s="361"/>
      <c r="H19" s="361"/>
      <c r="I19" s="361"/>
      <c r="J19" s="361"/>
      <c r="K19" s="361"/>
      <c r="L19" s="361"/>
      <c r="M19" s="361"/>
      <c r="N19" s="361"/>
      <c r="O19" s="361"/>
      <c r="P19" s="361"/>
      <c r="Q19" s="361"/>
      <c r="R19" s="361"/>
    </row>
    <row r="20" spans="1:18" s="163" customFormat="1" ht="15.6" x14ac:dyDescent="0.3">
      <c r="A20" s="95" t="s">
        <v>23</v>
      </c>
      <c r="B20" s="96">
        <v>2004</v>
      </c>
      <c r="C20" s="53">
        <v>2005</v>
      </c>
      <c r="D20" s="53">
        <v>2006</v>
      </c>
      <c r="E20" s="53">
        <v>2007</v>
      </c>
      <c r="F20" s="53">
        <v>2008</v>
      </c>
      <c r="G20" s="53">
        <v>2009</v>
      </c>
      <c r="H20" s="53">
        <v>2010</v>
      </c>
      <c r="I20" s="53">
        <v>2011</v>
      </c>
      <c r="J20" s="54">
        <v>2012</v>
      </c>
      <c r="K20" s="54">
        <v>2013</v>
      </c>
      <c r="L20" s="54">
        <v>2014</v>
      </c>
      <c r="M20" s="54">
        <v>2015</v>
      </c>
      <c r="N20" s="54">
        <v>2016</v>
      </c>
      <c r="O20" s="54">
        <v>2017</v>
      </c>
      <c r="P20" s="54">
        <v>2018</v>
      </c>
      <c r="Q20" s="54">
        <v>2019</v>
      </c>
      <c r="R20" s="49">
        <v>2020</v>
      </c>
    </row>
    <row r="21" spans="1:18" s="163" customFormat="1" ht="15.6" x14ac:dyDescent="0.3">
      <c r="A21" s="36" t="s">
        <v>24</v>
      </c>
      <c r="B21" s="148" t="s">
        <v>152</v>
      </c>
      <c r="C21" s="149" t="s">
        <v>152</v>
      </c>
      <c r="D21" s="149" t="s">
        <v>152</v>
      </c>
      <c r="E21" s="149" t="s">
        <v>152</v>
      </c>
      <c r="F21" s="149" t="s">
        <v>152</v>
      </c>
      <c r="G21" s="149" t="s">
        <v>152</v>
      </c>
      <c r="H21" s="149" t="s">
        <v>152</v>
      </c>
      <c r="I21" s="149" t="s">
        <v>152</v>
      </c>
      <c r="J21" s="149" t="s">
        <v>152</v>
      </c>
      <c r="K21" s="38" t="s">
        <v>152</v>
      </c>
      <c r="L21" s="38" t="s">
        <v>152</v>
      </c>
      <c r="M21" s="38" t="s">
        <v>152</v>
      </c>
      <c r="N21" s="38" t="s">
        <v>152</v>
      </c>
      <c r="O21" s="38" t="s">
        <v>152</v>
      </c>
      <c r="P21" s="38" t="s">
        <v>152</v>
      </c>
      <c r="Q21" s="38" t="s">
        <v>152</v>
      </c>
      <c r="R21" s="286">
        <v>3219</v>
      </c>
    </row>
    <row r="22" spans="1:18" s="163" customFormat="1" ht="15.6" x14ac:dyDescent="0.3">
      <c r="A22" s="13" t="s">
        <v>25</v>
      </c>
      <c r="B22" s="150" t="s">
        <v>152</v>
      </c>
      <c r="C22" s="151" t="s">
        <v>152</v>
      </c>
      <c r="D22" s="151" t="s">
        <v>152</v>
      </c>
      <c r="E22" s="151" t="s">
        <v>152</v>
      </c>
      <c r="F22" s="151" t="s">
        <v>152</v>
      </c>
      <c r="G22" s="151" t="s">
        <v>152</v>
      </c>
      <c r="H22" s="151" t="s">
        <v>152</v>
      </c>
      <c r="I22" s="151" t="s">
        <v>152</v>
      </c>
      <c r="J22" s="151" t="s">
        <v>152</v>
      </c>
      <c r="K22" s="20" t="s">
        <v>152</v>
      </c>
      <c r="L22" s="20" t="s">
        <v>152</v>
      </c>
      <c r="M22" s="20" t="s">
        <v>152</v>
      </c>
      <c r="N22" s="20" t="s">
        <v>152</v>
      </c>
      <c r="O22" s="20" t="s">
        <v>152</v>
      </c>
      <c r="P22" s="20" t="s">
        <v>152</v>
      </c>
      <c r="Q22" s="20" t="s">
        <v>152</v>
      </c>
      <c r="R22" s="287">
        <v>2882</v>
      </c>
    </row>
    <row r="23" spans="1:18" s="163" customFormat="1" ht="15.6" x14ac:dyDescent="0.3">
      <c r="A23" s="13" t="s">
        <v>26</v>
      </c>
      <c r="B23" s="150" t="s">
        <v>152</v>
      </c>
      <c r="C23" s="151" t="s">
        <v>152</v>
      </c>
      <c r="D23" s="151" t="s">
        <v>152</v>
      </c>
      <c r="E23" s="151" t="s">
        <v>152</v>
      </c>
      <c r="F23" s="151" t="s">
        <v>152</v>
      </c>
      <c r="G23" s="151" t="s">
        <v>152</v>
      </c>
      <c r="H23" s="151" t="s">
        <v>152</v>
      </c>
      <c r="I23" s="151" t="s">
        <v>152</v>
      </c>
      <c r="J23" s="151" t="s">
        <v>152</v>
      </c>
      <c r="K23" s="20" t="s">
        <v>152</v>
      </c>
      <c r="L23" s="20" t="s">
        <v>152</v>
      </c>
      <c r="M23" s="20" t="s">
        <v>152</v>
      </c>
      <c r="N23" s="20" t="s">
        <v>152</v>
      </c>
      <c r="O23" s="20" t="s">
        <v>152</v>
      </c>
      <c r="P23" s="20" t="s">
        <v>152</v>
      </c>
      <c r="Q23" s="20" t="s">
        <v>152</v>
      </c>
      <c r="R23" s="287">
        <v>4158</v>
      </c>
    </row>
    <row r="24" spans="1:18" s="163" customFormat="1" ht="15.6" x14ac:dyDescent="0.3">
      <c r="A24" s="13" t="s">
        <v>27</v>
      </c>
      <c r="B24" s="150" t="s">
        <v>152</v>
      </c>
      <c r="C24" s="151" t="s">
        <v>152</v>
      </c>
      <c r="D24" s="151" t="s">
        <v>152</v>
      </c>
      <c r="E24" s="151" t="s">
        <v>152</v>
      </c>
      <c r="F24" s="151" t="s">
        <v>152</v>
      </c>
      <c r="G24" s="151" t="s">
        <v>152</v>
      </c>
      <c r="H24" s="151" t="s">
        <v>152</v>
      </c>
      <c r="I24" s="151" t="s">
        <v>152</v>
      </c>
      <c r="J24" s="151" t="s">
        <v>152</v>
      </c>
      <c r="K24" s="20" t="s">
        <v>152</v>
      </c>
      <c r="L24" s="20" t="s">
        <v>152</v>
      </c>
      <c r="M24" s="20" t="s">
        <v>152</v>
      </c>
      <c r="N24" s="20" t="s">
        <v>152</v>
      </c>
      <c r="O24" s="20" t="s">
        <v>152</v>
      </c>
      <c r="P24" s="20" t="s">
        <v>152</v>
      </c>
      <c r="Q24" s="20" t="s">
        <v>152</v>
      </c>
      <c r="R24" s="287">
        <v>4192</v>
      </c>
    </row>
    <row r="25" spans="1:18" s="163" customFormat="1" ht="15.6" x14ac:dyDescent="0.3">
      <c r="A25" s="13" t="s">
        <v>28</v>
      </c>
      <c r="B25" s="150" t="s">
        <v>152</v>
      </c>
      <c r="C25" s="151" t="s">
        <v>152</v>
      </c>
      <c r="D25" s="151" t="s">
        <v>152</v>
      </c>
      <c r="E25" s="151" t="s">
        <v>152</v>
      </c>
      <c r="F25" s="151" t="s">
        <v>152</v>
      </c>
      <c r="G25" s="151" t="s">
        <v>152</v>
      </c>
      <c r="H25" s="151" t="s">
        <v>152</v>
      </c>
      <c r="I25" s="151" t="s">
        <v>152</v>
      </c>
      <c r="J25" s="151" t="s">
        <v>152</v>
      </c>
      <c r="K25" s="38" t="s">
        <v>152</v>
      </c>
      <c r="L25" s="38" t="s">
        <v>152</v>
      </c>
      <c r="M25" s="38" t="s">
        <v>152</v>
      </c>
      <c r="N25" s="38" t="s">
        <v>152</v>
      </c>
      <c r="O25" s="38" t="s">
        <v>152</v>
      </c>
      <c r="P25" s="38" t="s">
        <v>152</v>
      </c>
      <c r="Q25" s="38" t="s">
        <v>152</v>
      </c>
      <c r="R25" s="287">
        <v>3861</v>
      </c>
    </row>
    <row r="26" spans="1:18" s="163" customFormat="1" ht="15.6" x14ac:dyDescent="0.3">
      <c r="A26" s="13" t="s">
        <v>29</v>
      </c>
      <c r="B26" s="150" t="s">
        <v>152</v>
      </c>
      <c r="C26" s="151" t="s">
        <v>152</v>
      </c>
      <c r="D26" s="151" t="s">
        <v>152</v>
      </c>
      <c r="E26" s="151" t="s">
        <v>152</v>
      </c>
      <c r="F26" s="151" t="s">
        <v>152</v>
      </c>
      <c r="G26" s="151" t="s">
        <v>152</v>
      </c>
      <c r="H26" s="151" t="s">
        <v>152</v>
      </c>
      <c r="I26" s="151" t="s">
        <v>152</v>
      </c>
      <c r="J26" s="151" t="s">
        <v>152</v>
      </c>
      <c r="K26" s="38" t="s">
        <v>152</v>
      </c>
      <c r="L26" s="38" t="s">
        <v>152</v>
      </c>
      <c r="M26" s="38" t="s">
        <v>152</v>
      </c>
      <c r="N26" s="38" t="s">
        <v>152</v>
      </c>
      <c r="O26" s="38" t="s">
        <v>152</v>
      </c>
      <c r="P26" s="38" t="s">
        <v>152</v>
      </c>
      <c r="Q26" s="38" t="s">
        <v>152</v>
      </c>
      <c r="R26" s="287">
        <v>5380</v>
      </c>
    </row>
    <row r="27" spans="1:18" s="163" customFormat="1" ht="15.6" x14ac:dyDescent="0.3">
      <c r="A27" s="13" t="s">
        <v>30</v>
      </c>
      <c r="B27" s="150" t="s">
        <v>152</v>
      </c>
      <c r="C27" s="151" t="s">
        <v>152</v>
      </c>
      <c r="D27" s="151" t="s">
        <v>152</v>
      </c>
      <c r="E27" s="151" t="s">
        <v>152</v>
      </c>
      <c r="F27" s="151" t="s">
        <v>152</v>
      </c>
      <c r="G27" s="151" t="s">
        <v>152</v>
      </c>
      <c r="H27" s="151" t="s">
        <v>152</v>
      </c>
      <c r="I27" s="151" t="s">
        <v>152</v>
      </c>
      <c r="J27" s="151" t="s">
        <v>152</v>
      </c>
      <c r="K27" s="38" t="s">
        <v>152</v>
      </c>
      <c r="L27" s="38" t="s">
        <v>152</v>
      </c>
      <c r="M27" s="38" t="s">
        <v>152</v>
      </c>
      <c r="N27" s="38" t="s">
        <v>152</v>
      </c>
      <c r="O27" s="38" t="s">
        <v>152</v>
      </c>
      <c r="P27" s="38" t="s">
        <v>152</v>
      </c>
      <c r="Q27" s="38" t="s">
        <v>152</v>
      </c>
      <c r="R27" s="295" t="s">
        <v>152</v>
      </c>
    </row>
    <row r="28" spans="1:18" s="163" customFormat="1" ht="15.6" x14ac:dyDescent="0.3">
      <c r="A28" s="13" t="s">
        <v>31</v>
      </c>
      <c r="B28" s="150" t="s">
        <v>152</v>
      </c>
      <c r="C28" s="151" t="s">
        <v>152</v>
      </c>
      <c r="D28" s="151" t="s">
        <v>152</v>
      </c>
      <c r="E28" s="151" t="s">
        <v>152</v>
      </c>
      <c r="F28" s="151" t="s">
        <v>152</v>
      </c>
      <c r="G28" s="151" t="s">
        <v>152</v>
      </c>
      <c r="H28" s="151" t="s">
        <v>152</v>
      </c>
      <c r="I28" s="151" t="s">
        <v>152</v>
      </c>
      <c r="J28" s="151" t="s">
        <v>152</v>
      </c>
      <c r="K28" s="38" t="s">
        <v>152</v>
      </c>
      <c r="L28" s="38" t="s">
        <v>152</v>
      </c>
      <c r="M28" s="38" t="s">
        <v>152</v>
      </c>
      <c r="N28" s="38" t="s">
        <v>152</v>
      </c>
      <c r="O28" s="38" t="s">
        <v>152</v>
      </c>
      <c r="P28" s="38" t="s">
        <v>152</v>
      </c>
      <c r="Q28" s="38" t="s">
        <v>152</v>
      </c>
      <c r="R28" s="295" t="s">
        <v>152</v>
      </c>
    </row>
    <row r="29" spans="1:18" s="163" customFormat="1" ht="15.6" x14ac:dyDescent="0.3">
      <c r="A29" s="13" t="s">
        <v>32</v>
      </c>
      <c r="B29" s="150" t="s">
        <v>152</v>
      </c>
      <c r="C29" s="151" t="s">
        <v>152</v>
      </c>
      <c r="D29" s="151" t="s">
        <v>152</v>
      </c>
      <c r="E29" s="151" t="s">
        <v>152</v>
      </c>
      <c r="F29" s="151" t="s">
        <v>152</v>
      </c>
      <c r="G29" s="151" t="s">
        <v>152</v>
      </c>
      <c r="H29" s="151" t="s">
        <v>152</v>
      </c>
      <c r="I29" s="151" t="s">
        <v>152</v>
      </c>
      <c r="J29" s="151" t="s">
        <v>152</v>
      </c>
      <c r="K29" s="38" t="s">
        <v>152</v>
      </c>
      <c r="L29" s="38" t="s">
        <v>152</v>
      </c>
      <c r="M29" s="38" t="s">
        <v>152</v>
      </c>
      <c r="N29" s="38" t="s">
        <v>152</v>
      </c>
      <c r="O29" s="38" t="s">
        <v>152</v>
      </c>
      <c r="P29" s="38" t="s">
        <v>152</v>
      </c>
      <c r="Q29" s="38" t="s">
        <v>152</v>
      </c>
      <c r="R29" s="295" t="s">
        <v>152</v>
      </c>
    </row>
    <row r="30" spans="1:18" s="163" customFormat="1" ht="15.6" x14ac:dyDescent="0.3">
      <c r="A30" s="13" t="s">
        <v>33</v>
      </c>
      <c r="B30" s="150" t="s">
        <v>152</v>
      </c>
      <c r="C30" s="151" t="s">
        <v>152</v>
      </c>
      <c r="D30" s="151" t="s">
        <v>152</v>
      </c>
      <c r="E30" s="151" t="s">
        <v>152</v>
      </c>
      <c r="F30" s="151" t="s">
        <v>152</v>
      </c>
      <c r="G30" s="151" t="s">
        <v>152</v>
      </c>
      <c r="H30" s="151" t="s">
        <v>152</v>
      </c>
      <c r="I30" s="151" t="s">
        <v>152</v>
      </c>
      <c r="J30" s="151" t="s">
        <v>152</v>
      </c>
      <c r="K30" s="38" t="s">
        <v>152</v>
      </c>
      <c r="L30" s="38" t="s">
        <v>152</v>
      </c>
      <c r="M30" s="38" t="s">
        <v>152</v>
      </c>
      <c r="N30" s="38" t="s">
        <v>152</v>
      </c>
      <c r="O30" s="38" t="s">
        <v>152</v>
      </c>
      <c r="P30" s="38" t="s">
        <v>152</v>
      </c>
      <c r="Q30" s="258">
        <v>0</v>
      </c>
      <c r="R30" s="295" t="s">
        <v>152</v>
      </c>
    </row>
    <row r="31" spans="1:18" s="163" customFormat="1" ht="15.6" x14ac:dyDescent="0.3">
      <c r="A31" s="13" t="s">
        <v>34</v>
      </c>
      <c r="B31" s="150" t="s">
        <v>152</v>
      </c>
      <c r="C31" s="151" t="s">
        <v>152</v>
      </c>
      <c r="D31" s="151" t="s">
        <v>152</v>
      </c>
      <c r="E31" s="151" t="s">
        <v>152</v>
      </c>
      <c r="F31" s="151" t="s">
        <v>152</v>
      </c>
      <c r="G31" s="151" t="s">
        <v>152</v>
      </c>
      <c r="H31" s="151" t="s">
        <v>152</v>
      </c>
      <c r="I31" s="151" t="s">
        <v>152</v>
      </c>
      <c r="J31" s="151" t="s">
        <v>152</v>
      </c>
      <c r="K31" s="38" t="s">
        <v>152</v>
      </c>
      <c r="L31" s="38" t="s">
        <v>152</v>
      </c>
      <c r="M31" s="38" t="s">
        <v>152</v>
      </c>
      <c r="N31" s="38" t="s">
        <v>152</v>
      </c>
      <c r="O31" s="38" t="s">
        <v>152</v>
      </c>
      <c r="P31" s="38" t="s">
        <v>152</v>
      </c>
      <c r="Q31" s="296">
        <v>2651</v>
      </c>
      <c r="R31" s="295" t="s">
        <v>152</v>
      </c>
    </row>
    <row r="32" spans="1:18" s="163" customFormat="1" ht="16.2" thickBot="1" x14ac:dyDescent="0.35">
      <c r="A32" s="100" t="s">
        <v>36</v>
      </c>
      <c r="B32" s="152" t="s">
        <v>152</v>
      </c>
      <c r="C32" s="153" t="s">
        <v>152</v>
      </c>
      <c r="D32" s="153" t="s">
        <v>152</v>
      </c>
      <c r="E32" s="153" t="s">
        <v>152</v>
      </c>
      <c r="F32" s="153" t="s">
        <v>152</v>
      </c>
      <c r="G32" s="153" t="s">
        <v>152</v>
      </c>
      <c r="H32" s="153" t="s">
        <v>152</v>
      </c>
      <c r="I32" s="153" t="s">
        <v>152</v>
      </c>
      <c r="J32" s="153" t="s">
        <v>152</v>
      </c>
      <c r="K32" s="101" t="s">
        <v>152</v>
      </c>
      <c r="L32" s="101" t="s">
        <v>152</v>
      </c>
      <c r="M32" s="101" t="s">
        <v>152</v>
      </c>
      <c r="N32" s="101" t="s">
        <v>152</v>
      </c>
      <c r="O32" s="101" t="s">
        <v>152</v>
      </c>
      <c r="P32" s="101" t="s">
        <v>152</v>
      </c>
      <c r="Q32" s="294">
        <v>2502</v>
      </c>
      <c r="R32" s="292" t="s">
        <v>152</v>
      </c>
    </row>
    <row r="33" spans="1:18" s="163" customFormat="1" ht="16.2" thickTop="1" x14ac:dyDescent="0.3">
      <c r="A33" s="94" t="s">
        <v>37</v>
      </c>
      <c r="B33" s="154" t="s">
        <v>152</v>
      </c>
      <c r="C33" s="155" t="s">
        <v>152</v>
      </c>
      <c r="D33" s="155" t="s">
        <v>152</v>
      </c>
      <c r="E33" s="155" t="s">
        <v>152</v>
      </c>
      <c r="F33" s="155" t="s">
        <v>152</v>
      </c>
      <c r="G33" s="155" t="s">
        <v>152</v>
      </c>
      <c r="H33" s="155" t="s">
        <v>152</v>
      </c>
      <c r="I33" s="155" t="s">
        <v>152</v>
      </c>
      <c r="J33" s="155" t="s">
        <v>152</v>
      </c>
      <c r="K33" s="270">
        <f t="shared" ref="K33:R33" si="1">SUM(K21:K32)</f>
        <v>0</v>
      </c>
      <c r="L33" s="270">
        <f t="shared" si="1"/>
        <v>0</v>
      </c>
      <c r="M33" s="270">
        <f t="shared" si="1"/>
        <v>0</v>
      </c>
      <c r="N33" s="270">
        <f t="shared" si="1"/>
        <v>0</v>
      </c>
      <c r="O33" s="270">
        <f t="shared" si="1"/>
        <v>0</v>
      </c>
      <c r="P33" s="270">
        <f t="shared" si="1"/>
        <v>0</v>
      </c>
      <c r="Q33" s="270">
        <f t="shared" si="1"/>
        <v>5153</v>
      </c>
      <c r="R33" s="288">
        <f t="shared" si="1"/>
        <v>23692</v>
      </c>
    </row>
    <row r="34" spans="1:18" s="164" customFormat="1" ht="6.6" x14ac:dyDescent="0.15">
      <c r="A34" s="367" t="s">
        <v>174</v>
      </c>
      <c r="B34" s="367"/>
      <c r="C34" s="367"/>
      <c r="D34" s="367"/>
      <c r="E34" s="367"/>
      <c r="F34" s="367"/>
      <c r="G34" s="367"/>
      <c r="H34" s="367"/>
      <c r="I34" s="367"/>
      <c r="J34" s="367"/>
      <c r="K34" s="367"/>
      <c r="L34" s="367"/>
      <c r="M34" s="367"/>
      <c r="N34" s="367"/>
      <c r="O34" s="367"/>
      <c r="P34" s="367"/>
      <c r="Q34" s="367"/>
      <c r="R34" s="367"/>
    </row>
    <row r="35" spans="1:18" s="162" customFormat="1" ht="18" x14ac:dyDescent="0.35">
      <c r="A35" s="361" t="s">
        <v>219</v>
      </c>
      <c r="B35" s="361"/>
      <c r="C35" s="361"/>
      <c r="D35" s="361"/>
      <c r="E35" s="361"/>
      <c r="F35" s="361"/>
      <c r="G35" s="361"/>
      <c r="H35" s="361"/>
      <c r="I35" s="361"/>
      <c r="J35" s="361"/>
      <c r="K35" s="361"/>
      <c r="L35" s="361"/>
      <c r="M35" s="361"/>
      <c r="N35" s="361"/>
      <c r="O35" s="361"/>
      <c r="P35" s="361"/>
      <c r="Q35" s="361"/>
      <c r="R35" s="361"/>
    </row>
    <row r="36" spans="1:18" s="163" customFormat="1" ht="15.6" x14ac:dyDescent="0.3">
      <c r="A36" s="95" t="s">
        <v>23</v>
      </c>
      <c r="B36" s="96">
        <v>2004</v>
      </c>
      <c r="C36" s="53">
        <v>2005</v>
      </c>
      <c r="D36" s="53">
        <v>2006</v>
      </c>
      <c r="E36" s="53">
        <v>2007</v>
      </c>
      <c r="F36" s="53">
        <v>2008</v>
      </c>
      <c r="G36" s="53">
        <v>2009</v>
      </c>
      <c r="H36" s="53">
        <v>2010</v>
      </c>
      <c r="I36" s="53">
        <v>2011</v>
      </c>
      <c r="J36" s="54">
        <v>2012</v>
      </c>
      <c r="K36" s="54">
        <v>2013</v>
      </c>
      <c r="L36" s="54">
        <v>2014</v>
      </c>
      <c r="M36" s="54">
        <v>2015</v>
      </c>
      <c r="N36" s="54">
        <v>2016</v>
      </c>
      <c r="O36" s="54">
        <v>2017</v>
      </c>
      <c r="P36" s="54">
        <v>2018</v>
      </c>
      <c r="Q36" s="54">
        <v>2019</v>
      </c>
      <c r="R36" s="49">
        <v>2020</v>
      </c>
    </row>
    <row r="37" spans="1:18" s="163" customFormat="1" ht="15.6" x14ac:dyDescent="0.3">
      <c r="A37" s="36" t="s">
        <v>24</v>
      </c>
      <c r="B37" s="148" t="s">
        <v>152</v>
      </c>
      <c r="C37" s="149" t="s">
        <v>152</v>
      </c>
      <c r="D37" s="149" t="s">
        <v>152</v>
      </c>
      <c r="E37" s="149" t="s">
        <v>152</v>
      </c>
      <c r="F37" s="149" t="s">
        <v>152</v>
      </c>
      <c r="G37" s="149" t="s">
        <v>152</v>
      </c>
      <c r="H37" s="149" t="s">
        <v>152</v>
      </c>
      <c r="I37" s="149" t="s">
        <v>152</v>
      </c>
      <c r="J37" s="149" t="s">
        <v>152</v>
      </c>
      <c r="K37" s="38" t="s">
        <v>152</v>
      </c>
      <c r="L37" s="38" t="s">
        <v>152</v>
      </c>
      <c r="M37" s="38" t="s">
        <v>152</v>
      </c>
      <c r="N37" s="38" t="s">
        <v>152</v>
      </c>
      <c r="O37" s="38" t="s">
        <v>152</v>
      </c>
      <c r="P37" s="38" t="s">
        <v>152</v>
      </c>
      <c r="Q37" s="38" t="s">
        <v>152</v>
      </c>
      <c r="R37" s="286">
        <v>0</v>
      </c>
    </row>
    <row r="38" spans="1:18" s="163" customFormat="1" ht="15.6" x14ac:dyDescent="0.3">
      <c r="A38" s="13" t="s">
        <v>25</v>
      </c>
      <c r="B38" s="150" t="s">
        <v>152</v>
      </c>
      <c r="C38" s="151" t="s">
        <v>152</v>
      </c>
      <c r="D38" s="151" t="s">
        <v>152</v>
      </c>
      <c r="E38" s="151" t="s">
        <v>152</v>
      </c>
      <c r="F38" s="151" t="s">
        <v>152</v>
      </c>
      <c r="G38" s="151" t="s">
        <v>152</v>
      </c>
      <c r="H38" s="151" t="s">
        <v>152</v>
      </c>
      <c r="I38" s="151" t="s">
        <v>152</v>
      </c>
      <c r="J38" s="151" t="s">
        <v>152</v>
      </c>
      <c r="K38" s="20" t="s">
        <v>152</v>
      </c>
      <c r="L38" s="20" t="s">
        <v>152</v>
      </c>
      <c r="M38" s="20" t="s">
        <v>152</v>
      </c>
      <c r="N38" s="20" t="s">
        <v>152</v>
      </c>
      <c r="O38" s="20" t="s">
        <v>152</v>
      </c>
      <c r="P38" s="20" t="s">
        <v>152</v>
      </c>
      <c r="Q38" s="20" t="s">
        <v>152</v>
      </c>
      <c r="R38" s="287">
        <v>0</v>
      </c>
    </row>
    <row r="39" spans="1:18" s="163" customFormat="1" ht="15.6" x14ac:dyDescent="0.3">
      <c r="A39" s="13" t="s">
        <v>26</v>
      </c>
      <c r="B39" s="150" t="s">
        <v>152</v>
      </c>
      <c r="C39" s="151" t="s">
        <v>152</v>
      </c>
      <c r="D39" s="151" t="s">
        <v>152</v>
      </c>
      <c r="E39" s="151" t="s">
        <v>152</v>
      </c>
      <c r="F39" s="151" t="s">
        <v>152</v>
      </c>
      <c r="G39" s="151" t="s">
        <v>152</v>
      </c>
      <c r="H39" s="151" t="s">
        <v>152</v>
      </c>
      <c r="I39" s="151" t="s">
        <v>152</v>
      </c>
      <c r="J39" s="151" t="s">
        <v>152</v>
      </c>
      <c r="K39" s="20" t="s">
        <v>152</v>
      </c>
      <c r="L39" s="20" t="s">
        <v>152</v>
      </c>
      <c r="M39" s="20" t="s">
        <v>152</v>
      </c>
      <c r="N39" s="20" t="s">
        <v>152</v>
      </c>
      <c r="O39" s="20" t="s">
        <v>152</v>
      </c>
      <c r="P39" s="20" t="s">
        <v>152</v>
      </c>
      <c r="Q39" s="20" t="s">
        <v>152</v>
      </c>
      <c r="R39" s="287">
        <v>0</v>
      </c>
    </row>
    <row r="40" spans="1:18" s="163" customFormat="1" ht="15.6" x14ac:dyDescent="0.3">
      <c r="A40" s="13" t="s">
        <v>27</v>
      </c>
      <c r="B40" s="150" t="s">
        <v>152</v>
      </c>
      <c r="C40" s="151" t="s">
        <v>152</v>
      </c>
      <c r="D40" s="151" t="s">
        <v>152</v>
      </c>
      <c r="E40" s="151" t="s">
        <v>152</v>
      </c>
      <c r="F40" s="151" t="s">
        <v>152</v>
      </c>
      <c r="G40" s="151" t="s">
        <v>152</v>
      </c>
      <c r="H40" s="151" t="s">
        <v>152</v>
      </c>
      <c r="I40" s="151" t="s">
        <v>152</v>
      </c>
      <c r="J40" s="151" t="s">
        <v>152</v>
      </c>
      <c r="K40" s="20" t="s">
        <v>152</v>
      </c>
      <c r="L40" s="20" t="s">
        <v>152</v>
      </c>
      <c r="M40" s="20" t="s">
        <v>152</v>
      </c>
      <c r="N40" s="20" t="s">
        <v>152</v>
      </c>
      <c r="O40" s="20" t="s">
        <v>152</v>
      </c>
      <c r="P40" s="20" t="s">
        <v>152</v>
      </c>
      <c r="Q40" s="20" t="s">
        <v>152</v>
      </c>
      <c r="R40" s="287">
        <v>0</v>
      </c>
    </row>
    <row r="41" spans="1:18" s="163" customFormat="1" ht="15.6" x14ac:dyDescent="0.3">
      <c r="A41" s="13" t="s">
        <v>28</v>
      </c>
      <c r="B41" s="150" t="s">
        <v>152</v>
      </c>
      <c r="C41" s="151" t="s">
        <v>152</v>
      </c>
      <c r="D41" s="151" t="s">
        <v>152</v>
      </c>
      <c r="E41" s="151" t="s">
        <v>152</v>
      </c>
      <c r="F41" s="151" t="s">
        <v>152</v>
      </c>
      <c r="G41" s="151" t="s">
        <v>152</v>
      </c>
      <c r="H41" s="151" t="s">
        <v>152</v>
      </c>
      <c r="I41" s="151" t="s">
        <v>152</v>
      </c>
      <c r="J41" s="151" t="s">
        <v>152</v>
      </c>
      <c r="K41" s="38" t="s">
        <v>152</v>
      </c>
      <c r="L41" s="38" t="s">
        <v>152</v>
      </c>
      <c r="M41" s="38" t="s">
        <v>152</v>
      </c>
      <c r="N41" s="38" t="s">
        <v>152</v>
      </c>
      <c r="O41" s="38" t="s">
        <v>152</v>
      </c>
      <c r="P41" s="38" t="s">
        <v>152</v>
      </c>
      <c r="Q41" s="38" t="s">
        <v>152</v>
      </c>
      <c r="R41" s="287">
        <v>0</v>
      </c>
    </row>
    <row r="42" spans="1:18" s="163" customFormat="1" ht="15.6" x14ac:dyDescent="0.3">
      <c r="A42" s="13" t="s">
        <v>29</v>
      </c>
      <c r="B42" s="150" t="s">
        <v>152</v>
      </c>
      <c r="C42" s="151" t="s">
        <v>152</v>
      </c>
      <c r="D42" s="151" t="s">
        <v>152</v>
      </c>
      <c r="E42" s="151" t="s">
        <v>152</v>
      </c>
      <c r="F42" s="151" t="s">
        <v>152</v>
      </c>
      <c r="G42" s="151" t="s">
        <v>152</v>
      </c>
      <c r="H42" s="151" t="s">
        <v>152</v>
      </c>
      <c r="I42" s="151" t="s">
        <v>152</v>
      </c>
      <c r="J42" s="151" t="s">
        <v>152</v>
      </c>
      <c r="K42" s="38" t="s">
        <v>152</v>
      </c>
      <c r="L42" s="38" t="s">
        <v>152</v>
      </c>
      <c r="M42" s="38" t="s">
        <v>152</v>
      </c>
      <c r="N42" s="38" t="s">
        <v>152</v>
      </c>
      <c r="O42" s="38" t="s">
        <v>152</v>
      </c>
      <c r="P42" s="38" t="s">
        <v>152</v>
      </c>
      <c r="Q42" s="38" t="s">
        <v>152</v>
      </c>
      <c r="R42" s="287">
        <v>0</v>
      </c>
    </row>
    <row r="43" spans="1:18" s="163" customFormat="1" ht="15.6" x14ac:dyDescent="0.3">
      <c r="A43" s="13" t="s">
        <v>30</v>
      </c>
      <c r="B43" s="150" t="s">
        <v>152</v>
      </c>
      <c r="C43" s="151" t="s">
        <v>152</v>
      </c>
      <c r="D43" s="151" t="s">
        <v>152</v>
      </c>
      <c r="E43" s="151" t="s">
        <v>152</v>
      </c>
      <c r="F43" s="151" t="s">
        <v>152</v>
      </c>
      <c r="G43" s="151" t="s">
        <v>152</v>
      </c>
      <c r="H43" s="151" t="s">
        <v>152</v>
      </c>
      <c r="I43" s="151" t="s">
        <v>152</v>
      </c>
      <c r="J43" s="151" t="s">
        <v>152</v>
      </c>
      <c r="K43" s="38" t="s">
        <v>152</v>
      </c>
      <c r="L43" s="38" t="s">
        <v>152</v>
      </c>
      <c r="M43" s="38" t="s">
        <v>152</v>
      </c>
      <c r="N43" s="38" t="s">
        <v>152</v>
      </c>
      <c r="O43" s="38" t="s">
        <v>152</v>
      </c>
      <c r="P43" s="38" t="s">
        <v>152</v>
      </c>
      <c r="Q43" s="38" t="s">
        <v>152</v>
      </c>
      <c r="R43" s="295" t="s">
        <v>152</v>
      </c>
    </row>
    <row r="44" spans="1:18" s="163" customFormat="1" ht="15.6" x14ac:dyDescent="0.3">
      <c r="A44" s="13" t="s">
        <v>31</v>
      </c>
      <c r="B44" s="150" t="s">
        <v>152</v>
      </c>
      <c r="C44" s="151" t="s">
        <v>152</v>
      </c>
      <c r="D44" s="151" t="s">
        <v>152</v>
      </c>
      <c r="E44" s="151" t="s">
        <v>152</v>
      </c>
      <c r="F44" s="151" t="s">
        <v>152</v>
      </c>
      <c r="G44" s="151" t="s">
        <v>152</v>
      </c>
      <c r="H44" s="151" t="s">
        <v>152</v>
      </c>
      <c r="I44" s="151" t="s">
        <v>152</v>
      </c>
      <c r="J44" s="151" t="s">
        <v>152</v>
      </c>
      <c r="K44" s="38" t="s">
        <v>152</v>
      </c>
      <c r="L44" s="38" t="s">
        <v>152</v>
      </c>
      <c r="M44" s="38" t="s">
        <v>152</v>
      </c>
      <c r="N44" s="38" t="s">
        <v>152</v>
      </c>
      <c r="O44" s="38" t="s">
        <v>152</v>
      </c>
      <c r="P44" s="38" t="s">
        <v>152</v>
      </c>
      <c r="Q44" s="38" t="s">
        <v>152</v>
      </c>
      <c r="R44" s="295" t="s">
        <v>152</v>
      </c>
    </row>
    <row r="45" spans="1:18" s="163" customFormat="1" ht="15.6" x14ac:dyDescent="0.3">
      <c r="A45" s="13" t="s">
        <v>32</v>
      </c>
      <c r="B45" s="150" t="s">
        <v>152</v>
      </c>
      <c r="C45" s="151" t="s">
        <v>152</v>
      </c>
      <c r="D45" s="151" t="s">
        <v>152</v>
      </c>
      <c r="E45" s="151" t="s">
        <v>152</v>
      </c>
      <c r="F45" s="151" t="s">
        <v>152</v>
      </c>
      <c r="G45" s="151" t="s">
        <v>152</v>
      </c>
      <c r="H45" s="151" t="s">
        <v>152</v>
      </c>
      <c r="I45" s="151" t="s">
        <v>152</v>
      </c>
      <c r="J45" s="151" t="s">
        <v>152</v>
      </c>
      <c r="K45" s="38" t="s">
        <v>152</v>
      </c>
      <c r="L45" s="38" t="s">
        <v>152</v>
      </c>
      <c r="M45" s="38" t="s">
        <v>152</v>
      </c>
      <c r="N45" s="38" t="s">
        <v>152</v>
      </c>
      <c r="O45" s="38" t="s">
        <v>152</v>
      </c>
      <c r="P45" s="38" t="s">
        <v>152</v>
      </c>
      <c r="Q45" s="38" t="s">
        <v>152</v>
      </c>
      <c r="R45" s="295" t="s">
        <v>152</v>
      </c>
    </row>
    <row r="46" spans="1:18" s="163" customFormat="1" ht="15.6" x14ac:dyDescent="0.3">
      <c r="A46" s="13" t="s">
        <v>33</v>
      </c>
      <c r="B46" s="150" t="s">
        <v>152</v>
      </c>
      <c r="C46" s="151" t="s">
        <v>152</v>
      </c>
      <c r="D46" s="151" t="s">
        <v>152</v>
      </c>
      <c r="E46" s="151" t="s">
        <v>152</v>
      </c>
      <c r="F46" s="151" t="s">
        <v>152</v>
      </c>
      <c r="G46" s="151" t="s">
        <v>152</v>
      </c>
      <c r="H46" s="151" t="s">
        <v>152</v>
      </c>
      <c r="I46" s="151" t="s">
        <v>152</v>
      </c>
      <c r="J46" s="151" t="s">
        <v>152</v>
      </c>
      <c r="K46" s="38" t="s">
        <v>152</v>
      </c>
      <c r="L46" s="38" t="s">
        <v>152</v>
      </c>
      <c r="M46" s="38" t="s">
        <v>152</v>
      </c>
      <c r="N46" s="38" t="s">
        <v>152</v>
      </c>
      <c r="O46" s="38" t="s">
        <v>152</v>
      </c>
      <c r="P46" s="38" t="s">
        <v>152</v>
      </c>
      <c r="Q46" s="258">
        <v>0</v>
      </c>
      <c r="R46" s="295" t="s">
        <v>152</v>
      </c>
    </row>
    <row r="47" spans="1:18" s="163" customFormat="1" ht="15.6" x14ac:dyDescent="0.3">
      <c r="A47" s="13" t="s">
        <v>34</v>
      </c>
      <c r="B47" s="150" t="s">
        <v>152</v>
      </c>
      <c r="C47" s="151" t="s">
        <v>152</v>
      </c>
      <c r="D47" s="151" t="s">
        <v>152</v>
      </c>
      <c r="E47" s="151" t="s">
        <v>152</v>
      </c>
      <c r="F47" s="151" t="s">
        <v>152</v>
      </c>
      <c r="G47" s="151" t="s">
        <v>152</v>
      </c>
      <c r="H47" s="151" t="s">
        <v>152</v>
      </c>
      <c r="I47" s="151" t="s">
        <v>152</v>
      </c>
      <c r="J47" s="151" t="s">
        <v>152</v>
      </c>
      <c r="K47" s="38" t="s">
        <v>152</v>
      </c>
      <c r="L47" s="38" t="s">
        <v>152</v>
      </c>
      <c r="M47" s="38" t="s">
        <v>152</v>
      </c>
      <c r="N47" s="38" t="s">
        <v>152</v>
      </c>
      <c r="O47" s="38" t="s">
        <v>152</v>
      </c>
      <c r="P47" s="38" t="s">
        <v>152</v>
      </c>
      <c r="Q47" s="122">
        <v>0</v>
      </c>
      <c r="R47" s="295" t="s">
        <v>152</v>
      </c>
    </row>
    <row r="48" spans="1:18" s="163" customFormat="1" ht="16.2" thickBot="1" x14ac:dyDescent="0.35">
      <c r="A48" s="100" t="s">
        <v>36</v>
      </c>
      <c r="B48" s="152" t="s">
        <v>152</v>
      </c>
      <c r="C48" s="153" t="s">
        <v>152</v>
      </c>
      <c r="D48" s="153" t="s">
        <v>152</v>
      </c>
      <c r="E48" s="153" t="s">
        <v>152</v>
      </c>
      <c r="F48" s="153" t="s">
        <v>152</v>
      </c>
      <c r="G48" s="153" t="s">
        <v>152</v>
      </c>
      <c r="H48" s="153" t="s">
        <v>152</v>
      </c>
      <c r="I48" s="153" t="s">
        <v>152</v>
      </c>
      <c r="J48" s="153" t="s">
        <v>152</v>
      </c>
      <c r="K48" s="101" t="s">
        <v>152</v>
      </c>
      <c r="L48" s="101" t="s">
        <v>152</v>
      </c>
      <c r="M48" s="101" t="s">
        <v>152</v>
      </c>
      <c r="N48" s="101" t="s">
        <v>152</v>
      </c>
      <c r="O48" s="101" t="s">
        <v>152</v>
      </c>
      <c r="P48" s="101" t="s">
        <v>152</v>
      </c>
      <c r="Q48" s="127">
        <v>0</v>
      </c>
      <c r="R48" s="292" t="s">
        <v>152</v>
      </c>
    </row>
    <row r="49" spans="1:20" s="163" customFormat="1" ht="16.2" thickTop="1" x14ac:dyDescent="0.3">
      <c r="A49" s="94" t="s">
        <v>37</v>
      </c>
      <c r="B49" s="154" t="s">
        <v>152</v>
      </c>
      <c r="C49" s="155" t="s">
        <v>152</v>
      </c>
      <c r="D49" s="155" t="s">
        <v>152</v>
      </c>
      <c r="E49" s="155" t="s">
        <v>152</v>
      </c>
      <c r="F49" s="155" t="s">
        <v>152</v>
      </c>
      <c r="G49" s="155" t="s">
        <v>152</v>
      </c>
      <c r="H49" s="155" t="s">
        <v>152</v>
      </c>
      <c r="I49" s="155" t="s">
        <v>152</v>
      </c>
      <c r="J49" s="155" t="s">
        <v>152</v>
      </c>
      <c r="K49" s="270">
        <f t="shared" ref="K49:R49" si="2">SUM(K37:K48)</f>
        <v>0</v>
      </c>
      <c r="L49" s="270">
        <f t="shared" si="2"/>
        <v>0</v>
      </c>
      <c r="M49" s="270">
        <f t="shared" si="2"/>
        <v>0</v>
      </c>
      <c r="N49" s="270">
        <f t="shared" si="2"/>
        <v>0</v>
      </c>
      <c r="O49" s="270">
        <f t="shared" si="2"/>
        <v>0</v>
      </c>
      <c r="P49" s="270">
        <f t="shared" si="2"/>
        <v>0</v>
      </c>
      <c r="Q49" s="270">
        <f t="shared" si="2"/>
        <v>0</v>
      </c>
      <c r="R49" s="288">
        <f t="shared" si="2"/>
        <v>0</v>
      </c>
    </row>
    <row r="50" spans="1:20" s="164" customFormat="1" ht="6.6" x14ac:dyDescent="0.15">
      <c r="A50" s="367" t="s">
        <v>174</v>
      </c>
      <c r="B50" s="367"/>
      <c r="C50" s="367"/>
      <c r="D50" s="367"/>
      <c r="E50" s="367"/>
      <c r="F50" s="367"/>
      <c r="G50" s="367"/>
      <c r="H50" s="367"/>
      <c r="I50" s="367"/>
      <c r="J50" s="367"/>
      <c r="K50" s="367"/>
      <c r="L50" s="367"/>
      <c r="M50" s="367"/>
      <c r="N50" s="367"/>
      <c r="O50" s="367"/>
      <c r="P50" s="367"/>
      <c r="Q50" s="367"/>
      <c r="R50" s="367"/>
    </row>
    <row r="51" spans="1:20" s="118" customFormat="1" ht="13.8" x14ac:dyDescent="0.3">
      <c r="A51" s="366" t="s">
        <v>221</v>
      </c>
      <c r="B51" s="366"/>
      <c r="C51" s="366"/>
      <c r="D51" s="366"/>
      <c r="E51" s="366"/>
      <c r="F51" s="366"/>
      <c r="G51" s="366"/>
      <c r="H51" s="366"/>
      <c r="I51" s="366"/>
      <c r="J51" s="366"/>
      <c r="K51" s="366"/>
      <c r="L51" s="366"/>
      <c r="M51" s="366"/>
      <c r="N51" s="366"/>
      <c r="O51" s="366"/>
      <c r="P51" s="366"/>
      <c r="Q51" s="366"/>
      <c r="R51" s="366"/>
      <c r="S51" s="366"/>
    </row>
    <row r="52" spans="1:20" s="118" customFormat="1" ht="13.8" x14ac:dyDescent="0.3">
      <c r="A52" s="375" t="str">
        <f>'Local SUT'!A60</f>
        <v>Source:  Minnesota Department of Revenue, Tax Research Division, February 2021</v>
      </c>
      <c r="B52" s="375"/>
      <c r="C52" s="375"/>
      <c r="D52" s="375"/>
      <c r="E52" s="375"/>
      <c r="F52" s="375"/>
      <c r="G52" s="375"/>
      <c r="H52" s="375"/>
      <c r="I52" s="375"/>
      <c r="J52" s="375"/>
      <c r="K52" s="375"/>
      <c r="L52" s="375"/>
      <c r="M52" s="375"/>
      <c r="N52" s="375"/>
      <c r="O52" s="375"/>
      <c r="P52" s="375"/>
      <c r="Q52" s="375"/>
      <c r="R52" s="375"/>
      <c r="S52" s="375"/>
      <c r="T52" s="375"/>
    </row>
    <row r="53" spans="1:20" s="118" customFormat="1" ht="13.8" x14ac:dyDescent="0.3">
      <c r="A53" s="376" t="s">
        <v>151</v>
      </c>
      <c r="B53" s="376"/>
      <c r="C53" s="376"/>
      <c r="D53" s="376"/>
      <c r="E53" s="376"/>
      <c r="F53" s="376"/>
      <c r="G53" s="376"/>
      <c r="H53" s="376"/>
      <c r="I53" s="376"/>
      <c r="J53" s="376"/>
      <c r="K53" s="376"/>
      <c r="L53" s="376"/>
      <c r="M53" s="376"/>
      <c r="N53" s="376"/>
      <c r="O53" s="376"/>
      <c r="P53" s="376"/>
      <c r="Q53" s="376"/>
      <c r="R53" s="376"/>
    </row>
    <row r="54" spans="1:20" x14ac:dyDescent="0.3">
      <c r="R54" s="117"/>
    </row>
  </sheetData>
  <mergeCells count="11">
    <mergeCell ref="A35:R35"/>
    <mergeCell ref="A50:R50"/>
    <mergeCell ref="A53:R53"/>
    <mergeCell ref="A1:V1"/>
    <mergeCell ref="A51:S51"/>
    <mergeCell ref="A52:T52"/>
    <mergeCell ref="A2:R2"/>
    <mergeCell ref="A3:R3"/>
    <mergeCell ref="A18:R18"/>
    <mergeCell ref="A19:R19"/>
    <mergeCell ref="A34:R34"/>
  </mergeCells>
  <pageMargins left="0.75" right="0" top="0.75" bottom="0.75" header="0.3" footer="0.3"/>
  <pageSetup scale="86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pageSetUpPr fitToPage="1"/>
  </sheetPr>
  <dimension ref="A1:R55"/>
  <sheetViews>
    <sheetView showGridLines="0" workbookViewId="0">
      <pane ySplit="1" topLeftCell="A2" activePane="bottomLeft" state="frozen"/>
      <selection pane="bottomLeft" sqref="A1:R1"/>
    </sheetView>
  </sheetViews>
  <sheetFormatPr defaultColWidth="12.5546875" defaultRowHeight="14.4" x14ac:dyDescent="0.3"/>
  <cols>
    <col min="1" max="1" width="12.5546875" style="74" customWidth="1"/>
    <col min="2" max="3" width="13.5546875" style="74" hidden="1" customWidth="1"/>
    <col min="4" max="17" width="13.5546875" style="74" customWidth="1"/>
    <col min="18" max="18" width="13.5546875" style="145" customWidth="1"/>
    <col min="19" max="16384" width="12.5546875" style="74"/>
  </cols>
  <sheetData>
    <row r="1" spans="1:18" s="112" customFormat="1" ht="21" x14ac:dyDescent="0.3">
      <c r="A1" s="380" t="s">
        <v>195</v>
      </c>
      <c r="B1" s="380"/>
      <c r="C1" s="380"/>
      <c r="D1" s="380"/>
      <c r="E1" s="380"/>
      <c r="F1" s="380"/>
      <c r="G1" s="380"/>
      <c r="H1" s="380"/>
      <c r="I1" s="380"/>
      <c r="J1" s="380"/>
      <c r="K1" s="380"/>
      <c r="L1" s="380"/>
      <c r="M1" s="380"/>
      <c r="N1" s="380"/>
      <c r="O1" s="380"/>
      <c r="P1" s="380"/>
      <c r="Q1" s="380"/>
      <c r="R1" s="380"/>
    </row>
    <row r="2" spans="1:18" s="106" customFormat="1" ht="18" x14ac:dyDescent="0.3">
      <c r="A2" s="381" t="str">
        <f>'Local SUT'!A2</f>
        <v>CY 2004-2020</v>
      </c>
      <c r="B2" s="381"/>
      <c r="C2" s="381"/>
      <c r="D2" s="381"/>
      <c r="E2" s="381"/>
      <c r="F2" s="381"/>
      <c r="G2" s="381"/>
      <c r="H2" s="381"/>
      <c r="I2" s="381"/>
      <c r="J2" s="381"/>
      <c r="K2" s="381"/>
      <c r="L2" s="381"/>
      <c r="M2" s="381"/>
      <c r="N2" s="381"/>
      <c r="O2" s="381"/>
      <c r="P2" s="381"/>
      <c r="Q2" s="381"/>
      <c r="R2" s="381"/>
    </row>
    <row r="3" spans="1:18" s="106" customFormat="1" ht="18" x14ac:dyDescent="0.3">
      <c r="A3" s="370" t="s">
        <v>50</v>
      </c>
      <c r="B3" s="370"/>
      <c r="C3" s="370"/>
      <c r="D3" s="370"/>
      <c r="E3" s="370"/>
      <c r="F3" s="370"/>
      <c r="G3" s="370"/>
      <c r="H3" s="370"/>
      <c r="I3" s="370"/>
      <c r="J3" s="370"/>
      <c r="K3" s="370"/>
      <c r="L3" s="370"/>
      <c r="M3" s="370"/>
      <c r="N3" s="370"/>
      <c r="O3" s="370"/>
      <c r="P3" s="370"/>
      <c r="Q3" s="370"/>
      <c r="R3" s="370"/>
    </row>
    <row r="4" spans="1:18" s="63" customFormat="1" ht="15.6" x14ac:dyDescent="0.3">
      <c r="A4" s="172" t="s">
        <v>23</v>
      </c>
      <c r="B4" s="91">
        <v>2004</v>
      </c>
      <c r="C4" s="64">
        <v>2005</v>
      </c>
      <c r="D4" s="64">
        <v>2006</v>
      </c>
      <c r="E4" s="64">
        <v>2007</v>
      </c>
      <c r="F4" s="64">
        <v>2008</v>
      </c>
      <c r="G4" s="64">
        <v>2009</v>
      </c>
      <c r="H4" s="64">
        <v>2010</v>
      </c>
      <c r="I4" s="64">
        <v>2011</v>
      </c>
      <c r="J4" s="65">
        <v>2012</v>
      </c>
      <c r="K4" s="65">
        <v>2013</v>
      </c>
      <c r="L4" s="65">
        <v>2014</v>
      </c>
      <c r="M4" s="65">
        <v>2015</v>
      </c>
      <c r="N4" s="65">
        <v>2016</v>
      </c>
      <c r="O4" s="65">
        <v>2017</v>
      </c>
      <c r="P4" s="65">
        <v>2018</v>
      </c>
      <c r="Q4" s="65">
        <v>2019</v>
      </c>
      <c r="R4" s="49">
        <v>2020</v>
      </c>
    </row>
    <row r="5" spans="1:18" s="63" customFormat="1" ht="15.6" x14ac:dyDescent="0.3">
      <c r="A5" s="76" t="s">
        <v>24</v>
      </c>
      <c r="B5" s="108" t="s">
        <v>152</v>
      </c>
      <c r="C5" s="107" t="s">
        <v>152</v>
      </c>
      <c r="D5" s="271">
        <v>1100000</v>
      </c>
      <c r="E5" s="271">
        <v>1149700.81</v>
      </c>
      <c r="F5" s="271">
        <v>1150477.43</v>
      </c>
      <c r="G5" s="272">
        <v>1202596</v>
      </c>
      <c r="H5" s="272">
        <v>1080470</v>
      </c>
      <c r="I5" s="272">
        <v>1293108</v>
      </c>
      <c r="J5" s="271">
        <v>1216559</v>
      </c>
      <c r="K5" s="271">
        <v>1244904</v>
      </c>
      <c r="L5" s="271">
        <v>1204872</v>
      </c>
      <c r="M5" s="271">
        <v>1248226</v>
      </c>
      <c r="N5" s="271">
        <v>1377822</v>
      </c>
      <c r="O5" s="271">
        <v>1368880</v>
      </c>
      <c r="P5" s="271">
        <v>1342642</v>
      </c>
      <c r="Q5" s="271">
        <v>1430798</v>
      </c>
      <c r="R5" s="286">
        <v>2180025</v>
      </c>
    </row>
    <row r="6" spans="1:18" s="63" customFormat="1" ht="15.6" x14ac:dyDescent="0.3">
      <c r="A6" s="75" t="s">
        <v>25</v>
      </c>
      <c r="B6" s="170" t="s">
        <v>152</v>
      </c>
      <c r="C6" s="67" t="s">
        <v>152</v>
      </c>
      <c r="D6" s="66">
        <v>636784</v>
      </c>
      <c r="E6" s="66">
        <v>803335.18</v>
      </c>
      <c r="F6" s="66">
        <v>811649.93</v>
      </c>
      <c r="G6" s="67">
        <v>916337</v>
      </c>
      <c r="H6" s="67">
        <v>758611</v>
      </c>
      <c r="I6" s="67">
        <v>828005</v>
      </c>
      <c r="J6" s="66">
        <v>847692</v>
      </c>
      <c r="K6" s="66">
        <v>890505</v>
      </c>
      <c r="L6" s="66">
        <v>917223</v>
      </c>
      <c r="M6" s="66">
        <v>980647</v>
      </c>
      <c r="N6" s="66">
        <v>943946</v>
      </c>
      <c r="O6" s="66">
        <v>938801</v>
      </c>
      <c r="P6" s="66">
        <v>991726</v>
      </c>
      <c r="Q6" s="66">
        <v>1016440</v>
      </c>
      <c r="R6" s="287">
        <v>1564709</v>
      </c>
    </row>
    <row r="7" spans="1:18" s="63" customFormat="1" ht="15.6" x14ac:dyDescent="0.3">
      <c r="A7" s="75" t="s">
        <v>26</v>
      </c>
      <c r="B7" s="170" t="s">
        <v>152</v>
      </c>
      <c r="C7" s="67" t="s">
        <v>152</v>
      </c>
      <c r="D7" s="66">
        <v>714252</v>
      </c>
      <c r="E7" s="66">
        <v>762679.07</v>
      </c>
      <c r="F7" s="66">
        <v>813192.23</v>
      </c>
      <c r="G7" s="66">
        <v>840876</v>
      </c>
      <c r="H7" s="66">
        <v>783762</v>
      </c>
      <c r="I7" s="66">
        <v>824165</v>
      </c>
      <c r="J7" s="66">
        <v>850853</v>
      </c>
      <c r="K7" s="66">
        <v>878447</v>
      </c>
      <c r="L7" s="66">
        <v>882235</v>
      </c>
      <c r="M7" s="66">
        <v>958111</v>
      </c>
      <c r="N7" s="66">
        <v>984618</v>
      </c>
      <c r="O7" s="66">
        <v>886866</v>
      </c>
      <c r="P7" s="66">
        <v>906465</v>
      </c>
      <c r="Q7" s="66">
        <v>965453</v>
      </c>
      <c r="R7" s="287">
        <v>1526023</v>
      </c>
    </row>
    <row r="8" spans="1:18" s="63" customFormat="1" ht="15.6" x14ac:dyDescent="0.3">
      <c r="A8" s="75" t="s">
        <v>27</v>
      </c>
      <c r="B8" s="170" t="s">
        <v>152</v>
      </c>
      <c r="C8" s="67" t="s">
        <v>152</v>
      </c>
      <c r="D8" s="66">
        <v>850040.92</v>
      </c>
      <c r="E8" s="66">
        <v>907497.1</v>
      </c>
      <c r="F8" s="66">
        <v>895118.82</v>
      </c>
      <c r="G8" s="67">
        <v>823453</v>
      </c>
      <c r="H8" s="66">
        <v>918438</v>
      </c>
      <c r="I8" s="66">
        <v>917031</v>
      </c>
      <c r="J8" s="66">
        <v>970290</v>
      </c>
      <c r="K8" s="66">
        <v>973274</v>
      </c>
      <c r="L8" s="66">
        <v>1014022</v>
      </c>
      <c r="M8" s="66">
        <v>1079057</v>
      </c>
      <c r="N8" s="66">
        <v>1109290</v>
      </c>
      <c r="O8" s="66">
        <v>1066144</v>
      </c>
      <c r="P8" s="66">
        <v>1103695</v>
      </c>
      <c r="Q8" s="66">
        <v>1155148</v>
      </c>
      <c r="R8" s="287">
        <v>1543213</v>
      </c>
    </row>
    <row r="9" spans="1:18" s="63" customFormat="1" ht="15.6" x14ac:dyDescent="0.3">
      <c r="A9" s="75" t="s">
        <v>28</v>
      </c>
      <c r="B9" s="170" t="s">
        <v>152</v>
      </c>
      <c r="C9" s="67" t="s">
        <v>152</v>
      </c>
      <c r="D9" s="66">
        <v>768187.6</v>
      </c>
      <c r="E9" s="66">
        <v>814622.74</v>
      </c>
      <c r="F9" s="66">
        <v>827826.89</v>
      </c>
      <c r="G9" s="67">
        <v>791359</v>
      </c>
      <c r="H9" s="66">
        <v>824062</v>
      </c>
      <c r="I9" s="66">
        <v>914077</v>
      </c>
      <c r="J9" s="66">
        <v>884184</v>
      </c>
      <c r="K9" s="66">
        <v>897161</v>
      </c>
      <c r="L9" s="66">
        <v>964869</v>
      </c>
      <c r="M9" s="66">
        <v>1013959</v>
      </c>
      <c r="N9" s="66">
        <v>1059982</v>
      </c>
      <c r="O9" s="66">
        <v>1028633</v>
      </c>
      <c r="P9" s="66">
        <v>1023261</v>
      </c>
      <c r="Q9" s="66">
        <v>1148645</v>
      </c>
      <c r="R9" s="287">
        <v>1230669</v>
      </c>
    </row>
    <row r="10" spans="1:18" s="63" customFormat="1" ht="15.6" x14ac:dyDescent="0.3">
      <c r="A10" s="75" t="s">
        <v>29</v>
      </c>
      <c r="B10" s="170" t="s">
        <v>152</v>
      </c>
      <c r="C10" s="67" t="s">
        <v>152</v>
      </c>
      <c r="D10" s="66">
        <v>851783.55</v>
      </c>
      <c r="E10" s="66">
        <v>909642.13</v>
      </c>
      <c r="F10" s="66">
        <v>951780.76</v>
      </c>
      <c r="G10" s="67">
        <v>820463</v>
      </c>
      <c r="H10" s="66">
        <v>887143</v>
      </c>
      <c r="I10" s="66">
        <v>926239</v>
      </c>
      <c r="J10" s="66">
        <v>913584</v>
      </c>
      <c r="K10" s="66">
        <v>1035556</v>
      </c>
      <c r="L10" s="66">
        <v>1040996</v>
      </c>
      <c r="M10" s="66">
        <v>1099861</v>
      </c>
      <c r="N10" s="66">
        <v>1122756</v>
      </c>
      <c r="O10" s="66">
        <v>1086942</v>
      </c>
      <c r="P10" s="66">
        <v>1160116</v>
      </c>
      <c r="Q10" s="66">
        <v>1191641</v>
      </c>
      <c r="R10" s="287">
        <v>1505662</v>
      </c>
    </row>
    <row r="11" spans="1:18" s="63" customFormat="1" ht="15.6" x14ac:dyDescent="0.3">
      <c r="A11" s="75" t="s">
        <v>30</v>
      </c>
      <c r="B11" s="170" t="s">
        <v>152</v>
      </c>
      <c r="C11" s="67" t="s">
        <v>152</v>
      </c>
      <c r="D11" s="66">
        <v>752721.99</v>
      </c>
      <c r="E11" s="66">
        <v>867505.14</v>
      </c>
      <c r="F11" s="66">
        <v>878346.3</v>
      </c>
      <c r="G11" s="67">
        <v>726617</v>
      </c>
      <c r="H11" s="66">
        <v>853723</v>
      </c>
      <c r="I11" s="66">
        <v>946892</v>
      </c>
      <c r="J11" s="66">
        <v>946288</v>
      </c>
      <c r="K11" s="66">
        <v>933866</v>
      </c>
      <c r="L11" s="66">
        <v>1034958</v>
      </c>
      <c r="M11" s="66">
        <v>1048169</v>
      </c>
      <c r="N11" s="66">
        <v>1085855</v>
      </c>
      <c r="O11" s="66">
        <v>1138691</v>
      </c>
      <c r="P11" s="66">
        <v>1125659</v>
      </c>
      <c r="Q11" s="66">
        <v>1196854</v>
      </c>
      <c r="R11" s="291" t="s">
        <v>152</v>
      </c>
    </row>
    <row r="12" spans="1:18" s="63" customFormat="1" ht="15.6" x14ac:dyDescent="0.3">
      <c r="A12" s="75" t="s">
        <v>31</v>
      </c>
      <c r="B12" s="170" t="s">
        <v>152</v>
      </c>
      <c r="C12" s="67" t="s">
        <v>152</v>
      </c>
      <c r="D12" s="66">
        <v>1102024.68</v>
      </c>
      <c r="E12" s="66">
        <v>1146373.18</v>
      </c>
      <c r="F12" s="66">
        <v>1177959.93</v>
      </c>
      <c r="G12" s="67">
        <v>1145246</v>
      </c>
      <c r="H12" s="66">
        <v>1151985</v>
      </c>
      <c r="I12" s="66">
        <v>1157538</v>
      </c>
      <c r="J12" s="66">
        <v>1189067</v>
      </c>
      <c r="K12" s="66">
        <v>1307589</v>
      </c>
      <c r="L12" s="66">
        <v>1379029</v>
      </c>
      <c r="M12" s="66">
        <v>1430738</v>
      </c>
      <c r="N12" s="66">
        <v>1384637</v>
      </c>
      <c r="O12" s="66">
        <v>1329476</v>
      </c>
      <c r="P12" s="66">
        <v>1451033</v>
      </c>
      <c r="Q12" s="66">
        <v>1505644</v>
      </c>
      <c r="R12" s="295" t="s">
        <v>152</v>
      </c>
    </row>
    <row r="13" spans="1:18" s="63" customFormat="1" ht="15.6" x14ac:dyDescent="0.3">
      <c r="A13" s="75" t="s">
        <v>32</v>
      </c>
      <c r="B13" s="170" t="s">
        <v>152</v>
      </c>
      <c r="C13" s="67" t="s">
        <v>152</v>
      </c>
      <c r="D13" s="66">
        <v>958702.59</v>
      </c>
      <c r="E13" s="66">
        <v>1010893.21</v>
      </c>
      <c r="F13" s="66">
        <v>1014974.82</v>
      </c>
      <c r="G13" s="67">
        <v>913064</v>
      </c>
      <c r="H13" s="66">
        <v>1042962</v>
      </c>
      <c r="I13" s="66">
        <v>1070810</v>
      </c>
      <c r="J13" s="66">
        <v>1142752</v>
      </c>
      <c r="K13" s="66">
        <v>1144006</v>
      </c>
      <c r="L13" s="66">
        <v>1209391</v>
      </c>
      <c r="M13" s="66">
        <v>1227345</v>
      </c>
      <c r="N13" s="66">
        <v>1263076</v>
      </c>
      <c r="O13" s="66">
        <v>1292274</v>
      </c>
      <c r="P13" s="66">
        <v>1320131</v>
      </c>
      <c r="Q13" s="66">
        <v>1388607</v>
      </c>
      <c r="R13" s="295" t="s">
        <v>152</v>
      </c>
    </row>
    <row r="14" spans="1:18" s="63" customFormat="1" ht="15.6" x14ac:dyDescent="0.3">
      <c r="A14" s="75" t="s">
        <v>33</v>
      </c>
      <c r="B14" s="170" t="s">
        <v>152</v>
      </c>
      <c r="C14" s="67" t="s">
        <v>152</v>
      </c>
      <c r="D14" s="66">
        <v>971138.17</v>
      </c>
      <c r="E14" s="66">
        <v>1012141.04</v>
      </c>
      <c r="F14" s="66">
        <v>1061739.79</v>
      </c>
      <c r="G14" s="67">
        <v>1006823</v>
      </c>
      <c r="H14" s="66">
        <v>1078319</v>
      </c>
      <c r="I14" s="66">
        <v>1100150</v>
      </c>
      <c r="J14" s="66">
        <v>1108974</v>
      </c>
      <c r="K14" s="66">
        <v>1148424</v>
      </c>
      <c r="L14" s="66">
        <v>1208922</v>
      </c>
      <c r="M14" s="66">
        <v>1253834</v>
      </c>
      <c r="N14" s="66">
        <v>1249606</v>
      </c>
      <c r="O14" s="66">
        <v>1262801</v>
      </c>
      <c r="P14" s="66">
        <v>1267794</v>
      </c>
      <c r="Q14" s="66">
        <v>1351088</v>
      </c>
      <c r="R14" s="295" t="s">
        <v>152</v>
      </c>
    </row>
    <row r="15" spans="1:18" s="63" customFormat="1" ht="15.6" x14ac:dyDescent="0.3">
      <c r="A15" s="75" t="s">
        <v>34</v>
      </c>
      <c r="B15" s="170" t="s">
        <v>152</v>
      </c>
      <c r="C15" s="67" t="s">
        <v>152</v>
      </c>
      <c r="D15" s="66">
        <v>872638.32</v>
      </c>
      <c r="E15" s="66">
        <v>931766.98</v>
      </c>
      <c r="F15" s="66" t="s">
        <v>35</v>
      </c>
      <c r="G15" s="67">
        <v>876361</v>
      </c>
      <c r="H15" s="66">
        <v>977353</v>
      </c>
      <c r="I15" s="66">
        <v>997636</v>
      </c>
      <c r="J15" s="66">
        <v>1038935</v>
      </c>
      <c r="K15" s="66">
        <v>1083089</v>
      </c>
      <c r="L15" s="66">
        <v>1202724</v>
      </c>
      <c r="M15" s="66">
        <v>1203905</v>
      </c>
      <c r="N15" s="66">
        <v>1168396</v>
      </c>
      <c r="O15" s="66">
        <v>1163128</v>
      </c>
      <c r="P15" s="66">
        <v>1256779</v>
      </c>
      <c r="Q15" s="66">
        <v>1878761</v>
      </c>
      <c r="R15" s="295" t="s">
        <v>152</v>
      </c>
    </row>
    <row r="16" spans="1:18" s="63" customFormat="1" ht="16.2" thickBot="1" x14ac:dyDescent="0.35">
      <c r="A16" s="88" t="s">
        <v>36</v>
      </c>
      <c r="B16" s="87" t="s">
        <v>152</v>
      </c>
      <c r="C16" s="72" t="s">
        <v>152</v>
      </c>
      <c r="D16" s="72">
        <v>925267.16</v>
      </c>
      <c r="E16" s="72">
        <v>916494.18</v>
      </c>
      <c r="F16" s="72">
        <v>1573405</v>
      </c>
      <c r="G16" s="72">
        <v>842382</v>
      </c>
      <c r="H16" s="72">
        <v>934411</v>
      </c>
      <c r="I16" s="71">
        <v>926885</v>
      </c>
      <c r="J16" s="71">
        <v>986061</v>
      </c>
      <c r="K16" s="71">
        <v>1019220</v>
      </c>
      <c r="L16" s="71">
        <v>1150050</v>
      </c>
      <c r="M16" s="71">
        <v>1155927</v>
      </c>
      <c r="N16" s="71">
        <v>1106518</v>
      </c>
      <c r="O16" s="71">
        <v>1117621</v>
      </c>
      <c r="P16" s="71">
        <v>1199884</v>
      </c>
      <c r="Q16" s="71">
        <v>1684209</v>
      </c>
      <c r="R16" s="292" t="s">
        <v>152</v>
      </c>
    </row>
    <row r="17" spans="1:18" s="63" customFormat="1" ht="16.2" thickTop="1" x14ac:dyDescent="0.3">
      <c r="A17" s="171" t="s">
        <v>37</v>
      </c>
      <c r="B17" s="90" t="s">
        <v>152</v>
      </c>
      <c r="C17" s="73" t="s">
        <v>152</v>
      </c>
      <c r="D17" s="273">
        <f t="shared" ref="D17:I17" si="0">SUM(D5:D16)</f>
        <v>10503540.98</v>
      </c>
      <c r="E17" s="273">
        <f t="shared" si="0"/>
        <v>11232650.76</v>
      </c>
      <c r="F17" s="273">
        <f t="shared" si="0"/>
        <v>11156471.899999999</v>
      </c>
      <c r="G17" s="273">
        <f t="shared" si="0"/>
        <v>10905577</v>
      </c>
      <c r="H17" s="273">
        <f t="shared" si="0"/>
        <v>11291239</v>
      </c>
      <c r="I17" s="273">
        <f t="shared" si="0"/>
        <v>11902536</v>
      </c>
      <c r="J17" s="273">
        <f t="shared" ref="J17:P17" si="1">SUM(J5:J16)</f>
        <v>12095239</v>
      </c>
      <c r="K17" s="273">
        <f t="shared" si="1"/>
        <v>12556041</v>
      </c>
      <c r="L17" s="273">
        <f t="shared" si="1"/>
        <v>13209291</v>
      </c>
      <c r="M17" s="273">
        <f t="shared" si="1"/>
        <v>13699779</v>
      </c>
      <c r="N17" s="273">
        <f t="shared" si="1"/>
        <v>13856502</v>
      </c>
      <c r="O17" s="273">
        <f t="shared" si="1"/>
        <v>13680257</v>
      </c>
      <c r="P17" s="273">
        <f t="shared" si="1"/>
        <v>14149185</v>
      </c>
      <c r="Q17" s="273">
        <f t="shared" ref="Q17:R17" si="2">SUM(Q5:Q16)</f>
        <v>15913288</v>
      </c>
      <c r="R17" s="288">
        <f t="shared" si="2"/>
        <v>9550301</v>
      </c>
    </row>
    <row r="18" spans="1:18" s="113" customFormat="1" ht="6.6" x14ac:dyDescent="0.3">
      <c r="A18" s="371" t="s">
        <v>174</v>
      </c>
      <c r="B18" s="371"/>
      <c r="C18" s="371"/>
      <c r="D18" s="371"/>
      <c r="E18" s="371"/>
      <c r="F18" s="371"/>
      <c r="G18" s="371"/>
      <c r="H18" s="371"/>
      <c r="I18" s="371"/>
      <c r="J18" s="371"/>
      <c r="K18" s="371"/>
      <c r="L18" s="371"/>
      <c r="M18" s="371"/>
      <c r="N18" s="371"/>
      <c r="O18" s="371"/>
      <c r="P18" s="371"/>
      <c r="Q18" s="371"/>
      <c r="R18" s="371"/>
    </row>
    <row r="19" spans="1:18" s="106" customFormat="1" ht="18" x14ac:dyDescent="0.3">
      <c r="A19" s="370" t="s">
        <v>51</v>
      </c>
      <c r="B19" s="370"/>
      <c r="C19" s="370"/>
      <c r="D19" s="370"/>
      <c r="E19" s="370"/>
      <c r="F19" s="370"/>
      <c r="G19" s="370"/>
      <c r="H19" s="370"/>
      <c r="I19" s="370"/>
      <c r="J19" s="370"/>
      <c r="K19" s="370"/>
      <c r="L19" s="370"/>
      <c r="M19" s="370"/>
      <c r="N19" s="370"/>
      <c r="O19" s="370"/>
      <c r="P19" s="370"/>
      <c r="Q19" s="370"/>
      <c r="R19" s="370"/>
    </row>
    <row r="20" spans="1:18" s="63" customFormat="1" ht="15.6" x14ac:dyDescent="0.3">
      <c r="A20" s="172" t="s">
        <v>23</v>
      </c>
      <c r="B20" s="91">
        <v>2004</v>
      </c>
      <c r="C20" s="64">
        <v>2005</v>
      </c>
      <c r="D20" s="64">
        <v>2006</v>
      </c>
      <c r="E20" s="64">
        <v>2007</v>
      </c>
      <c r="F20" s="64">
        <v>2008</v>
      </c>
      <c r="G20" s="64">
        <v>2009</v>
      </c>
      <c r="H20" s="64">
        <v>2010</v>
      </c>
      <c r="I20" s="64">
        <v>2011</v>
      </c>
      <c r="J20" s="65">
        <v>2012</v>
      </c>
      <c r="K20" s="65">
        <v>2013</v>
      </c>
      <c r="L20" s="65">
        <v>2014</v>
      </c>
      <c r="M20" s="65">
        <v>2015</v>
      </c>
      <c r="N20" s="65">
        <v>2016</v>
      </c>
      <c r="O20" s="65">
        <v>2017</v>
      </c>
      <c r="P20" s="65">
        <v>2018</v>
      </c>
      <c r="Q20" s="65">
        <v>2019</v>
      </c>
      <c r="R20" s="49">
        <v>2020</v>
      </c>
    </row>
    <row r="21" spans="1:18" s="63" customFormat="1" ht="15.6" x14ac:dyDescent="0.3">
      <c r="A21" s="76" t="s">
        <v>24</v>
      </c>
      <c r="B21" s="108" t="s">
        <v>152</v>
      </c>
      <c r="C21" s="107" t="s">
        <v>152</v>
      </c>
      <c r="D21" s="271">
        <v>1665</v>
      </c>
      <c r="E21" s="271">
        <v>109404.8</v>
      </c>
      <c r="F21" s="271">
        <v>82581.78</v>
      </c>
      <c r="G21" s="272">
        <v>87968</v>
      </c>
      <c r="H21" s="272">
        <v>158813</v>
      </c>
      <c r="I21" s="272">
        <v>96146</v>
      </c>
      <c r="J21" s="271">
        <v>79746</v>
      </c>
      <c r="K21" s="271">
        <v>146565</v>
      </c>
      <c r="L21" s="271">
        <v>130087</v>
      </c>
      <c r="M21" s="271">
        <v>108857</v>
      </c>
      <c r="N21" s="271">
        <v>73897</v>
      </c>
      <c r="O21" s="271">
        <v>73015</v>
      </c>
      <c r="P21" s="271">
        <v>84679</v>
      </c>
      <c r="Q21" s="271">
        <v>94634</v>
      </c>
      <c r="R21" s="286">
        <v>121735</v>
      </c>
    </row>
    <row r="22" spans="1:18" s="63" customFormat="1" ht="15.6" x14ac:dyDescent="0.3">
      <c r="A22" s="75" t="s">
        <v>25</v>
      </c>
      <c r="B22" s="170" t="s">
        <v>152</v>
      </c>
      <c r="C22" s="67" t="s">
        <v>152</v>
      </c>
      <c r="D22" s="66">
        <v>49278</v>
      </c>
      <c r="E22" s="66">
        <v>78716.039999999994</v>
      </c>
      <c r="F22" s="66">
        <v>87756.64</v>
      </c>
      <c r="G22" s="67">
        <v>62737</v>
      </c>
      <c r="H22" s="67">
        <v>-34941</v>
      </c>
      <c r="I22" s="67">
        <v>56115</v>
      </c>
      <c r="J22" s="66">
        <v>89958</v>
      </c>
      <c r="K22" s="66">
        <v>82539</v>
      </c>
      <c r="L22" s="66">
        <v>78212</v>
      </c>
      <c r="M22" s="66">
        <v>83154</v>
      </c>
      <c r="N22" s="66">
        <v>59346</v>
      </c>
      <c r="O22" s="66">
        <v>58096</v>
      </c>
      <c r="P22" s="66">
        <v>53590</v>
      </c>
      <c r="Q22" s="66">
        <v>57077</v>
      </c>
      <c r="R22" s="287">
        <v>52805</v>
      </c>
    </row>
    <row r="23" spans="1:18" s="63" customFormat="1" ht="15.6" x14ac:dyDescent="0.3">
      <c r="A23" s="75" t="s">
        <v>26</v>
      </c>
      <c r="B23" s="170" t="s">
        <v>152</v>
      </c>
      <c r="C23" s="67" t="s">
        <v>152</v>
      </c>
      <c r="D23" s="66">
        <v>67633.38</v>
      </c>
      <c r="E23" s="66">
        <v>49452.61</v>
      </c>
      <c r="F23" s="66">
        <v>67117.59</v>
      </c>
      <c r="G23" s="67">
        <v>43724</v>
      </c>
      <c r="H23" s="67">
        <v>31824</v>
      </c>
      <c r="I23" s="67">
        <v>41964</v>
      </c>
      <c r="J23" s="66">
        <v>59990</v>
      </c>
      <c r="K23" s="66">
        <v>54494</v>
      </c>
      <c r="L23" s="66">
        <v>76320</v>
      </c>
      <c r="M23" s="66">
        <v>57228</v>
      </c>
      <c r="N23" s="66">
        <v>50203</v>
      </c>
      <c r="O23" s="66">
        <v>58205</v>
      </c>
      <c r="P23" s="66">
        <v>90752</v>
      </c>
      <c r="Q23" s="66">
        <v>59422</v>
      </c>
      <c r="R23" s="287">
        <v>54065</v>
      </c>
    </row>
    <row r="24" spans="1:18" s="63" customFormat="1" ht="15.6" x14ac:dyDescent="0.3">
      <c r="A24" s="75" t="s">
        <v>27</v>
      </c>
      <c r="B24" s="170" t="s">
        <v>152</v>
      </c>
      <c r="C24" s="67" t="s">
        <v>152</v>
      </c>
      <c r="D24" s="66">
        <v>67957.679999999993</v>
      </c>
      <c r="E24" s="66">
        <v>84562.09</v>
      </c>
      <c r="F24" s="66">
        <v>124957.51</v>
      </c>
      <c r="G24" s="67">
        <v>48273</v>
      </c>
      <c r="H24" s="67">
        <v>57626</v>
      </c>
      <c r="I24" s="67">
        <v>63982</v>
      </c>
      <c r="J24" s="66">
        <v>73339</v>
      </c>
      <c r="K24" s="66">
        <v>87769</v>
      </c>
      <c r="L24" s="66">
        <v>78851</v>
      </c>
      <c r="M24" s="66">
        <v>91532</v>
      </c>
      <c r="N24" s="66">
        <v>58858</v>
      </c>
      <c r="O24" s="66">
        <v>70468</v>
      </c>
      <c r="P24" s="66">
        <v>72059</v>
      </c>
      <c r="Q24" s="66">
        <v>59575</v>
      </c>
      <c r="R24" s="287">
        <v>92245</v>
      </c>
    </row>
    <row r="25" spans="1:18" s="63" customFormat="1" ht="15.6" x14ac:dyDescent="0.3">
      <c r="A25" s="75" t="s">
        <v>28</v>
      </c>
      <c r="B25" s="170" t="s">
        <v>152</v>
      </c>
      <c r="C25" s="67" t="s">
        <v>152</v>
      </c>
      <c r="D25" s="66">
        <v>72218.679999999993</v>
      </c>
      <c r="E25" s="66">
        <v>59086.12</v>
      </c>
      <c r="F25" s="66">
        <v>100407.45</v>
      </c>
      <c r="G25" s="67">
        <v>58239</v>
      </c>
      <c r="H25" s="67">
        <v>64449</v>
      </c>
      <c r="I25" s="67">
        <v>60369</v>
      </c>
      <c r="J25" s="66">
        <v>73574</v>
      </c>
      <c r="K25" s="66">
        <v>66815</v>
      </c>
      <c r="L25" s="66">
        <v>84949</v>
      </c>
      <c r="M25" s="66">
        <v>76954</v>
      </c>
      <c r="N25" s="66">
        <v>59669</v>
      </c>
      <c r="O25" s="66">
        <v>50310</v>
      </c>
      <c r="P25" s="66">
        <v>73352</v>
      </c>
      <c r="Q25" s="66">
        <v>54437</v>
      </c>
      <c r="R25" s="287">
        <v>68722</v>
      </c>
    </row>
    <row r="26" spans="1:18" s="63" customFormat="1" ht="15.6" x14ac:dyDescent="0.3">
      <c r="A26" s="75" t="s">
        <v>29</v>
      </c>
      <c r="B26" s="170" t="s">
        <v>152</v>
      </c>
      <c r="C26" s="67" t="s">
        <v>152</v>
      </c>
      <c r="D26" s="66">
        <v>76318.710000000006</v>
      </c>
      <c r="E26" s="66">
        <v>98071.05</v>
      </c>
      <c r="F26" s="66">
        <v>95157.36</v>
      </c>
      <c r="G26" s="67">
        <v>48296</v>
      </c>
      <c r="H26" s="67">
        <v>49131</v>
      </c>
      <c r="I26" s="67">
        <v>57943</v>
      </c>
      <c r="J26" s="66">
        <v>69729</v>
      </c>
      <c r="K26" s="66">
        <v>80631</v>
      </c>
      <c r="L26" s="66">
        <v>74826</v>
      </c>
      <c r="M26" s="66">
        <v>116543</v>
      </c>
      <c r="N26" s="66">
        <v>47576</v>
      </c>
      <c r="O26" s="66">
        <v>71577</v>
      </c>
      <c r="P26" s="66">
        <v>58220</v>
      </c>
      <c r="Q26" s="66">
        <v>56787</v>
      </c>
      <c r="R26" s="287">
        <v>66474</v>
      </c>
    </row>
    <row r="27" spans="1:18" s="63" customFormat="1" ht="15.6" x14ac:dyDescent="0.3">
      <c r="A27" s="75" t="s">
        <v>30</v>
      </c>
      <c r="B27" s="170" t="s">
        <v>152</v>
      </c>
      <c r="C27" s="67" t="s">
        <v>152</v>
      </c>
      <c r="D27" s="66">
        <v>61267.86</v>
      </c>
      <c r="E27" s="66">
        <v>98755.5</v>
      </c>
      <c r="F27" s="66">
        <v>111151.48</v>
      </c>
      <c r="G27" s="67">
        <v>69589</v>
      </c>
      <c r="H27" s="67">
        <v>52128</v>
      </c>
      <c r="I27" s="67">
        <v>78762</v>
      </c>
      <c r="J27" s="66">
        <v>81409</v>
      </c>
      <c r="K27" s="66">
        <v>100670</v>
      </c>
      <c r="L27" s="66">
        <v>63687</v>
      </c>
      <c r="M27" s="66">
        <v>79277</v>
      </c>
      <c r="N27" s="66">
        <v>65977</v>
      </c>
      <c r="O27" s="66">
        <v>62654</v>
      </c>
      <c r="P27" s="66">
        <v>96548</v>
      </c>
      <c r="Q27" s="66">
        <v>61723</v>
      </c>
      <c r="R27" s="295" t="s">
        <v>152</v>
      </c>
    </row>
    <row r="28" spans="1:18" s="63" customFormat="1" ht="15.6" x14ac:dyDescent="0.3">
      <c r="A28" s="75" t="s">
        <v>31</v>
      </c>
      <c r="B28" s="170" t="s">
        <v>152</v>
      </c>
      <c r="C28" s="67" t="s">
        <v>152</v>
      </c>
      <c r="D28" s="66">
        <v>89604.01</v>
      </c>
      <c r="E28" s="66">
        <v>94631.78</v>
      </c>
      <c r="F28" s="66">
        <v>104458.02</v>
      </c>
      <c r="G28" s="67">
        <v>58987</v>
      </c>
      <c r="H28" s="67">
        <v>83941</v>
      </c>
      <c r="I28" s="67">
        <v>59133</v>
      </c>
      <c r="J28" s="66">
        <v>87225</v>
      </c>
      <c r="K28" s="66">
        <v>109450</v>
      </c>
      <c r="L28" s="66">
        <v>81231</v>
      </c>
      <c r="M28" s="66">
        <v>97700</v>
      </c>
      <c r="N28" s="66">
        <v>60247</v>
      </c>
      <c r="O28" s="66">
        <v>103590</v>
      </c>
      <c r="P28" s="66">
        <v>151266</v>
      </c>
      <c r="Q28" s="66">
        <v>76004</v>
      </c>
      <c r="R28" s="295" t="s">
        <v>152</v>
      </c>
    </row>
    <row r="29" spans="1:18" s="63" customFormat="1" ht="15.6" x14ac:dyDescent="0.3">
      <c r="A29" s="75" t="s">
        <v>32</v>
      </c>
      <c r="B29" s="170" t="s">
        <v>152</v>
      </c>
      <c r="C29" s="67" t="s">
        <v>152</v>
      </c>
      <c r="D29" s="66">
        <v>84969.29</v>
      </c>
      <c r="E29" s="66">
        <v>73516.95</v>
      </c>
      <c r="F29" s="66">
        <v>62521.33</v>
      </c>
      <c r="G29" s="67">
        <v>59200</v>
      </c>
      <c r="H29" s="67">
        <v>52264</v>
      </c>
      <c r="I29" s="67">
        <v>61049</v>
      </c>
      <c r="J29" s="66">
        <v>76196</v>
      </c>
      <c r="K29" s="66">
        <v>83220</v>
      </c>
      <c r="L29" s="66">
        <v>80018</v>
      </c>
      <c r="M29" s="66">
        <v>79254</v>
      </c>
      <c r="N29" s="66">
        <v>57232</v>
      </c>
      <c r="O29" s="66">
        <v>68660</v>
      </c>
      <c r="P29" s="66">
        <v>73335</v>
      </c>
      <c r="Q29" s="66">
        <v>68455</v>
      </c>
      <c r="R29" s="295" t="s">
        <v>152</v>
      </c>
    </row>
    <row r="30" spans="1:18" s="63" customFormat="1" ht="15.6" x14ac:dyDescent="0.3">
      <c r="A30" s="75" t="s">
        <v>33</v>
      </c>
      <c r="B30" s="170" t="s">
        <v>152</v>
      </c>
      <c r="C30" s="67" t="s">
        <v>152</v>
      </c>
      <c r="D30" s="66">
        <v>89916.08</v>
      </c>
      <c r="E30" s="66">
        <v>82079.17</v>
      </c>
      <c r="F30" s="66">
        <v>91135.900000000009</v>
      </c>
      <c r="G30" s="67">
        <v>80473</v>
      </c>
      <c r="H30" s="67">
        <v>75578</v>
      </c>
      <c r="I30" s="67">
        <v>84997</v>
      </c>
      <c r="J30" s="66">
        <v>89951</v>
      </c>
      <c r="K30" s="66">
        <v>127181</v>
      </c>
      <c r="L30" s="66">
        <v>104976</v>
      </c>
      <c r="M30" s="66">
        <v>84726</v>
      </c>
      <c r="N30" s="66">
        <v>67316</v>
      </c>
      <c r="O30" s="66">
        <v>92597</v>
      </c>
      <c r="P30" s="66">
        <v>75936</v>
      </c>
      <c r="Q30" s="66">
        <v>73147</v>
      </c>
      <c r="R30" s="295" t="s">
        <v>152</v>
      </c>
    </row>
    <row r="31" spans="1:18" s="63" customFormat="1" ht="15.6" x14ac:dyDescent="0.3">
      <c r="A31" s="75" t="s">
        <v>34</v>
      </c>
      <c r="B31" s="170" t="s">
        <v>152</v>
      </c>
      <c r="C31" s="67" t="s">
        <v>152</v>
      </c>
      <c r="D31" s="66">
        <v>80804.63</v>
      </c>
      <c r="E31" s="66">
        <v>86937.67</v>
      </c>
      <c r="F31" s="66" t="s">
        <v>35</v>
      </c>
      <c r="G31" s="67">
        <v>69997</v>
      </c>
      <c r="H31" s="67">
        <v>61384</v>
      </c>
      <c r="I31" s="67">
        <v>71792</v>
      </c>
      <c r="J31" s="66">
        <v>105354</v>
      </c>
      <c r="K31" s="66">
        <v>106642</v>
      </c>
      <c r="L31" s="66">
        <v>134328</v>
      </c>
      <c r="M31" s="66">
        <v>74765</v>
      </c>
      <c r="N31" s="66">
        <v>60548</v>
      </c>
      <c r="O31" s="66">
        <v>62502</v>
      </c>
      <c r="P31" s="66">
        <v>96699</v>
      </c>
      <c r="Q31" s="66">
        <v>95985</v>
      </c>
      <c r="R31" s="295" t="s">
        <v>152</v>
      </c>
    </row>
    <row r="32" spans="1:18" s="63" customFormat="1" ht="16.2" thickBot="1" x14ac:dyDescent="0.35">
      <c r="A32" s="88" t="s">
        <v>36</v>
      </c>
      <c r="B32" s="87" t="s">
        <v>152</v>
      </c>
      <c r="C32" s="72" t="s">
        <v>152</v>
      </c>
      <c r="D32" s="72">
        <v>152984.84</v>
      </c>
      <c r="E32" s="72">
        <v>78114.240000000005</v>
      </c>
      <c r="F32" s="72">
        <v>111219</v>
      </c>
      <c r="G32" s="72">
        <v>48772</v>
      </c>
      <c r="H32" s="72">
        <v>141222</v>
      </c>
      <c r="I32" s="71">
        <v>73921</v>
      </c>
      <c r="J32" s="71">
        <v>86514</v>
      </c>
      <c r="K32" s="71">
        <v>83054</v>
      </c>
      <c r="L32" s="71">
        <v>78032</v>
      </c>
      <c r="M32" s="71">
        <v>63547</v>
      </c>
      <c r="N32" s="71">
        <v>65621</v>
      </c>
      <c r="O32" s="71">
        <v>54633</v>
      </c>
      <c r="P32" s="71">
        <v>64108</v>
      </c>
      <c r="Q32" s="71">
        <v>47226</v>
      </c>
      <c r="R32" s="292" t="s">
        <v>152</v>
      </c>
    </row>
    <row r="33" spans="1:18" s="63" customFormat="1" ht="16.2" thickTop="1" x14ac:dyDescent="0.3">
      <c r="A33" s="171" t="s">
        <v>37</v>
      </c>
      <c r="B33" s="90" t="s">
        <v>152</v>
      </c>
      <c r="C33" s="73" t="s">
        <v>152</v>
      </c>
      <c r="D33" s="273">
        <f t="shared" ref="D33:I33" si="3">SUM(D21:D32)</f>
        <v>894618.15999999992</v>
      </c>
      <c r="E33" s="273">
        <f t="shared" si="3"/>
        <v>993328.02</v>
      </c>
      <c r="F33" s="273">
        <f t="shared" si="3"/>
        <v>1038464.0599999999</v>
      </c>
      <c r="G33" s="273">
        <f t="shared" si="3"/>
        <v>736255</v>
      </c>
      <c r="H33" s="273">
        <f t="shared" si="3"/>
        <v>793419</v>
      </c>
      <c r="I33" s="273">
        <f t="shared" si="3"/>
        <v>806173</v>
      </c>
      <c r="J33" s="273">
        <f t="shared" ref="J33:P33" si="4">SUM(J21:J32)</f>
        <v>972985</v>
      </c>
      <c r="K33" s="273">
        <f t="shared" si="4"/>
        <v>1129030</v>
      </c>
      <c r="L33" s="273">
        <f t="shared" si="4"/>
        <v>1065517</v>
      </c>
      <c r="M33" s="273">
        <f t="shared" si="4"/>
        <v>1013537</v>
      </c>
      <c r="N33" s="273">
        <f t="shared" si="4"/>
        <v>726490</v>
      </c>
      <c r="O33" s="273">
        <f t="shared" si="4"/>
        <v>826307</v>
      </c>
      <c r="P33" s="273">
        <f t="shared" si="4"/>
        <v>990544</v>
      </c>
      <c r="Q33" s="273">
        <f t="shared" ref="Q33:R33" si="5">SUM(Q21:Q32)</f>
        <v>804472</v>
      </c>
      <c r="R33" s="288">
        <f t="shared" si="5"/>
        <v>456046</v>
      </c>
    </row>
    <row r="34" spans="1:18" s="113" customFormat="1" ht="6.6" x14ac:dyDescent="0.3">
      <c r="A34" s="371" t="s">
        <v>174</v>
      </c>
      <c r="B34" s="371"/>
      <c r="C34" s="371"/>
      <c r="D34" s="371"/>
      <c r="E34" s="371"/>
      <c r="F34" s="371"/>
      <c r="G34" s="371"/>
      <c r="H34" s="371"/>
      <c r="I34" s="371"/>
      <c r="J34" s="371"/>
      <c r="K34" s="371"/>
      <c r="L34" s="371"/>
      <c r="M34" s="371"/>
      <c r="N34" s="371"/>
      <c r="O34" s="371"/>
      <c r="P34" s="371"/>
      <c r="Q34" s="371"/>
      <c r="R34" s="371"/>
    </row>
    <row r="35" spans="1:18" s="106" customFormat="1" ht="18" x14ac:dyDescent="0.3">
      <c r="A35" s="370" t="s">
        <v>113</v>
      </c>
      <c r="B35" s="370"/>
      <c r="C35" s="370"/>
      <c r="D35" s="370"/>
      <c r="E35" s="370"/>
      <c r="F35" s="370"/>
      <c r="G35" s="370"/>
      <c r="H35" s="370"/>
      <c r="I35" s="370"/>
      <c r="J35" s="370"/>
      <c r="K35" s="370"/>
      <c r="L35" s="370"/>
      <c r="M35" s="370"/>
      <c r="N35" s="370"/>
      <c r="O35" s="370"/>
      <c r="P35" s="370"/>
      <c r="Q35" s="370"/>
      <c r="R35" s="370"/>
    </row>
    <row r="36" spans="1:18" s="63" customFormat="1" ht="15.6" x14ac:dyDescent="0.3">
      <c r="A36" s="172" t="s">
        <v>23</v>
      </c>
      <c r="B36" s="91">
        <v>2004</v>
      </c>
      <c r="C36" s="64">
        <v>2005</v>
      </c>
      <c r="D36" s="64">
        <v>2006</v>
      </c>
      <c r="E36" s="64">
        <v>2007</v>
      </c>
      <c r="F36" s="64">
        <v>2008</v>
      </c>
      <c r="G36" s="64">
        <v>2009</v>
      </c>
      <c r="H36" s="64">
        <v>2010</v>
      </c>
      <c r="I36" s="64">
        <v>2011</v>
      </c>
      <c r="J36" s="65">
        <v>2012</v>
      </c>
      <c r="K36" s="65">
        <v>2013</v>
      </c>
      <c r="L36" s="65">
        <v>2014</v>
      </c>
      <c r="M36" s="65">
        <v>2015</v>
      </c>
      <c r="N36" s="65">
        <v>2016</v>
      </c>
      <c r="O36" s="65">
        <v>2017</v>
      </c>
      <c r="P36" s="65">
        <v>2018</v>
      </c>
      <c r="Q36" s="65">
        <v>2019</v>
      </c>
      <c r="R36" s="49">
        <v>2020</v>
      </c>
    </row>
    <row r="37" spans="1:18" s="63" customFormat="1" ht="15.6" x14ac:dyDescent="0.3">
      <c r="A37" s="76" t="s">
        <v>24</v>
      </c>
      <c r="B37" s="108" t="s">
        <v>152</v>
      </c>
      <c r="C37" s="107" t="s">
        <v>152</v>
      </c>
      <c r="D37" s="83" t="s">
        <v>152</v>
      </c>
      <c r="E37" s="83" t="s">
        <v>152</v>
      </c>
      <c r="F37" s="83" t="s">
        <v>152</v>
      </c>
      <c r="G37" s="272">
        <v>-2267</v>
      </c>
      <c r="H37" s="272">
        <v>-101</v>
      </c>
      <c r="I37" s="272">
        <v>-201</v>
      </c>
      <c r="J37" s="271">
        <v>-1286</v>
      </c>
      <c r="K37" s="271">
        <v>-56385</v>
      </c>
      <c r="L37" s="271">
        <v>-2584</v>
      </c>
      <c r="M37" s="271">
        <v>-21228</v>
      </c>
      <c r="N37" s="271">
        <v>-16346</v>
      </c>
      <c r="O37" s="271">
        <v>-3922</v>
      </c>
      <c r="P37" s="271">
        <v>-1037</v>
      </c>
      <c r="Q37" s="271">
        <v>0</v>
      </c>
      <c r="R37" s="286">
        <v>-24914</v>
      </c>
    </row>
    <row r="38" spans="1:18" s="63" customFormat="1" ht="15.6" x14ac:dyDescent="0.3">
      <c r="A38" s="75" t="s">
        <v>25</v>
      </c>
      <c r="B38" s="170" t="s">
        <v>152</v>
      </c>
      <c r="C38" s="67" t="s">
        <v>152</v>
      </c>
      <c r="D38" s="66" t="s">
        <v>152</v>
      </c>
      <c r="E38" s="66" t="s">
        <v>152</v>
      </c>
      <c r="F38" s="66" t="s">
        <v>152</v>
      </c>
      <c r="G38" s="67">
        <v>-369</v>
      </c>
      <c r="H38" s="67">
        <v>-75069</v>
      </c>
      <c r="I38" s="67">
        <v>-77542</v>
      </c>
      <c r="J38" s="66">
        <v>-22342</v>
      </c>
      <c r="K38" s="66">
        <v>-5725</v>
      </c>
      <c r="L38" s="66">
        <v>-75884</v>
      </c>
      <c r="M38" s="66">
        <v>-55610</v>
      </c>
      <c r="N38" s="66">
        <v>-322358</v>
      </c>
      <c r="O38" s="66">
        <v>-1325</v>
      </c>
      <c r="P38" s="66">
        <v>-9263</v>
      </c>
      <c r="Q38" s="66">
        <v>-14139</v>
      </c>
      <c r="R38" s="287">
        <v>-766</v>
      </c>
    </row>
    <row r="39" spans="1:18" s="63" customFormat="1" ht="15.6" x14ac:dyDescent="0.3">
      <c r="A39" s="75" t="s">
        <v>26</v>
      </c>
      <c r="B39" s="170" t="s">
        <v>152</v>
      </c>
      <c r="C39" s="67" t="s">
        <v>152</v>
      </c>
      <c r="D39" s="66" t="s">
        <v>152</v>
      </c>
      <c r="E39" s="66" t="s">
        <v>152</v>
      </c>
      <c r="F39" s="66" t="s">
        <v>152</v>
      </c>
      <c r="G39" s="67">
        <v>-105022</v>
      </c>
      <c r="H39" s="67">
        <v>-9173</v>
      </c>
      <c r="I39" s="67">
        <v>-42456</v>
      </c>
      <c r="J39" s="66">
        <v>-25721</v>
      </c>
      <c r="K39" s="66">
        <v>-230</v>
      </c>
      <c r="L39" s="66">
        <v>-8806</v>
      </c>
      <c r="M39" s="66">
        <v>-2578</v>
      </c>
      <c r="N39" s="66">
        <v>-2366</v>
      </c>
      <c r="O39" s="66">
        <v>-467</v>
      </c>
      <c r="P39" s="66">
        <v>-98197</v>
      </c>
      <c r="Q39" s="66">
        <v>-7064</v>
      </c>
      <c r="R39" s="287">
        <v>-7796</v>
      </c>
    </row>
    <row r="40" spans="1:18" s="63" customFormat="1" ht="15.6" x14ac:dyDescent="0.3">
      <c r="A40" s="75" t="s">
        <v>27</v>
      </c>
      <c r="B40" s="170" t="s">
        <v>152</v>
      </c>
      <c r="C40" s="67" t="s">
        <v>152</v>
      </c>
      <c r="D40" s="66" t="s">
        <v>152</v>
      </c>
      <c r="E40" s="66" t="s">
        <v>152</v>
      </c>
      <c r="F40" s="66" t="s">
        <v>152</v>
      </c>
      <c r="G40" s="67">
        <v>-1151</v>
      </c>
      <c r="H40" s="67">
        <v>-3060</v>
      </c>
      <c r="I40" s="67">
        <v>-504</v>
      </c>
      <c r="J40" s="66">
        <v>-3175</v>
      </c>
      <c r="K40" s="66">
        <v>-18</v>
      </c>
      <c r="L40" s="66">
        <v>-46647</v>
      </c>
      <c r="M40" s="66">
        <v>-41470</v>
      </c>
      <c r="N40" s="66">
        <v>-5032</v>
      </c>
      <c r="O40" s="66">
        <v>-255</v>
      </c>
      <c r="P40" s="66">
        <v>-650</v>
      </c>
      <c r="Q40" s="66">
        <v>-6275</v>
      </c>
      <c r="R40" s="287">
        <v>-16212</v>
      </c>
    </row>
    <row r="41" spans="1:18" s="63" customFormat="1" ht="15.6" x14ac:dyDescent="0.3">
      <c r="A41" s="75" t="s">
        <v>28</v>
      </c>
      <c r="B41" s="170" t="s">
        <v>152</v>
      </c>
      <c r="C41" s="67" t="s">
        <v>152</v>
      </c>
      <c r="D41" s="66" t="s">
        <v>152</v>
      </c>
      <c r="E41" s="66" t="s">
        <v>152</v>
      </c>
      <c r="F41" s="66" t="s">
        <v>152</v>
      </c>
      <c r="G41" s="67">
        <v>-11114</v>
      </c>
      <c r="H41" s="67">
        <v>-3131</v>
      </c>
      <c r="I41" s="67">
        <v>0</v>
      </c>
      <c r="J41" s="66">
        <v>-634</v>
      </c>
      <c r="K41" s="66">
        <v>-7317</v>
      </c>
      <c r="L41" s="66">
        <v>-4529</v>
      </c>
      <c r="M41" s="66">
        <v>-378</v>
      </c>
      <c r="N41" s="66">
        <v>-74607</v>
      </c>
      <c r="O41" s="66">
        <v>-1116</v>
      </c>
      <c r="P41" s="66">
        <v>0</v>
      </c>
      <c r="Q41" s="66">
        <v>-8770</v>
      </c>
      <c r="R41" s="287">
        <v>-4636</v>
      </c>
    </row>
    <row r="42" spans="1:18" s="63" customFormat="1" ht="15.6" x14ac:dyDescent="0.3">
      <c r="A42" s="75" t="s">
        <v>29</v>
      </c>
      <c r="B42" s="170" t="s">
        <v>152</v>
      </c>
      <c r="C42" s="67" t="s">
        <v>152</v>
      </c>
      <c r="D42" s="66" t="s">
        <v>152</v>
      </c>
      <c r="E42" s="66" t="s">
        <v>152</v>
      </c>
      <c r="F42" s="66" t="s">
        <v>152</v>
      </c>
      <c r="G42" s="67">
        <v>-5333</v>
      </c>
      <c r="H42" s="67">
        <v>-2999</v>
      </c>
      <c r="I42" s="67">
        <v>-2721</v>
      </c>
      <c r="J42" s="66">
        <v>-1078</v>
      </c>
      <c r="K42" s="66">
        <v>-5090</v>
      </c>
      <c r="L42" s="66">
        <v>-11490</v>
      </c>
      <c r="M42" s="66">
        <v>-205889</v>
      </c>
      <c r="N42" s="66">
        <v>-6348</v>
      </c>
      <c r="O42" s="66">
        <v>-3426</v>
      </c>
      <c r="P42" s="66">
        <v>-8217</v>
      </c>
      <c r="Q42" s="66">
        <v>-9076</v>
      </c>
      <c r="R42" s="287">
        <v>-6735</v>
      </c>
    </row>
    <row r="43" spans="1:18" s="63" customFormat="1" ht="15.6" x14ac:dyDescent="0.3">
      <c r="A43" s="75" t="s">
        <v>30</v>
      </c>
      <c r="B43" s="170" t="s">
        <v>152</v>
      </c>
      <c r="C43" s="67" t="s">
        <v>152</v>
      </c>
      <c r="D43" s="66" t="s">
        <v>152</v>
      </c>
      <c r="E43" s="66" t="s">
        <v>152</v>
      </c>
      <c r="F43" s="66" t="s">
        <v>152</v>
      </c>
      <c r="G43" s="67">
        <v>-10571</v>
      </c>
      <c r="H43" s="67">
        <v>-343</v>
      </c>
      <c r="I43" s="67">
        <v>-25431</v>
      </c>
      <c r="J43" s="66">
        <v>-3810</v>
      </c>
      <c r="K43" s="66">
        <v>-704</v>
      </c>
      <c r="L43" s="66">
        <v>-1344</v>
      </c>
      <c r="M43" s="66">
        <v>-916</v>
      </c>
      <c r="N43" s="66">
        <v>-39308</v>
      </c>
      <c r="O43" s="66">
        <v>-1423</v>
      </c>
      <c r="P43" s="66">
        <v>-48998</v>
      </c>
      <c r="Q43" s="66">
        <v>-7334</v>
      </c>
      <c r="R43" s="295" t="s">
        <v>152</v>
      </c>
    </row>
    <row r="44" spans="1:18" s="63" customFormat="1" ht="15.6" x14ac:dyDescent="0.3">
      <c r="A44" s="75" t="s">
        <v>31</v>
      </c>
      <c r="B44" s="170" t="s">
        <v>152</v>
      </c>
      <c r="C44" s="67" t="s">
        <v>152</v>
      </c>
      <c r="D44" s="66" t="s">
        <v>152</v>
      </c>
      <c r="E44" s="66" t="s">
        <v>152</v>
      </c>
      <c r="F44" s="66" t="s">
        <v>152</v>
      </c>
      <c r="G44" s="67">
        <v>-16232</v>
      </c>
      <c r="H44" s="67">
        <v>0</v>
      </c>
      <c r="I44" s="67">
        <v>-2919</v>
      </c>
      <c r="J44" s="66">
        <v>-34731</v>
      </c>
      <c r="K44" s="66">
        <v>-47200</v>
      </c>
      <c r="L44" s="66">
        <v>-32303</v>
      </c>
      <c r="M44" s="66">
        <v>-4798</v>
      </c>
      <c r="N44" s="66">
        <v>-721</v>
      </c>
      <c r="O44" s="66">
        <v>-23715</v>
      </c>
      <c r="P44" s="66">
        <v>-42578</v>
      </c>
      <c r="Q44" s="66">
        <v>-502</v>
      </c>
      <c r="R44" s="295" t="s">
        <v>152</v>
      </c>
    </row>
    <row r="45" spans="1:18" s="63" customFormat="1" ht="15.6" x14ac:dyDescent="0.3">
      <c r="A45" s="75" t="s">
        <v>32</v>
      </c>
      <c r="B45" s="170" t="s">
        <v>152</v>
      </c>
      <c r="C45" s="67" t="s">
        <v>152</v>
      </c>
      <c r="D45" s="66" t="s">
        <v>152</v>
      </c>
      <c r="E45" s="66" t="s">
        <v>152</v>
      </c>
      <c r="F45" s="66" t="s">
        <v>152</v>
      </c>
      <c r="G45" s="67">
        <v>-536</v>
      </c>
      <c r="H45" s="67">
        <v>0</v>
      </c>
      <c r="I45" s="67">
        <v>-1148</v>
      </c>
      <c r="J45" s="66">
        <v>-1827</v>
      </c>
      <c r="K45" s="66">
        <v>-123006</v>
      </c>
      <c r="L45" s="66">
        <v>-73727</v>
      </c>
      <c r="M45" s="66">
        <v>-599</v>
      </c>
      <c r="N45" s="66">
        <v>-28</v>
      </c>
      <c r="O45" s="66">
        <v>-399</v>
      </c>
      <c r="P45" s="66">
        <v>-1710</v>
      </c>
      <c r="Q45" s="66">
        <v>-22908</v>
      </c>
      <c r="R45" s="295" t="s">
        <v>152</v>
      </c>
    </row>
    <row r="46" spans="1:18" s="63" customFormat="1" ht="15.6" x14ac:dyDescent="0.3">
      <c r="A46" s="75" t="s">
        <v>33</v>
      </c>
      <c r="B46" s="170" t="s">
        <v>152</v>
      </c>
      <c r="C46" s="67" t="s">
        <v>152</v>
      </c>
      <c r="D46" s="66" t="s">
        <v>152</v>
      </c>
      <c r="E46" s="66" t="s">
        <v>152</v>
      </c>
      <c r="F46" s="66" t="s">
        <v>152</v>
      </c>
      <c r="G46" s="67">
        <v>-125213</v>
      </c>
      <c r="H46" s="67">
        <v>0</v>
      </c>
      <c r="I46" s="67">
        <v>-332</v>
      </c>
      <c r="J46" s="66">
        <v>-3761</v>
      </c>
      <c r="K46" s="66">
        <v>-16637</v>
      </c>
      <c r="L46" s="66">
        <v>-43562</v>
      </c>
      <c r="M46" s="66">
        <v>-15</v>
      </c>
      <c r="N46" s="66">
        <v>-11092</v>
      </c>
      <c r="O46" s="66">
        <v>-949</v>
      </c>
      <c r="P46" s="66">
        <v>-337</v>
      </c>
      <c r="Q46" s="66">
        <v>-11</v>
      </c>
      <c r="R46" s="295" t="s">
        <v>152</v>
      </c>
    </row>
    <row r="47" spans="1:18" s="63" customFormat="1" ht="15.6" x14ac:dyDescent="0.3">
      <c r="A47" s="75" t="s">
        <v>34</v>
      </c>
      <c r="B47" s="170" t="s">
        <v>152</v>
      </c>
      <c r="C47" s="67" t="s">
        <v>152</v>
      </c>
      <c r="D47" s="66" t="s">
        <v>152</v>
      </c>
      <c r="E47" s="66" t="s">
        <v>152</v>
      </c>
      <c r="F47" s="66" t="s">
        <v>152</v>
      </c>
      <c r="G47" s="67">
        <v>-19991</v>
      </c>
      <c r="H47" s="67">
        <v>-126313</v>
      </c>
      <c r="I47" s="67">
        <v>-55644</v>
      </c>
      <c r="J47" s="66">
        <v>-71796</v>
      </c>
      <c r="K47" s="66">
        <v>-2445</v>
      </c>
      <c r="L47" s="66">
        <v>-2284</v>
      </c>
      <c r="M47" s="66">
        <v>-35814</v>
      </c>
      <c r="N47" s="66">
        <v>0</v>
      </c>
      <c r="O47" s="66">
        <v>0</v>
      </c>
      <c r="P47" s="66">
        <v>-10751</v>
      </c>
      <c r="Q47" s="66">
        <v>-7</v>
      </c>
      <c r="R47" s="295" t="s">
        <v>152</v>
      </c>
    </row>
    <row r="48" spans="1:18" s="63" customFormat="1" ht="16.2" thickBot="1" x14ac:dyDescent="0.35">
      <c r="A48" s="88" t="s">
        <v>36</v>
      </c>
      <c r="B48" s="87" t="s">
        <v>152</v>
      </c>
      <c r="C48" s="72" t="s">
        <v>152</v>
      </c>
      <c r="D48" s="72" t="s">
        <v>152</v>
      </c>
      <c r="E48" s="72" t="s">
        <v>152</v>
      </c>
      <c r="F48" s="274">
        <v>-2849</v>
      </c>
      <c r="G48" s="72">
        <v>-7937</v>
      </c>
      <c r="H48" s="72">
        <v>-53222</v>
      </c>
      <c r="I48" s="71">
        <v>-57130</v>
      </c>
      <c r="J48" s="71">
        <v>-9813</v>
      </c>
      <c r="K48" s="71">
        <v>-46078</v>
      </c>
      <c r="L48" s="71">
        <v>-39913</v>
      </c>
      <c r="M48" s="71">
        <v>-6651</v>
      </c>
      <c r="N48" s="71">
        <v>-47</v>
      </c>
      <c r="O48" s="71">
        <v>-392</v>
      </c>
      <c r="P48" s="71">
        <v>-5</v>
      </c>
      <c r="Q48" s="71">
        <v>-10248</v>
      </c>
      <c r="R48" s="292" t="s">
        <v>152</v>
      </c>
    </row>
    <row r="49" spans="1:18" s="63" customFormat="1" ht="16.2" thickTop="1" x14ac:dyDescent="0.3">
      <c r="A49" s="89" t="s">
        <v>37</v>
      </c>
      <c r="B49" s="90" t="s">
        <v>152</v>
      </c>
      <c r="C49" s="73" t="s">
        <v>152</v>
      </c>
      <c r="D49" s="73" t="s">
        <v>152</v>
      </c>
      <c r="E49" s="73" t="s">
        <v>152</v>
      </c>
      <c r="F49" s="273">
        <f t="shared" ref="F49:P49" si="6">SUM(F37:F48)</f>
        <v>-2849</v>
      </c>
      <c r="G49" s="273">
        <f t="shared" si="6"/>
        <v>-305736</v>
      </c>
      <c r="H49" s="273">
        <f t="shared" si="6"/>
        <v>-273411</v>
      </c>
      <c r="I49" s="273">
        <f t="shared" si="6"/>
        <v>-266028</v>
      </c>
      <c r="J49" s="273">
        <f t="shared" si="6"/>
        <v>-179974</v>
      </c>
      <c r="K49" s="273">
        <f t="shared" si="6"/>
        <v>-310835</v>
      </c>
      <c r="L49" s="273">
        <f t="shared" si="6"/>
        <v>-343073</v>
      </c>
      <c r="M49" s="273">
        <f t="shared" si="6"/>
        <v>-375946</v>
      </c>
      <c r="N49" s="273">
        <f t="shared" si="6"/>
        <v>-478253</v>
      </c>
      <c r="O49" s="273">
        <f t="shared" si="6"/>
        <v>-37389</v>
      </c>
      <c r="P49" s="273">
        <f t="shared" si="6"/>
        <v>-221743</v>
      </c>
      <c r="Q49" s="273">
        <f t="shared" ref="Q49:R49" si="7">SUM(Q37:Q48)</f>
        <v>-86334</v>
      </c>
      <c r="R49" s="288">
        <f t="shared" si="7"/>
        <v>-61059</v>
      </c>
    </row>
    <row r="50" spans="1:18" s="113" customFormat="1" ht="6.6" x14ac:dyDescent="0.3">
      <c r="A50" s="371" t="s">
        <v>174</v>
      </c>
      <c r="B50" s="371"/>
      <c r="C50" s="371"/>
      <c r="D50" s="371"/>
      <c r="E50" s="371"/>
      <c r="F50" s="371"/>
      <c r="G50" s="371"/>
      <c r="H50" s="371"/>
      <c r="I50" s="371"/>
      <c r="J50" s="371"/>
      <c r="K50" s="371"/>
      <c r="L50" s="371"/>
      <c r="M50" s="371"/>
      <c r="N50" s="371"/>
      <c r="O50" s="371"/>
      <c r="P50" s="371"/>
      <c r="Q50" s="371"/>
      <c r="R50" s="371"/>
    </row>
    <row r="51" spans="1:18" s="111" customFormat="1" ht="13.8" x14ac:dyDescent="0.3">
      <c r="A51" s="373" t="s">
        <v>173</v>
      </c>
      <c r="B51" s="373"/>
      <c r="C51" s="373"/>
      <c r="D51" s="373"/>
      <c r="E51" s="373"/>
      <c r="F51" s="373"/>
      <c r="G51" s="373"/>
      <c r="H51" s="373"/>
      <c r="I51" s="373"/>
      <c r="J51" s="373"/>
      <c r="K51" s="373"/>
      <c r="L51" s="373"/>
      <c r="M51" s="373"/>
      <c r="N51" s="373"/>
      <c r="O51" s="373"/>
      <c r="P51" s="373"/>
      <c r="Q51" s="373"/>
      <c r="R51" s="373"/>
    </row>
    <row r="52" spans="1:18" s="111" customFormat="1" ht="13.8" x14ac:dyDescent="0.3">
      <c r="A52" s="382" t="s">
        <v>39</v>
      </c>
      <c r="B52" s="382"/>
      <c r="C52" s="382"/>
      <c r="D52" s="382"/>
      <c r="E52" s="382"/>
      <c r="F52" s="382"/>
      <c r="G52" s="382"/>
      <c r="H52" s="382"/>
      <c r="I52" s="382"/>
      <c r="J52" s="382"/>
      <c r="K52" s="382"/>
      <c r="L52" s="382"/>
      <c r="M52" s="382"/>
      <c r="N52" s="382"/>
      <c r="O52" s="382"/>
      <c r="P52" s="382"/>
      <c r="Q52" s="382"/>
      <c r="R52" s="382"/>
    </row>
    <row r="53" spans="1:18" s="111" customFormat="1" ht="13.8" x14ac:dyDescent="0.3">
      <c r="A53" s="383" t="s">
        <v>179</v>
      </c>
      <c r="B53" s="383"/>
      <c r="C53" s="383"/>
      <c r="D53" s="383"/>
      <c r="E53" s="383"/>
      <c r="F53" s="383"/>
      <c r="G53" s="383"/>
      <c r="H53" s="383"/>
      <c r="I53" s="383"/>
      <c r="J53" s="383"/>
      <c r="K53" s="383"/>
      <c r="L53" s="383"/>
      <c r="M53" s="383"/>
      <c r="N53" s="383"/>
      <c r="O53" s="383"/>
      <c r="P53" s="383"/>
      <c r="Q53" s="383"/>
      <c r="R53" s="383"/>
    </row>
    <row r="54" spans="1:18" s="111" customFormat="1" ht="13.8" x14ac:dyDescent="0.3">
      <c r="A54" s="384" t="str">
        <f>'Local SUT'!A60</f>
        <v>Source:  Minnesota Department of Revenue, Tax Research Division, February 2021</v>
      </c>
      <c r="B54" s="384"/>
      <c r="C54" s="384"/>
      <c r="D54" s="384"/>
      <c r="E54" s="384"/>
      <c r="F54" s="384"/>
      <c r="G54" s="384"/>
      <c r="H54" s="384"/>
      <c r="I54" s="384"/>
      <c r="J54" s="384"/>
      <c r="K54" s="384"/>
      <c r="L54" s="384"/>
      <c r="M54" s="384"/>
      <c r="N54" s="384"/>
      <c r="O54" s="384"/>
      <c r="P54" s="384"/>
      <c r="Q54" s="384"/>
      <c r="R54" s="384"/>
    </row>
    <row r="55" spans="1:18" s="111" customFormat="1" ht="14.4" customHeight="1" x14ac:dyDescent="0.3">
      <c r="A55" s="379" t="s">
        <v>151</v>
      </c>
      <c r="B55" s="379"/>
      <c r="C55" s="379"/>
      <c r="D55" s="379"/>
      <c r="E55" s="379"/>
      <c r="F55" s="379"/>
      <c r="G55" s="379"/>
      <c r="H55" s="379"/>
      <c r="I55" s="379"/>
      <c r="J55" s="379"/>
      <c r="K55" s="379"/>
      <c r="L55" s="379"/>
      <c r="M55" s="379"/>
      <c r="N55" s="379"/>
      <c r="O55" s="379"/>
      <c r="P55" s="379"/>
      <c r="Q55" s="379"/>
      <c r="R55" s="379"/>
    </row>
  </sheetData>
  <mergeCells count="13">
    <mergeCell ref="A55:R55"/>
    <mergeCell ref="A1:R1"/>
    <mergeCell ref="A2:R2"/>
    <mergeCell ref="A3:R3"/>
    <mergeCell ref="A18:R18"/>
    <mergeCell ref="A19:R19"/>
    <mergeCell ref="A34:R34"/>
    <mergeCell ref="A35:R35"/>
    <mergeCell ref="A50:R50"/>
    <mergeCell ref="A51:R51"/>
    <mergeCell ref="A52:R52"/>
    <mergeCell ref="A53:R53"/>
    <mergeCell ref="A54:R54"/>
  </mergeCells>
  <pageMargins left="0" right="0" top="0.75" bottom="0.75" header="0.3" footer="0.3"/>
  <pageSetup scale="67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5">
    <pageSetUpPr fitToPage="1"/>
  </sheetPr>
  <dimension ref="A1:U54"/>
  <sheetViews>
    <sheetView showGridLines="0" workbookViewId="0">
      <pane ySplit="1" topLeftCell="A2" activePane="bottomLeft" state="frozen"/>
      <selection pane="bottomLeft" sqref="A1:U1"/>
    </sheetView>
  </sheetViews>
  <sheetFormatPr defaultColWidth="12.5546875" defaultRowHeight="14.4" x14ac:dyDescent="0.3"/>
  <cols>
    <col min="1" max="1" width="12.5546875" style="114"/>
    <col min="2" max="15" width="13.5546875" style="74" hidden="1" customWidth="1"/>
    <col min="16" max="17" width="13.5546875" style="74" customWidth="1"/>
    <col min="18" max="18" width="13.5546875" style="145" customWidth="1"/>
    <col min="19" max="16384" width="12.5546875" style="74"/>
  </cols>
  <sheetData>
    <row r="1" spans="1:21" s="112" customFormat="1" ht="21" x14ac:dyDescent="0.3">
      <c r="A1" s="380" t="s">
        <v>196</v>
      </c>
      <c r="B1" s="380"/>
      <c r="C1" s="380"/>
      <c r="D1" s="380"/>
      <c r="E1" s="380"/>
      <c r="F1" s="380"/>
      <c r="G1" s="380"/>
      <c r="H1" s="380"/>
      <c r="I1" s="380"/>
      <c r="J1" s="380"/>
      <c r="K1" s="380"/>
      <c r="L1" s="380"/>
      <c r="M1" s="380"/>
      <c r="N1" s="380"/>
      <c r="O1" s="380"/>
      <c r="P1" s="380"/>
      <c r="Q1" s="380"/>
      <c r="R1" s="380"/>
      <c r="S1" s="380"/>
      <c r="T1" s="380"/>
      <c r="U1" s="380"/>
    </row>
    <row r="2" spans="1:21" s="106" customFormat="1" ht="18" x14ac:dyDescent="0.3">
      <c r="A2" s="381" t="str">
        <f>'Local SUT'!A2</f>
        <v>CY 2004-2020</v>
      </c>
      <c r="B2" s="381"/>
      <c r="C2" s="381"/>
      <c r="D2" s="381"/>
      <c r="E2" s="381"/>
      <c r="F2" s="381"/>
      <c r="G2" s="381"/>
      <c r="H2" s="381"/>
      <c r="I2" s="381"/>
      <c r="J2" s="381"/>
      <c r="K2" s="381"/>
      <c r="L2" s="381"/>
      <c r="M2" s="381"/>
      <c r="N2" s="381"/>
      <c r="O2" s="381"/>
      <c r="P2" s="381"/>
      <c r="Q2" s="381"/>
      <c r="R2" s="381"/>
    </row>
    <row r="3" spans="1:21" s="106" customFormat="1" ht="18" x14ac:dyDescent="0.3">
      <c r="A3" s="385" t="s">
        <v>164</v>
      </c>
      <c r="B3" s="385"/>
      <c r="C3" s="385"/>
      <c r="D3" s="385"/>
      <c r="E3" s="385"/>
      <c r="F3" s="385"/>
      <c r="G3" s="385"/>
      <c r="H3" s="385"/>
      <c r="I3" s="385"/>
      <c r="J3" s="385"/>
      <c r="K3" s="385"/>
      <c r="L3" s="385"/>
      <c r="M3" s="385"/>
      <c r="N3" s="385"/>
      <c r="O3" s="385"/>
      <c r="P3" s="385"/>
      <c r="Q3" s="385"/>
      <c r="R3" s="385"/>
      <c r="S3" s="109"/>
    </row>
    <row r="4" spans="1:21" ht="15.6" x14ac:dyDescent="0.3">
      <c r="A4" s="77" t="s">
        <v>23</v>
      </c>
      <c r="B4" s="91">
        <v>2004</v>
      </c>
      <c r="C4" s="64">
        <v>2005</v>
      </c>
      <c r="D4" s="64">
        <v>2006</v>
      </c>
      <c r="E4" s="64">
        <v>2007</v>
      </c>
      <c r="F4" s="64">
        <v>2008</v>
      </c>
      <c r="G4" s="64">
        <v>2009</v>
      </c>
      <c r="H4" s="64">
        <v>2010</v>
      </c>
      <c r="I4" s="64">
        <v>2011</v>
      </c>
      <c r="J4" s="65">
        <v>2012</v>
      </c>
      <c r="K4" s="65">
        <v>2013</v>
      </c>
      <c r="L4" s="65">
        <v>2014</v>
      </c>
      <c r="M4" s="65">
        <v>2015</v>
      </c>
      <c r="N4" s="65">
        <v>2016</v>
      </c>
      <c r="O4" s="65">
        <v>2017</v>
      </c>
      <c r="P4" s="65">
        <v>2018</v>
      </c>
      <c r="Q4" s="65">
        <v>2019</v>
      </c>
      <c r="R4" s="49">
        <v>2020</v>
      </c>
    </row>
    <row r="5" spans="1:21" ht="15.6" x14ac:dyDescent="0.3">
      <c r="A5" s="76" t="s">
        <v>24</v>
      </c>
      <c r="B5" s="108" t="s">
        <v>152</v>
      </c>
      <c r="C5" s="107" t="s">
        <v>152</v>
      </c>
      <c r="D5" s="83" t="s">
        <v>152</v>
      </c>
      <c r="E5" s="83" t="s">
        <v>152</v>
      </c>
      <c r="F5" s="107" t="s">
        <v>152</v>
      </c>
      <c r="G5" s="107" t="s">
        <v>152</v>
      </c>
      <c r="H5" s="83" t="s">
        <v>152</v>
      </c>
      <c r="I5" s="83" t="s">
        <v>152</v>
      </c>
      <c r="J5" s="83" t="s">
        <v>152</v>
      </c>
      <c r="K5" s="83" t="s">
        <v>152</v>
      </c>
      <c r="L5" s="83" t="s">
        <v>152</v>
      </c>
      <c r="M5" s="83" t="s">
        <v>152</v>
      </c>
      <c r="N5" s="83" t="s">
        <v>152</v>
      </c>
      <c r="O5" s="83" t="s">
        <v>152</v>
      </c>
      <c r="P5" s="271">
        <v>0</v>
      </c>
      <c r="Q5" s="271">
        <v>90463</v>
      </c>
      <c r="R5" s="286">
        <v>92830</v>
      </c>
    </row>
    <row r="6" spans="1:21" ht="15.6" x14ac:dyDescent="0.3">
      <c r="A6" s="75" t="s">
        <v>25</v>
      </c>
      <c r="B6" s="170" t="s">
        <v>152</v>
      </c>
      <c r="C6" s="67" t="s">
        <v>152</v>
      </c>
      <c r="D6" s="66" t="s">
        <v>152</v>
      </c>
      <c r="E6" s="66" t="s">
        <v>152</v>
      </c>
      <c r="F6" s="66" t="s">
        <v>152</v>
      </c>
      <c r="G6" s="67" t="s">
        <v>152</v>
      </c>
      <c r="H6" s="66" t="s">
        <v>152</v>
      </c>
      <c r="I6" s="66" t="s">
        <v>152</v>
      </c>
      <c r="J6" s="68" t="s">
        <v>152</v>
      </c>
      <c r="K6" s="66" t="s">
        <v>152</v>
      </c>
      <c r="L6" s="66" t="s">
        <v>152</v>
      </c>
      <c r="M6" s="66" t="s">
        <v>152</v>
      </c>
      <c r="N6" s="66" t="s">
        <v>152</v>
      </c>
      <c r="O6" s="66" t="s">
        <v>152</v>
      </c>
      <c r="P6" s="66">
        <v>60783</v>
      </c>
      <c r="Q6" s="66">
        <v>64854</v>
      </c>
      <c r="R6" s="287">
        <v>70911</v>
      </c>
    </row>
    <row r="7" spans="1:21" ht="15.6" x14ac:dyDescent="0.3">
      <c r="A7" s="75" t="s">
        <v>26</v>
      </c>
      <c r="B7" s="170" t="s">
        <v>152</v>
      </c>
      <c r="C7" s="67" t="s">
        <v>152</v>
      </c>
      <c r="D7" s="66" t="s">
        <v>152</v>
      </c>
      <c r="E7" s="66" t="s">
        <v>152</v>
      </c>
      <c r="F7" s="66" t="s">
        <v>152</v>
      </c>
      <c r="G7" s="67" t="s">
        <v>152</v>
      </c>
      <c r="H7" s="66" t="s">
        <v>152</v>
      </c>
      <c r="I7" s="66" t="s">
        <v>152</v>
      </c>
      <c r="J7" s="66" t="s">
        <v>152</v>
      </c>
      <c r="K7" s="66" t="s">
        <v>152</v>
      </c>
      <c r="L7" s="66" t="s">
        <v>152</v>
      </c>
      <c r="M7" s="66" t="s">
        <v>152</v>
      </c>
      <c r="N7" s="66" t="s">
        <v>152</v>
      </c>
      <c r="O7" s="66" t="s">
        <v>152</v>
      </c>
      <c r="P7" s="66">
        <v>60576</v>
      </c>
      <c r="Q7" s="66">
        <v>63527</v>
      </c>
      <c r="R7" s="287">
        <v>68901</v>
      </c>
    </row>
    <row r="8" spans="1:21" ht="15.6" x14ac:dyDescent="0.3">
      <c r="A8" s="75" t="s">
        <v>27</v>
      </c>
      <c r="B8" s="170" t="s">
        <v>152</v>
      </c>
      <c r="C8" s="67" t="s">
        <v>152</v>
      </c>
      <c r="D8" s="66" t="s">
        <v>152</v>
      </c>
      <c r="E8" s="66" t="s">
        <v>152</v>
      </c>
      <c r="F8" s="66" t="s">
        <v>152</v>
      </c>
      <c r="G8" s="67" t="s">
        <v>152</v>
      </c>
      <c r="H8" s="66" t="s">
        <v>152</v>
      </c>
      <c r="I8" s="66" t="s">
        <v>152</v>
      </c>
      <c r="J8" s="66" t="s">
        <v>152</v>
      </c>
      <c r="K8" s="66" t="s">
        <v>152</v>
      </c>
      <c r="L8" s="66" t="s">
        <v>152</v>
      </c>
      <c r="M8" s="66" t="s">
        <v>152</v>
      </c>
      <c r="N8" s="66" t="s">
        <v>152</v>
      </c>
      <c r="O8" s="66" t="s">
        <v>152</v>
      </c>
      <c r="P8" s="66">
        <v>70090</v>
      </c>
      <c r="Q8" s="66">
        <v>78589</v>
      </c>
      <c r="R8" s="287">
        <v>83153</v>
      </c>
    </row>
    <row r="9" spans="1:21" ht="15.6" x14ac:dyDescent="0.3">
      <c r="A9" s="75" t="s">
        <v>28</v>
      </c>
      <c r="B9" s="170" t="s">
        <v>152</v>
      </c>
      <c r="C9" s="67" t="s">
        <v>152</v>
      </c>
      <c r="D9" s="66" t="s">
        <v>152</v>
      </c>
      <c r="E9" s="66" t="s">
        <v>152</v>
      </c>
      <c r="F9" s="66" t="s">
        <v>152</v>
      </c>
      <c r="G9" s="67" t="s">
        <v>152</v>
      </c>
      <c r="H9" s="66" t="s">
        <v>152</v>
      </c>
      <c r="I9" s="66" t="s">
        <v>152</v>
      </c>
      <c r="J9" s="66" t="s">
        <v>152</v>
      </c>
      <c r="K9" s="66" t="s">
        <v>152</v>
      </c>
      <c r="L9" s="66" t="s">
        <v>152</v>
      </c>
      <c r="M9" s="66" t="s">
        <v>152</v>
      </c>
      <c r="N9" s="66" t="s">
        <v>152</v>
      </c>
      <c r="O9" s="66" t="s">
        <v>152</v>
      </c>
      <c r="P9" s="66">
        <v>69411</v>
      </c>
      <c r="Q9" s="66">
        <v>70475</v>
      </c>
      <c r="R9" s="287">
        <v>62736</v>
      </c>
    </row>
    <row r="10" spans="1:21" ht="15.6" x14ac:dyDescent="0.3">
      <c r="A10" s="75" t="s">
        <v>29</v>
      </c>
      <c r="B10" s="170" t="s">
        <v>152</v>
      </c>
      <c r="C10" s="67" t="s">
        <v>152</v>
      </c>
      <c r="D10" s="66" t="s">
        <v>152</v>
      </c>
      <c r="E10" s="66" t="s">
        <v>152</v>
      </c>
      <c r="F10" s="66" t="s">
        <v>152</v>
      </c>
      <c r="G10" s="67" t="s">
        <v>152</v>
      </c>
      <c r="H10" s="66" t="s">
        <v>152</v>
      </c>
      <c r="I10" s="66" t="s">
        <v>152</v>
      </c>
      <c r="J10" s="66" t="s">
        <v>152</v>
      </c>
      <c r="K10" s="66" t="s">
        <v>152</v>
      </c>
      <c r="L10" s="66" t="s">
        <v>152</v>
      </c>
      <c r="M10" s="66" t="s">
        <v>152</v>
      </c>
      <c r="N10" s="66" t="s">
        <v>152</v>
      </c>
      <c r="O10" s="66" t="s">
        <v>152</v>
      </c>
      <c r="P10" s="66">
        <v>74749</v>
      </c>
      <c r="Q10" s="66">
        <v>77978</v>
      </c>
      <c r="R10" s="287">
        <v>74124</v>
      </c>
    </row>
    <row r="11" spans="1:21" ht="15.6" x14ac:dyDescent="0.3">
      <c r="A11" s="75" t="s">
        <v>30</v>
      </c>
      <c r="B11" s="170" t="s">
        <v>152</v>
      </c>
      <c r="C11" s="67" t="s">
        <v>152</v>
      </c>
      <c r="D11" s="66" t="s">
        <v>152</v>
      </c>
      <c r="E11" s="66" t="s">
        <v>152</v>
      </c>
      <c r="F11" s="66" t="s">
        <v>152</v>
      </c>
      <c r="G11" s="67" t="s">
        <v>152</v>
      </c>
      <c r="H11" s="66" t="s">
        <v>152</v>
      </c>
      <c r="I11" s="66" t="s">
        <v>152</v>
      </c>
      <c r="J11" s="66" t="s">
        <v>152</v>
      </c>
      <c r="K11" s="66" t="s">
        <v>152</v>
      </c>
      <c r="L11" s="66" t="s">
        <v>152</v>
      </c>
      <c r="M11" s="66" t="s">
        <v>152</v>
      </c>
      <c r="N11" s="66" t="s">
        <v>152</v>
      </c>
      <c r="O11" s="66" t="s">
        <v>152</v>
      </c>
      <c r="P11" s="66">
        <v>72066</v>
      </c>
      <c r="Q11" s="66">
        <v>81537</v>
      </c>
      <c r="R11" s="291" t="s">
        <v>152</v>
      </c>
    </row>
    <row r="12" spans="1:21" ht="15.6" x14ac:dyDescent="0.3">
      <c r="A12" s="75" t="s">
        <v>31</v>
      </c>
      <c r="B12" s="170" t="s">
        <v>152</v>
      </c>
      <c r="C12" s="67" t="s">
        <v>152</v>
      </c>
      <c r="D12" s="66" t="s">
        <v>152</v>
      </c>
      <c r="E12" s="66" t="s">
        <v>152</v>
      </c>
      <c r="F12" s="66" t="s">
        <v>152</v>
      </c>
      <c r="G12" s="67" t="s">
        <v>152</v>
      </c>
      <c r="H12" s="66" t="s">
        <v>152</v>
      </c>
      <c r="I12" s="66" t="s">
        <v>152</v>
      </c>
      <c r="J12" s="66" t="s">
        <v>152</v>
      </c>
      <c r="K12" s="66" t="s">
        <v>152</v>
      </c>
      <c r="L12" s="66" t="s">
        <v>152</v>
      </c>
      <c r="M12" s="66" t="s">
        <v>152</v>
      </c>
      <c r="N12" s="66" t="s">
        <v>152</v>
      </c>
      <c r="O12" s="66" t="s">
        <v>152</v>
      </c>
      <c r="P12" s="66">
        <v>84208</v>
      </c>
      <c r="Q12" s="66">
        <v>97577</v>
      </c>
      <c r="R12" s="295" t="s">
        <v>152</v>
      </c>
    </row>
    <row r="13" spans="1:21" ht="15.6" x14ac:dyDescent="0.3">
      <c r="A13" s="75" t="s">
        <v>32</v>
      </c>
      <c r="B13" s="170" t="s">
        <v>152</v>
      </c>
      <c r="C13" s="67" t="s">
        <v>152</v>
      </c>
      <c r="D13" s="66" t="s">
        <v>152</v>
      </c>
      <c r="E13" s="66" t="s">
        <v>152</v>
      </c>
      <c r="F13" s="66" t="s">
        <v>152</v>
      </c>
      <c r="G13" s="67" t="s">
        <v>152</v>
      </c>
      <c r="H13" s="66" t="s">
        <v>152</v>
      </c>
      <c r="I13" s="66" t="s">
        <v>152</v>
      </c>
      <c r="J13" s="66" t="s">
        <v>152</v>
      </c>
      <c r="K13" s="66" t="s">
        <v>152</v>
      </c>
      <c r="L13" s="66" t="s">
        <v>152</v>
      </c>
      <c r="M13" s="66" t="s">
        <v>152</v>
      </c>
      <c r="N13" s="66" t="s">
        <v>152</v>
      </c>
      <c r="O13" s="66" t="s">
        <v>152</v>
      </c>
      <c r="P13" s="66">
        <v>81142</v>
      </c>
      <c r="Q13" s="66">
        <v>76324</v>
      </c>
      <c r="R13" s="295" t="s">
        <v>152</v>
      </c>
    </row>
    <row r="14" spans="1:21" ht="15.6" x14ac:dyDescent="0.3">
      <c r="A14" s="75" t="s">
        <v>33</v>
      </c>
      <c r="B14" s="170" t="s">
        <v>152</v>
      </c>
      <c r="C14" s="67" t="s">
        <v>152</v>
      </c>
      <c r="D14" s="66" t="s">
        <v>152</v>
      </c>
      <c r="E14" s="66" t="s">
        <v>152</v>
      </c>
      <c r="F14" s="66" t="s">
        <v>152</v>
      </c>
      <c r="G14" s="67" t="s">
        <v>152</v>
      </c>
      <c r="H14" s="66" t="s">
        <v>152</v>
      </c>
      <c r="I14" s="66" t="s">
        <v>152</v>
      </c>
      <c r="J14" s="66" t="s">
        <v>152</v>
      </c>
      <c r="K14" s="66" t="s">
        <v>152</v>
      </c>
      <c r="L14" s="66" t="s">
        <v>152</v>
      </c>
      <c r="M14" s="66" t="s">
        <v>152</v>
      </c>
      <c r="N14" s="66" t="s">
        <v>152</v>
      </c>
      <c r="O14" s="66" t="s">
        <v>152</v>
      </c>
      <c r="P14" s="66">
        <v>79124</v>
      </c>
      <c r="Q14" s="66">
        <v>84868</v>
      </c>
      <c r="R14" s="295" t="s">
        <v>152</v>
      </c>
    </row>
    <row r="15" spans="1:21" ht="15.6" x14ac:dyDescent="0.3">
      <c r="A15" s="75" t="s">
        <v>34</v>
      </c>
      <c r="B15" s="170" t="s">
        <v>152</v>
      </c>
      <c r="C15" s="67" t="s">
        <v>152</v>
      </c>
      <c r="D15" s="66" t="s">
        <v>152</v>
      </c>
      <c r="E15" s="66" t="s">
        <v>152</v>
      </c>
      <c r="F15" s="66" t="s">
        <v>152</v>
      </c>
      <c r="G15" s="67" t="s">
        <v>152</v>
      </c>
      <c r="H15" s="66" t="s">
        <v>152</v>
      </c>
      <c r="I15" s="66" t="s">
        <v>152</v>
      </c>
      <c r="J15" s="66" t="s">
        <v>152</v>
      </c>
      <c r="K15" s="66" t="s">
        <v>152</v>
      </c>
      <c r="L15" s="66" t="s">
        <v>152</v>
      </c>
      <c r="M15" s="66" t="s">
        <v>152</v>
      </c>
      <c r="N15" s="66" t="s">
        <v>152</v>
      </c>
      <c r="O15" s="68" t="s">
        <v>152</v>
      </c>
      <c r="P15" s="66">
        <v>75616</v>
      </c>
      <c r="Q15" s="66">
        <v>73795</v>
      </c>
      <c r="R15" s="295" t="s">
        <v>152</v>
      </c>
    </row>
    <row r="16" spans="1:21" ht="16.2" thickBot="1" x14ac:dyDescent="0.35">
      <c r="A16" s="88" t="s">
        <v>36</v>
      </c>
      <c r="B16" s="87" t="s">
        <v>152</v>
      </c>
      <c r="C16" s="72" t="s">
        <v>152</v>
      </c>
      <c r="D16" s="72" t="s">
        <v>152</v>
      </c>
      <c r="E16" s="72" t="s">
        <v>152</v>
      </c>
      <c r="F16" s="72" t="s">
        <v>152</v>
      </c>
      <c r="G16" s="72" t="s">
        <v>152</v>
      </c>
      <c r="H16" s="71" t="s">
        <v>152</v>
      </c>
      <c r="I16" s="71" t="s">
        <v>152</v>
      </c>
      <c r="J16" s="71" t="s">
        <v>152</v>
      </c>
      <c r="K16" s="71" t="s">
        <v>152</v>
      </c>
      <c r="L16" s="71" t="s">
        <v>152</v>
      </c>
      <c r="M16" s="71" t="s">
        <v>152</v>
      </c>
      <c r="N16" s="71" t="s">
        <v>152</v>
      </c>
      <c r="O16" s="71" t="s">
        <v>152</v>
      </c>
      <c r="P16" s="71">
        <v>75699</v>
      </c>
      <c r="Q16" s="71">
        <v>78988</v>
      </c>
      <c r="R16" s="292" t="s">
        <v>152</v>
      </c>
    </row>
    <row r="17" spans="1:19" ht="16.2" thickTop="1" x14ac:dyDescent="0.3">
      <c r="A17" s="89" t="s">
        <v>37</v>
      </c>
      <c r="B17" s="90" t="s">
        <v>152</v>
      </c>
      <c r="C17" s="73" t="s">
        <v>152</v>
      </c>
      <c r="D17" s="73" t="s">
        <v>152</v>
      </c>
      <c r="E17" s="73" t="s">
        <v>152</v>
      </c>
      <c r="F17" s="73" t="s">
        <v>152</v>
      </c>
      <c r="G17" s="73" t="s">
        <v>152</v>
      </c>
      <c r="H17" s="73" t="s">
        <v>152</v>
      </c>
      <c r="I17" s="73" t="s">
        <v>152</v>
      </c>
      <c r="J17" s="73" t="s">
        <v>152</v>
      </c>
      <c r="K17" s="73" t="s">
        <v>152</v>
      </c>
      <c r="L17" s="73" t="s">
        <v>152</v>
      </c>
      <c r="M17" s="73" t="s">
        <v>152</v>
      </c>
      <c r="N17" s="73" t="s">
        <v>152</v>
      </c>
      <c r="O17" s="73" t="s">
        <v>152</v>
      </c>
      <c r="P17" s="273">
        <f t="shared" ref="P17:R17" si="0">SUM(P5:P16)</f>
        <v>803464</v>
      </c>
      <c r="Q17" s="273">
        <f t="shared" si="0"/>
        <v>938975</v>
      </c>
      <c r="R17" s="288">
        <f t="shared" si="0"/>
        <v>452655</v>
      </c>
    </row>
    <row r="18" spans="1:19" s="113" customFormat="1" ht="6.6" x14ac:dyDescent="0.3">
      <c r="A18" s="371" t="s">
        <v>174</v>
      </c>
      <c r="B18" s="371"/>
      <c r="C18" s="371"/>
      <c r="D18" s="371"/>
      <c r="E18" s="371"/>
      <c r="F18" s="371"/>
      <c r="G18" s="371"/>
      <c r="H18" s="371"/>
      <c r="I18" s="371"/>
      <c r="J18" s="371"/>
      <c r="K18" s="371"/>
      <c r="L18" s="371"/>
      <c r="M18" s="371"/>
      <c r="N18" s="371"/>
      <c r="O18" s="371"/>
      <c r="P18" s="371"/>
      <c r="Q18" s="371"/>
      <c r="R18" s="371"/>
    </row>
    <row r="19" spans="1:19" s="106" customFormat="1" ht="18" x14ac:dyDescent="0.3">
      <c r="A19" s="385" t="s">
        <v>163</v>
      </c>
      <c r="B19" s="385"/>
      <c r="C19" s="385"/>
      <c r="D19" s="385"/>
      <c r="E19" s="385"/>
      <c r="F19" s="385"/>
      <c r="G19" s="385"/>
      <c r="H19" s="385"/>
      <c r="I19" s="385"/>
      <c r="J19" s="385"/>
      <c r="K19" s="385"/>
      <c r="L19" s="385"/>
      <c r="M19" s="385"/>
      <c r="N19" s="385"/>
      <c r="O19" s="385"/>
      <c r="P19" s="385"/>
      <c r="Q19" s="385"/>
      <c r="R19" s="385"/>
      <c r="S19" s="109"/>
    </row>
    <row r="20" spans="1:19" s="63" customFormat="1" ht="15.6" x14ac:dyDescent="0.3">
      <c r="A20" s="77" t="s">
        <v>23</v>
      </c>
      <c r="B20" s="91">
        <v>2004</v>
      </c>
      <c r="C20" s="64">
        <v>2005</v>
      </c>
      <c r="D20" s="64">
        <v>2006</v>
      </c>
      <c r="E20" s="64">
        <v>2007</v>
      </c>
      <c r="F20" s="64">
        <v>2008</v>
      </c>
      <c r="G20" s="64">
        <v>2009</v>
      </c>
      <c r="H20" s="64">
        <v>2010</v>
      </c>
      <c r="I20" s="64">
        <v>2011</v>
      </c>
      <c r="J20" s="65">
        <v>2012</v>
      </c>
      <c r="K20" s="65">
        <v>2013</v>
      </c>
      <c r="L20" s="65">
        <v>2014</v>
      </c>
      <c r="M20" s="65">
        <v>2015</v>
      </c>
      <c r="N20" s="65">
        <v>2016</v>
      </c>
      <c r="O20" s="65">
        <v>2017</v>
      </c>
      <c r="P20" s="65">
        <v>2018</v>
      </c>
      <c r="Q20" s="65">
        <v>2019</v>
      </c>
      <c r="R20" s="49">
        <v>2020</v>
      </c>
    </row>
    <row r="21" spans="1:19" s="63" customFormat="1" ht="15.6" x14ac:dyDescent="0.3">
      <c r="A21" s="76" t="s">
        <v>24</v>
      </c>
      <c r="B21" s="108" t="s">
        <v>152</v>
      </c>
      <c r="C21" s="107" t="s">
        <v>152</v>
      </c>
      <c r="D21" s="83" t="s">
        <v>152</v>
      </c>
      <c r="E21" s="83" t="s">
        <v>152</v>
      </c>
      <c r="F21" s="83" t="s">
        <v>152</v>
      </c>
      <c r="G21" s="107" t="s">
        <v>152</v>
      </c>
      <c r="H21" s="83" t="s">
        <v>152</v>
      </c>
      <c r="I21" s="83" t="s">
        <v>152</v>
      </c>
      <c r="J21" s="83" t="s">
        <v>152</v>
      </c>
      <c r="K21" s="83" t="s">
        <v>152</v>
      </c>
      <c r="L21" s="83" t="s">
        <v>152</v>
      </c>
      <c r="M21" s="83" t="s">
        <v>152</v>
      </c>
      <c r="N21" s="83" t="s">
        <v>152</v>
      </c>
      <c r="O21" s="83" t="s">
        <v>152</v>
      </c>
      <c r="P21" s="271">
        <v>0</v>
      </c>
      <c r="Q21" s="271">
        <v>2732</v>
      </c>
      <c r="R21" s="286">
        <v>7373</v>
      </c>
    </row>
    <row r="22" spans="1:19" s="63" customFormat="1" ht="15.6" x14ac:dyDescent="0.3">
      <c r="A22" s="75" t="s">
        <v>25</v>
      </c>
      <c r="B22" s="170" t="s">
        <v>152</v>
      </c>
      <c r="C22" s="67" t="s">
        <v>152</v>
      </c>
      <c r="D22" s="66" t="s">
        <v>152</v>
      </c>
      <c r="E22" s="66" t="s">
        <v>152</v>
      </c>
      <c r="F22" s="66" t="s">
        <v>152</v>
      </c>
      <c r="G22" s="67" t="s">
        <v>152</v>
      </c>
      <c r="H22" s="66" t="s">
        <v>152</v>
      </c>
      <c r="I22" s="66" t="s">
        <v>152</v>
      </c>
      <c r="J22" s="68" t="s">
        <v>152</v>
      </c>
      <c r="K22" s="66" t="s">
        <v>152</v>
      </c>
      <c r="L22" s="66" t="s">
        <v>152</v>
      </c>
      <c r="M22" s="66" t="s">
        <v>152</v>
      </c>
      <c r="N22" s="66" t="s">
        <v>152</v>
      </c>
      <c r="O22" s="66" t="s">
        <v>152</v>
      </c>
      <c r="P22" s="66">
        <v>984</v>
      </c>
      <c r="Q22" s="66">
        <v>1818</v>
      </c>
      <c r="R22" s="287">
        <v>2616</v>
      </c>
    </row>
    <row r="23" spans="1:19" s="63" customFormat="1" ht="15.6" x14ac:dyDescent="0.3">
      <c r="A23" s="75" t="s">
        <v>26</v>
      </c>
      <c r="B23" s="170" t="s">
        <v>152</v>
      </c>
      <c r="C23" s="67" t="s">
        <v>152</v>
      </c>
      <c r="D23" s="66" t="s">
        <v>152</v>
      </c>
      <c r="E23" s="66" t="s">
        <v>152</v>
      </c>
      <c r="F23" s="66" t="s">
        <v>152</v>
      </c>
      <c r="G23" s="67" t="s">
        <v>152</v>
      </c>
      <c r="H23" s="66" t="s">
        <v>152</v>
      </c>
      <c r="I23" s="66" t="s">
        <v>152</v>
      </c>
      <c r="J23" s="66" t="s">
        <v>152</v>
      </c>
      <c r="K23" s="66" t="s">
        <v>152</v>
      </c>
      <c r="L23" s="66" t="s">
        <v>152</v>
      </c>
      <c r="M23" s="66" t="s">
        <v>152</v>
      </c>
      <c r="N23" s="66" t="s">
        <v>152</v>
      </c>
      <c r="O23" s="66" t="s">
        <v>152</v>
      </c>
      <c r="P23" s="66">
        <v>1399</v>
      </c>
      <c r="Q23" s="66">
        <v>7758</v>
      </c>
      <c r="R23" s="287">
        <v>2753</v>
      </c>
    </row>
    <row r="24" spans="1:19" s="63" customFormat="1" ht="15.6" x14ac:dyDescent="0.3">
      <c r="A24" s="75" t="s">
        <v>27</v>
      </c>
      <c r="B24" s="170" t="s">
        <v>152</v>
      </c>
      <c r="C24" s="67" t="s">
        <v>152</v>
      </c>
      <c r="D24" s="66" t="s">
        <v>152</v>
      </c>
      <c r="E24" s="66" t="s">
        <v>152</v>
      </c>
      <c r="F24" s="66" t="s">
        <v>152</v>
      </c>
      <c r="G24" s="67" t="s">
        <v>152</v>
      </c>
      <c r="H24" s="66" t="s">
        <v>152</v>
      </c>
      <c r="I24" s="66" t="s">
        <v>152</v>
      </c>
      <c r="J24" s="66" t="s">
        <v>152</v>
      </c>
      <c r="K24" s="66" t="s">
        <v>152</v>
      </c>
      <c r="L24" s="66" t="s">
        <v>152</v>
      </c>
      <c r="M24" s="66" t="s">
        <v>152</v>
      </c>
      <c r="N24" s="66" t="s">
        <v>152</v>
      </c>
      <c r="O24" s="66" t="s">
        <v>152</v>
      </c>
      <c r="P24" s="66">
        <v>1985</v>
      </c>
      <c r="Q24" s="66">
        <v>2531</v>
      </c>
      <c r="R24" s="287">
        <v>9156</v>
      </c>
    </row>
    <row r="25" spans="1:19" s="63" customFormat="1" ht="15.6" x14ac:dyDescent="0.3">
      <c r="A25" s="75" t="s">
        <v>28</v>
      </c>
      <c r="B25" s="170" t="s">
        <v>152</v>
      </c>
      <c r="C25" s="67" t="s">
        <v>152</v>
      </c>
      <c r="D25" s="66" t="s">
        <v>152</v>
      </c>
      <c r="E25" s="66" t="s">
        <v>152</v>
      </c>
      <c r="F25" s="66" t="s">
        <v>152</v>
      </c>
      <c r="G25" s="67" t="s">
        <v>152</v>
      </c>
      <c r="H25" s="66" t="s">
        <v>152</v>
      </c>
      <c r="I25" s="66" t="s">
        <v>152</v>
      </c>
      <c r="J25" s="66" t="s">
        <v>152</v>
      </c>
      <c r="K25" s="66" t="s">
        <v>152</v>
      </c>
      <c r="L25" s="66" t="s">
        <v>152</v>
      </c>
      <c r="M25" s="66" t="s">
        <v>152</v>
      </c>
      <c r="N25" s="66" t="s">
        <v>152</v>
      </c>
      <c r="O25" s="66" t="s">
        <v>152</v>
      </c>
      <c r="P25" s="66">
        <v>3931</v>
      </c>
      <c r="Q25" s="66">
        <v>6158</v>
      </c>
      <c r="R25" s="287">
        <v>-840</v>
      </c>
    </row>
    <row r="26" spans="1:19" s="63" customFormat="1" ht="15.6" x14ac:dyDescent="0.3">
      <c r="A26" s="75" t="s">
        <v>29</v>
      </c>
      <c r="B26" s="170" t="s">
        <v>152</v>
      </c>
      <c r="C26" s="67" t="s">
        <v>152</v>
      </c>
      <c r="D26" s="66" t="s">
        <v>152</v>
      </c>
      <c r="E26" s="66" t="s">
        <v>152</v>
      </c>
      <c r="F26" s="66" t="s">
        <v>152</v>
      </c>
      <c r="G26" s="67" t="s">
        <v>152</v>
      </c>
      <c r="H26" s="66" t="s">
        <v>152</v>
      </c>
      <c r="I26" s="66" t="s">
        <v>152</v>
      </c>
      <c r="J26" s="66" t="s">
        <v>152</v>
      </c>
      <c r="K26" s="66" t="s">
        <v>152</v>
      </c>
      <c r="L26" s="66" t="s">
        <v>152</v>
      </c>
      <c r="M26" s="66" t="s">
        <v>152</v>
      </c>
      <c r="N26" s="66" t="s">
        <v>152</v>
      </c>
      <c r="O26" s="66" t="s">
        <v>152</v>
      </c>
      <c r="P26" s="66">
        <v>3468</v>
      </c>
      <c r="Q26" s="66">
        <v>7707</v>
      </c>
      <c r="R26" s="287">
        <v>7573</v>
      </c>
    </row>
    <row r="27" spans="1:19" s="63" customFormat="1" ht="15.6" x14ac:dyDescent="0.3">
      <c r="A27" s="75" t="s">
        <v>30</v>
      </c>
      <c r="B27" s="170" t="s">
        <v>152</v>
      </c>
      <c r="C27" s="67" t="s">
        <v>152</v>
      </c>
      <c r="D27" s="66" t="s">
        <v>152</v>
      </c>
      <c r="E27" s="66" t="s">
        <v>152</v>
      </c>
      <c r="F27" s="66" t="s">
        <v>152</v>
      </c>
      <c r="G27" s="67" t="s">
        <v>152</v>
      </c>
      <c r="H27" s="66" t="s">
        <v>152</v>
      </c>
      <c r="I27" s="66" t="s">
        <v>152</v>
      </c>
      <c r="J27" s="66" t="s">
        <v>152</v>
      </c>
      <c r="K27" s="66" t="s">
        <v>152</v>
      </c>
      <c r="L27" s="66" t="s">
        <v>152</v>
      </c>
      <c r="M27" s="66" t="s">
        <v>152</v>
      </c>
      <c r="N27" s="66" t="s">
        <v>152</v>
      </c>
      <c r="O27" s="66" t="s">
        <v>152</v>
      </c>
      <c r="P27" s="66">
        <v>2845</v>
      </c>
      <c r="Q27" s="66">
        <v>9683</v>
      </c>
      <c r="R27" s="295" t="s">
        <v>152</v>
      </c>
    </row>
    <row r="28" spans="1:19" s="63" customFormat="1" ht="15.6" x14ac:dyDescent="0.3">
      <c r="A28" s="75" t="s">
        <v>31</v>
      </c>
      <c r="B28" s="170" t="s">
        <v>152</v>
      </c>
      <c r="C28" s="67" t="s">
        <v>152</v>
      </c>
      <c r="D28" s="66" t="s">
        <v>152</v>
      </c>
      <c r="E28" s="66" t="s">
        <v>152</v>
      </c>
      <c r="F28" s="66" t="s">
        <v>152</v>
      </c>
      <c r="G28" s="67" t="s">
        <v>152</v>
      </c>
      <c r="H28" s="66" t="s">
        <v>152</v>
      </c>
      <c r="I28" s="66" t="s">
        <v>152</v>
      </c>
      <c r="J28" s="66" t="s">
        <v>152</v>
      </c>
      <c r="K28" s="66" t="s">
        <v>152</v>
      </c>
      <c r="L28" s="66" t="s">
        <v>152</v>
      </c>
      <c r="M28" s="66" t="s">
        <v>152</v>
      </c>
      <c r="N28" s="66" t="s">
        <v>152</v>
      </c>
      <c r="O28" s="66" t="s">
        <v>152</v>
      </c>
      <c r="P28" s="66">
        <v>4516</v>
      </c>
      <c r="Q28" s="66">
        <v>9225</v>
      </c>
      <c r="R28" s="295" t="s">
        <v>152</v>
      </c>
    </row>
    <row r="29" spans="1:19" s="63" customFormat="1" ht="15.6" x14ac:dyDescent="0.3">
      <c r="A29" s="75" t="s">
        <v>32</v>
      </c>
      <c r="B29" s="170" t="s">
        <v>152</v>
      </c>
      <c r="C29" s="67" t="s">
        <v>152</v>
      </c>
      <c r="D29" s="66" t="s">
        <v>152</v>
      </c>
      <c r="E29" s="66" t="s">
        <v>152</v>
      </c>
      <c r="F29" s="66" t="s">
        <v>152</v>
      </c>
      <c r="G29" s="67" t="s">
        <v>152</v>
      </c>
      <c r="H29" s="66" t="s">
        <v>152</v>
      </c>
      <c r="I29" s="66" t="s">
        <v>152</v>
      </c>
      <c r="J29" s="66" t="s">
        <v>152</v>
      </c>
      <c r="K29" s="66" t="s">
        <v>152</v>
      </c>
      <c r="L29" s="66" t="s">
        <v>152</v>
      </c>
      <c r="M29" s="66" t="s">
        <v>152</v>
      </c>
      <c r="N29" s="66" t="s">
        <v>152</v>
      </c>
      <c r="O29" s="66" t="s">
        <v>152</v>
      </c>
      <c r="P29" s="66">
        <v>2028</v>
      </c>
      <c r="Q29" s="66">
        <v>10330</v>
      </c>
      <c r="R29" s="295" t="s">
        <v>152</v>
      </c>
    </row>
    <row r="30" spans="1:19" s="63" customFormat="1" ht="15.6" x14ac:dyDescent="0.3">
      <c r="A30" s="75" t="s">
        <v>33</v>
      </c>
      <c r="B30" s="170" t="s">
        <v>152</v>
      </c>
      <c r="C30" s="67" t="s">
        <v>152</v>
      </c>
      <c r="D30" s="66" t="s">
        <v>152</v>
      </c>
      <c r="E30" s="66" t="s">
        <v>152</v>
      </c>
      <c r="F30" s="66" t="s">
        <v>152</v>
      </c>
      <c r="G30" s="67" t="s">
        <v>152</v>
      </c>
      <c r="H30" s="66" t="s">
        <v>152</v>
      </c>
      <c r="I30" s="66" t="s">
        <v>152</v>
      </c>
      <c r="J30" s="66" t="s">
        <v>152</v>
      </c>
      <c r="K30" s="66" t="s">
        <v>152</v>
      </c>
      <c r="L30" s="66" t="s">
        <v>152</v>
      </c>
      <c r="M30" s="66" t="s">
        <v>152</v>
      </c>
      <c r="N30" s="66" t="s">
        <v>152</v>
      </c>
      <c r="O30" s="66" t="s">
        <v>152</v>
      </c>
      <c r="P30" s="66">
        <v>2299</v>
      </c>
      <c r="Q30" s="66">
        <v>6711</v>
      </c>
      <c r="R30" s="295" t="s">
        <v>152</v>
      </c>
    </row>
    <row r="31" spans="1:19" s="63" customFormat="1" ht="15.6" x14ac:dyDescent="0.3">
      <c r="A31" s="75" t="s">
        <v>34</v>
      </c>
      <c r="B31" s="170" t="s">
        <v>152</v>
      </c>
      <c r="C31" s="67" t="s">
        <v>152</v>
      </c>
      <c r="D31" s="66" t="s">
        <v>152</v>
      </c>
      <c r="E31" s="66" t="s">
        <v>152</v>
      </c>
      <c r="F31" s="66" t="s">
        <v>152</v>
      </c>
      <c r="G31" s="67" t="s">
        <v>152</v>
      </c>
      <c r="H31" s="66" t="s">
        <v>152</v>
      </c>
      <c r="I31" s="66" t="s">
        <v>152</v>
      </c>
      <c r="J31" s="66" t="s">
        <v>152</v>
      </c>
      <c r="K31" s="66" t="s">
        <v>152</v>
      </c>
      <c r="L31" s="66" t="s">
        <v>152</v>
      </c>
      <c r="M31" s="66" t="s">
        <v>152</v>
      </c>
      <c r="N31" s="66" t="s">
        <v>152</v>
      </c>
      <c r="O31" s="68" t="s">
        <v>152</v>
      </c>
      <c r="P31" s="66">
        <v>1991</v>
      </c>
      <c r="Q31" s="66">
        <v>19657</v>
      </c>
      <c r="R31" s="295" t="s">
        <v>152</v>
      </c>
    </row>
    <row r="32" spans="1:19" s="63" customFormat="1" ht="16.2" thickBot="1" x14ac:dyDescent="0.35">
      <c r="A32" s="88" t="s">
        <v>36</v>
      </c>
      <c r="B32" s="87" t="s">
        <v>152</v>
      </c>
      <c r="C32" s="72" t="s">
        <v>152</v>
      </c>
      <c r="D32" s="72" t="s">
        <v>152</v>
      </c>
      <c r="E32" s="72" t="s">
        <v>152</v>
      </c>
      <c r="F32" s="72" t="s">
        <v>152</v>
      </c>
      <c r="G32" s="72" t="s">
        <v>152</v>
      </c>
      <c r="H32" s="71" t="s">
        <v>152</v>
      </c>
      <c r="I32" s="71" t="s">
        <v>152</v>
      </c>
      <c r="J32" s="71" t="s">
        <v>152</v>
      </c>
      <c r="K32" s="71" t="s">
        <v>152</v>
      </c>
      <c r="L32" s="71" t="s">
        <v>152</v>
      </c>
      <c r="M32" s="71" t="s">
        <v>152</v>
      </c>
      <c r="N32" s="71" t="s">
        <v>152</v>
      </c>
      <c r="O32" s="71" t="s">
        <v>152</v>
      </c>
      <c r="P32" s="71">
        <v>2884</v>
      </c>
      <c r="Q32" s="71">
        <v>4525</v>
      </c>
      <c r="R32" s="292" t="s">
        <v>152</v>
      </c>
    </row>
    <row r="33" spans="1:18" s="63" customFormat="1" ht="16.2" thickTop="1" x14ac:dyDescent="0.3">
      <c r="A33" s="89" t="s">
        <v>37</v>
      </c>
      <c r="B33" s="90" t="s">
        <v>152</v>
      </c>
      <c r="C33" s="73" t="s">
        <v>152</v>
      </c>
      <c r="D33" s="73" t="s">
        <v>152</v>
      </c>
      <c r="E33" s="73" t="s">
        <v>152</v>
      </c>
      <c r="F33" s="73" t="s">
        <v>152</v>
      </c>
      <c r="G33" s="73" t="s">
        <v>152</v>
      </c>
      <c r="H33" s="73" t="s">
        <v>152</v>
      </c>
      <c r="I33" s="73" t="s">
        <v>152</v>
      </c>
      <c r="J33" s="73" t="s">
        <v>152</v>
      </c>
      <c r="K33" s="73" t="s">
        <v>152</v>
      </c>
      <c r="L33" s="73" t="s">
        <v>152</v>
      </c>
      <c r="M33" s="73" t="s">
        <v>152</v>
      </c>
      <c r="N33" s="73" t="s">
        <v>152</v>
      </c>
      <c r="O33" s="73" t="s">
        <v>152</v>
      </c>
      <c r="P33" s="273">
        <f t="shared" ref="P33:R33" si="1">SUM(P21:P32)</f>
        <v>28330</v>
      </c>
      <c r="Q33" s="273">
        <f t="shared" si="1"/>
        <v>88835</v>
      </c>
      <c r="R33" s="288">
        <f t="shared" si="1"/>
        <v>28631</v>
      </c>
    </row>
    <row r="34" spans="1:18" s="113" customFormat="1" ht="6.6" x14ac:dyDescent="0.3">
      <c r="A34" s="371" t="s">
        <v>174</v>
      </c>
      <c r="B34" s="371"/>
      <c r="C34" s="371"/>
      <c r="D34" s="371"/>
      <c r="E34" s="371"/>
      <c r="F34" s="371"/>
      <c r="G34" s="371"/>
      <c r="H34" s="371"/>
      <c r="I34" s="371"/>
      <c r="J34" s="371"/>
      <c r="K34" s="371"/>
      <c r="L34" s="371"/>
      <c r="M34" s="371"/>
      <c r="N34" s="371"/>
      <c r="O34" s="371"/>
      <c r="P34" s="371"/>
      <c r="Q34" s="371"/>
      <c r="R34" s="371"/>
    </row>
    <row r="35" spans="1:18" s="106" customFormat="1" ht="18" x14ac:dyDescent="0.3">
      <c r="A35" s="385" t="s">
        <v>161</v>
      </c>
      <c r="B35" s="385"/>
      <c r="C35" s="385"/>
      <c r="D35" s="385"/>
      <c r="E35" s="385"/>
      <c r="F35" s="385"/>
      <c r="G35" s="385"/>
      <c r="H35" s="385"/>
      <c r="I35" s="385"/>
      <c r="J35" s="385"/>
      <c r="K35" s="385"/>
      <c r="L35" s="385"/>
      <c r="M35" s="385"/>
      <c r="N35" s="385"/>
      <c r="O35" s="385"/>
      <c r="P35" s="385"/>
      <c r="Q35" s="385"/>
      <c r="R35" s="385"/>
    </row>
    <row r="36" spans="1:18" s="63" customFormat="1" ht="15.6" x14ac:dyDescent="0.3">
      <c r="A36" s="77" t="s">
        <v>23</v>
      </c>
      <c r="B36" s="91">
        <v>2004</v>
      </c>
      <c r="C36" s="64">
        <v>2005</v>
      </c>
      <c r="D36" s="64">
        <v>2006</v>
      </c>
      <c r="E36" s="64">
        <v>2007</v>
      </c>
      <c r="F36" s="64">
        <v>2008</v>
      </c>
      <c r="G36" s="64">
        <v>2009</v>
      </c>
      <c r="H36" s="64">
        <v>2010</v>
      </c>
      <c r="I36" s="64">
        <v>2011</v>
      </c>
      <c r="J36" s="65">
        <v>2012</v>
      </c>
      <c r="K36" s="65">
        <v>2013</v>
      </c>
      <c r="L36" s="65">
        <v>2014</v>
      </c>
      <c r="M36" s="65">
        <v>2015</v>
      </c>
      <c r="N36" s="65">
        <v>2016</v>
      </c>
      <c r="O36" s="65">
        <v>2017</v>
      </c>
      <c r="P36" s="65">
        <v>2018</v>
      </c>
      <c r="Q36" s="65">
        <v>2019</v>
      </c>
      <c r="R36" s="49">
        <v>2020</v>
      </c>
    </row>
    <row r="37" spans="1:18" s="63" customFormat="1" ht="15.6" x14ac:dyDescent="0.3">
      <c r="A37" s="76" t="s">
        <v>24</v>
      </c>
      <c r="B37" s="108" t="s">
        <v>152</v>
      </c>
      <c r="C37" s="107" t="s">
        <v>152</v>
      </c>
      <c r="D37" s="83" t="s">
        <v>152</v>
      </c>
      <c r="E37" s="83" t="s">
        <v>152</v>
      </c>
      <c r="F37" s="83" t="s">
        <v>152</v>
      </c>
      <c r="G37" s="107" t="s">
        <v>152</v>
      </c>
      <c r="H37" s="83" t="s">
        <v>152</v>
      </c>
      <c r="I37" s="83" t="s">
        <v>152</v>
      </c>
      <c r="J37" s="83" t="s">
        <v>152</v>
      </c>
      <c r="K37" s="83" t="s">
        <v>152</v>
      </c>
      <c r="L37" s="83" t="s">
        <v>152</v>
      </c>
      <c r="M37" s="83" t="s">
        <v>152</v>
      </c>
      <c r="N37" s="83" t="s">
        <v>152</v>
      </c>
      <c r="O37" s="83" t="s">
        <v>152</v>
      </c>
      <c r="P37" s="271">
        <v>0</v>
      </c>
      <c r="Q37" s="271">
        <v>0</v>
      </c>
      <c r="R37" s="286">
        <v>0</v>
      </c>
    </row>
    <row r="38" spans="1:18" s="63" customFormat="1" ht="15.6" x14ac:dyDescent="0.3">
      <c r="A38" s="75" t="s">
        <v>25</v>
      </c>
      <c r="B38" s="170" t="s">
        <v>152</v>
      </c>
      <c r="C38" s="67" t="s">
        <v>152</v>
      </c>
      <c r="D38" s="66" t="s">
        <v>152</v>
      </c>
      <c r="E38" s="66" t="s">
        <v>152</v>
      </c>
      <c r="F38" s="66" t="s">
        <v>152</v>
      </c>
      <c r="G38" s="67" t="s">
        <v>152</v>
      </c>
      <c r="H38" s="66" t="s">
        <v>152</v>
      </c>
      <c r="I38" s="66" t="s">
        <v>152</v>
      </c>
      <c r="J38" s="68" t="s">
        <v>152</v>
      </c>
      <c r="K38" s="66" t="s">
        <v>152</v>
      </c>
      <c r="L38" s="66" t="s">
        <v>152</v>
      </c>
      <c r="M38" s="66" t="s">
        <v>152</v>
      </c>
      <c r="N38" s="66" t="s">
        <v>152</v>
      </c>
      <c r="O38" s="66" t="s">
        <v>152</v>
      </c>
      <c r="P38" s="66">
        <v>0</v>
      </c>
      <c r="Q38" s="66">
        <v>0</v>
      </c>
      <c r="R38" s="287">
        <v>0</v>
      </c>
    </row>
    <row r="39" spans="1:18" s="63" customFormat="1" ht="15.6" x14ac:dyDescent="0.3">
      <c r="A39" s="75" t="s">
        <v>26</v>
      </c>
      <c r="B39" s="170" t="s">
        <v>152</v>
      </c>
      <c r="C39" s="67" t="s">
        <v>152</v>
      </c>
      <c r="D39" s="66" t="s">
        <v>152</v>
      </c>
      <c r="E39" s="66" t="s">
        <v>152</v>
      </c>
      <c r="F39" s="66" t="s">
        <v>152</v>
      </c>
      <c r="G39" s="67" t="s">
        <v>152</v>
      </c>
      <c r="H39" s="66" t="s">
        <v>152</v>
      </c>
      <c r="I39" s="66" t="s">
        <v>152</v>
      </c>
      <c r="J39" s="66" t="s">
        <v>152</v>
      </c>
      <c r="K39" s="66" t="s">
        <v>152</v>
      </c>
      <c r="L39" s="66" t="s">
        <v>152</v>
      </c>
      <c r="M39" s="66" t="s">
        <v>152</v>
      </c>
      <c r="N39" s="66" t="s">
        <v>152</v>
      </c>
      <c r="O39" s="66" t="s">
        <v>152</v>
      </c>
      <c r="P39" s="66">
        <v>0</v>
      </c>
      <c r="Q39" s="66">
        <v>-11097</v>
      </c>
      <c r="R39" s="287">
        <v>0</v>
      </c>
    </row>
    <row r="40" spans="1:18" s="63" customFormat="1" ht="15.6" x14ac:dyDescent="0.3">
      <c r="A40" s="75" t="s">
        <v>27</v>
      </c>
      <c r="B40" s="170" t="s">
        <v>152</v>
      </c>
      <c r="C40" s="67" t="s">
        <v>152</v>
      </c>
      <c r="D40" s="66" t="s">
        <v>152</v>
      </c>
      <c r="E40" s="66" t="s">
        <v>152</v>
      </c>
      <c r="F40" s="66" t="s">
        <v>152</v>
      </c>
      <c r="G40" s="67" t="s">
        <v>152</v>
      </c>
      <c r="H40" s="66" t="s">
        <v>152</v>
      </c>
      <c r="I40" s="66" t="s">
        <v>152</v>
      </c>
      <c r="J40" s="66" t="s">
        <v>152</v>
      </c>
      <c r="K40" s="66" t="s">
        <v>152</v>
      </c>
      <c r="L40" s="66" t="s">
        <v>152</v>
      </c>
      <c r="M40" s="66" t="s">
        <v>152</v>
      </c>
      <c r="N40" s="66" t="s">
        <v>152</v>
      </c>
      <c r="O40" s="66" t="s">
        <v>152</v>
      </c>
      <c r="P40" s="66">
        <v>0</v>
      </c>
      <c r="Q40" s="66">
        <v>0</v>
      </c>
      <c r="R40" s="287">
        <v>0</v>
      </c>
    </row>
    <row r="41" spans="1:18" s="63" customFormat="1" ht="15.6" x14ac:dyDescent="0.3">
      <c r="A41" s="75" t="s">
        <v>28</v>
      </c>
      <c r="B41" s="170" t="s">
        <v>152</v>
      </c>
      <c r="C41" s="67" t="s">
        <v>152</v>
      </c>
      <c r="D41" s="66" t="s">
        <v>152</v>
      </c>
      <c r="E41" s="66" t="s">
        <v>152</v>
      </c>
      <c r="F41" s="66" t="s">
        <v>152</v>
      </c>
      <c r="G41" s="67" t="s">
        <v>152</v>
      </c>
      <c r="H41" s="66" t="s">
        <v>152</v>
      </c>
      <c r="I41" s="66" t="s">
        <v>152</v>
      </c>
      <c r="J41" s="66" t="s">
        <v>152</v>
      </c>
      <c r="K41" s="66" t="s">
        <v>152</v>
      </c>
      <c r="L41" s="66" t="s">
        <v>152</v>
      </c>
      <c r="M41" s="66" t="s">
        <v>152</v>
      </c>
      <c r="N41" s="66" t="s">
        <v>152</v>
      </c>
      <c r="O41" s="66" t="s">
        <v>152</v>
      </c>
      <c r="P41" s="66">
        <v>0</v>
      </c>
      <c r="Q41" s="66">
        <v>0</v>
      </c>
      <c r="R41" s="287">
        <v>0</v>
      </c>
    </row>
    <row r="42" spans="1:18" s="63" customFormat="1" ht="15.6" x14ac:dyDescent="0.3">
      <c r="A42" s="75" t="s">
        <v>29</v>
      </c>
      <c r="B42" s="170" t="s">
        <v>152</v>
      </c>
      <c r="C42" s="67" t="s">
        <v>152</v>
      </c>
      <c r="D42" s="66" t="s">
        <v>152</v>
      </c>
      <c r="E42" s="66" t="s">
        <v>152</v>
      </c>
      <c r="F42" s="66" t="s">
        <v>152</v>
      </c>
      <c r="G42" s="67" t="s">
        <v>152</v>
      </c>
      <c r="H42" s="66" t="s">
        <v>152</v>
      </c>
      <c r="I42" s="66" t="s">
        <v>152</v>
      </c>
      <c r="J42" s="66" t="s">
        <v>152</v>
      </c>
      <c r="K42" s="66" t="s">
        <v>152</v>
      </c>
      <c r="L42" s="66" t="s">
        <v>152</v>
      </c>
      <c r="M42" s="66" t="s">
        <v>152</v>
      </c>
      <c r="N42" s="66" t="s">
        <v>152</v>
      </c>
      <c r="O42" s="66" t="s">
        <v>152</v>
      </c>
      <c r="P42" s="66">
        <v>0</v>
      </c>
      <c r="Q42" s="66">
        <v>-3</v>
      </c>
      <c r="R42" s="287">
        <v>-14042</v>
      </c>
    </row>
    <row r="43" spans="1:18" s="63" customFormat="1" ht="15.6" x14ac:dyDescent="0.3">
      <c r="A43" s="75" t="s">
        <v>30</v>
      </c>
      <c r="B43" s="170" t="s">
        <v>152</v>
      </c>
      <c r="C43" s="67" t="s">
        <v>152</v>
      </c>
      <c r="D43" s="66" t="s">
        <v>152</v>
      </c>
      <c r="E43" s="66" t="s">
        <v>152</v>
      </c>
      <c r="F43" s="66" t="s">
        <v>152</v>
      </c>
      <c r="G43" s="67" t="s">
        <v>152</v>
      </c>
      <c r="H43" s="66" t="s">
        <v>152</v>
      </c>
      <c r="I43" s="66" t="s">
        <v>152</v>
      </c>
      <c r="J43" s="66" t="s">
        <v>152</v>
      </c>
      <c r="K43" s="66" t="s">
        <v>152</v>
      </c>
      <c r="L43" s="66" t="s">
        <v>152</v>
      </c>
      <c r="M43" s="66" t="s">
        <v>152</v>
      </c>
      <c r="N43" s="66" t="s">
        <v>152</v>
      </c>
      <c r="O43" s="66" t="s">
        <v>152</v>
      </c>
      <c r="P43" s="66">
        <v>0</v>
      </c>
      <c r="Q43" s="66">
        <v>0</v>
      </c>
      <c r="R43" s="295" t="s">
        <v>152</v>
      </c>
    </row>
    <row r="44" spans="1:18" s="63" customFormat="1" ht="15.6" x14ac:dyDescent="0.3">
      <c r="A44" s="75" t="s">
        <v>31</v>
      </c>
      <c r="B44" s="170" t="s">
        <v>152</v>
      </c>
      <c r="C44" s="67" t="s">
        <v>152</v>
      </c>
      <c r="D44" s="66" t="s">
        <v>152</v>
      </c>
      <c r="E44" s="66" t="s">
        <v>152</v>
      </c>
      <c r="F44" s="66" t="s">
        <v>152</v>
      </c>
      <c r="G44" s="67" t="s">
        <v>152</v>
      </c>
      <c r="H44" s="66" t="s">
        <v>152</v>
      </c>
      <c r="I44" s="66" t="s">
        <v>152</v>
      </c>
      <c r="J44" s="66" t="s">
        <v>152</v>
      </c>
      <c r="K44" s="66" t="s">
        <v>152</v>
      </c>
      <c r="L44" s="66" t="s">
        <v>152</v>
      </c>
      <c r="M44" s="66" t="s">
        <v>152</v>
      </c>
      <c r="N44" s="66" t="s">
        <v>152</v>
      </c>
      <c r="O44" s="66" t="s">
        <v>152</v>
      </c>
      <c r="P44" s="66">
        <v>0</v>
      </c>
      <c r="Q44" s="66">
        <v>-29</v>
      </c>
      <c r="R44" s="295" t="s">
        <v>152</v>
      </c>
    </row>
    <row r="45" spans="1:18" s="63" customFormat="1" ht="15.6" x14ac:dyDescent="0.3">
      <c r="A45" s="75" t="s">
        <v>32</v>
      </c>
      <c r="B45" s="170" t="s">
        <v>152</v>
      </c>
      <c r="C45" s="67" t="s">
        <v>152</v>
      </c>
      <c r="D45" s="66" t="s">
        <v>152</v>
      </c>
      <c r="E45" s="66" t="s">
        <v>152</v>
      </c>
      <c r="F45" s="66" t="s">
        <v>152</v>
      </c>
      <c r="G45" s="67" t="s">
        <v>152</v>
      </c>
      <c r="H45" s="66" t="s">
        <v>152</v>
      </c>
      <c r="I45" s="66" t="s">
        <v>152</v>
      </c>
      <c r="J45" s="66" t="s">
        <v>152</v>
      </c>
      <c r="K45" s="66" t="s">
        <v>152</v>
      </c>
      <c r="L45" s="66" t="s">
        <v>152</v>
      </c>
      <c r="M45" s="66" t="s">
        <v>152</v>
      </c>
      <c r="N45" s="66" t="s">
        <v>152</v>
      </c>
      <c r="O45" s="66" t="s">
        <v>152</v>
      </c>
      <c r="P45" s="66">
        <v>0</v>
      </c>
      <c r="Q45" s="66">
        <v>0</v>
      </c>
      <c r="R45" s="295" t="s">
        <v>152</v>
      </c>
    </row>
    <row r="46" spans="1:18" s="63" customFormat="1" ht="15.6" x14ac:dyDescent="0.3">
      <c r="A46" s="75" t="s">
        <v>33</v>
      </c>
      <c r="B46" s="170" t="s">
        <v>152</v>
      </c>
      <c r="C46" s="67" t="s">
        <v>152</v>
      </c>
      <c r="D46" s="66" t="s">
        <v>152</v>
      </c>
      <c r="E46" s="66" t="s">
        <v>152</v>
      </c>
      <c r="F46" s="66" t="s">
        <v>152</v>
      </c>
      <c r="G46" s="67" t="s">
        <v>152</v>
      </c>
      <c r="H46" s="66" t="s">
        <v>152</v>
      </c>
      <c r="I46" s="66" t="s">
        <v>152</v>
      </c>
      <c r="J46" s="66" t="s">
        <v>152</v>
      </c>
      <c r="K46" s="66" t="s">
        <v>152</v>
      </c>
      <c r="L46" s="66" t="s">
        <v>152</v>
      </c>
      <c r="M46" s="66" t="s">
        <v>152</v>
      </c>
      <c r="N46" s="66" t="s">
        <v>152</v>
      </c>
      <c r="O46" s="66" t="s">
        <v>152</v>
      </c>
      <c r="P46" s="66">
        <v>-434</v>
      </c>
      <c r="Q46" s="66">
        <v>0</v>
      </c>
      <c r="R46" s="295" t="s">
        <v>152</v>
      </c>
    </row>
    <row r="47" spans="1:18" s="63" customFormat="1" ht="15.6" x14ac:dyDescent="0.3">
      <c r="A47" s="75" t="s">
        <v>34</v>
      </c>
      <c r="B47" s="170" t="s">
        <v>152</v>
      </c>
      <c r="C47" s="67" t="s">
        <v>152</v>
      </c>
      <c r="D47" s="66" t="s">
        <v>152</v>
      </c>
      <c r="E47" s="66" t="s">
        <v>152</v>
      </c>
      <c r="F47" s="66" t="s">
        <v>152</v>
      </c>
      <c r="G47" s="67" t="s">
        <v>152</v>
      </c>
      <c r="H47" s="66" t="s">
        <v>152</v>
      </c>
      <c r="I47" s="66" t="s">
        <v>152</v>
      </c>
      <c r="J47" s="66" t="s">
        <v>152</v>
      </c>
      <c r="K47" s="66" t="s">
        <v>152</v>
      </c>
      <c r="L47" s="66" t="s">
        <v>152</v>
      </c>
      <c r="M47" s="66" t="s">
        <v>152</v>
      </c>
      <c r="N47" s="66" t="s">
        <v>152</v>
      </c>
      <c r="O47" s="68" t="s">
        <v>152</v>
      </c>
      <c r="P47" s="66">
        <v>0</v>
      </c>
      <c r="Q47" s="66">
        <v>0</v>
      </c>
      <c r="R47" s="295" t="s">
        <v>152</v>
      </c>
    </row>
    <row r="48" spans="1:18" s="63" customFormat="1" ht="16.2" thickBot="1" x14ac:dyDescent="0.35">
      <c r="A48" s="88" t="s">
        <v>36</v>
      </c>
      <c r="B48" s="87" t="s">
        <v>152</v>
      </c>
      <c r="C48" s="72" t="s">
        <v>152</v>
      </c>
      <c r="D48" s="72" t="s">
        <v>152</v>
      </c>
      <c r="E48" s="72" t="s">
        <v>152</v>
      </c>
      <c r="F48" s="72" t="s">
        <v>152</v>
      </c>
      <c r="G48" s="72" t="s">
        <v>152</v>
      </c>
      <c r="H48" s="71" t="s">
        <v>152</v>
      </c>
      <c r="I48" s="71" t="s">
        <v>152</v>
      </c>
      <c r="J48" s="93" t="s">
        <v>152</v>
      </c>
      <c r="K48" s="71" t="s">
        <v>152</v>
      </c>
      <c r="L48" s="71" t="s">
        <v>152</v>
      </c>
      <c r="M48" s="71" t="s">
        <v>152</v>
      </c>
      <c r="N48" s="71" t="s">
        <v>152</v>
      </c>
      <c r="O48" s="71" t="s">
        <v>152</v>
      </c>
      <c r="P48" s="71">
        <v>0</v>
      </c>
      <c r="Q48" s="71">
        <v>0</v>
      </c>
      <c r="R48" s="292" t="s">
        <v>152</v>
      </c>
    </row>
    <row r="49" spans="1:20" s="63" customFormat="1" ht="16.2" thickTop="1" x14ac:dyDescent="0.3">
      <c r="A49" s="89" t="s">
        <v>37</v>
      </c>
      <c r="B49" s="90" t="s">
        <v>152</v>
      </c>
      <c r="C49" s="73" t="s">
        <v>152</v>
      </c>
      <c r="D49" s="73" t="s">
        <v>152</v>
      </c>
      <c r="E49" s="73" t="s">
        <v>152</v>
      </c>
      <c r="F49" s="73" t="s">
        <v>152</v>
      </c>
      <c r="G49" s="73" t="s">
        <v>152</v>
      </c>
      <c r="H49" s="73" t="s">
        <v>152</v>
      </c>
      <c r="I49" s="73" t="s">
        <v>152</v>
      </c>
      <c r="J49" s="73" t="s">
        <v>152</v>
      </c>
      <c r="K49" s="73" t="s">
        <v>152</v>
      </c>
      <c r="L49" s="73" t="s">
        <v>152</v>
      </c>
      <c r="M49" s="73" t="s">
        <v>152</v>
      </c>
      <c r="N49" s="73" t="s">
        <v>152</v>
      </c>
      <c r="O49" s="73" t="s">
        <v>152</v>
      </c>
      <c r="P49" s="273">
        <f t="shared" ref="P49:R49" si="2">SUM(P37:P48)</f>
        <v>-434</v>
      </c>
      <c r="Q49" s="273">
        <f t="shared" si="2"/>
        <v>-11129</v>
      </c>
      <c r="R49" s="288">
        <f t="shared" si="2"/>
        <v>-14042</v>
      </c>
    </row>
    <row r="50" spans="1:20" s="113" customFormat="1" ht="6.6" x14ac:dyDescent="0.3">
      <c r="A50" s="371" t="s">
        <v>174</v>
      </c>
      <c r="B50" s="371"/>
      <c r="C50" s="371"/>
      <c r="D50" s="371"/>
      <c r="E50" s="371"/>
      <c r="F50" s="371"/>
      <c r="G50" s="371"/>
      <c r="H50" s="371"/>
      <c r="I50" s="371"/>
      <c r="J50" s="371"/>
      <c r="K50" s="371"/>
      <c r="L50" s="371"/>
      <c r="M50" s="371"/>
      <c r="N50" s="371"/>
      <c r="O50" s="371"/>
      <c r="P50" s="371"/>
      <c r="Q50" s="371"/>
      <c r="R50" s="371"/>
    </row>
    <row r="51" spans="1:20" s="111" customFormat="1" ht="13.8" x14ac:dyDescent="0.3">
      <c r="A51" s="373" t="s">
        <v>175</v>
      </c>
      <c r="B51" s="373"/>
      <c r="C51" s="373"/>
      <c r="D51" s="373"/>
      <c r="E51" s="373"/>
      <c r="F51" s="373"/>
      <c r="G51" s="373"/>
      <c r="H51" s="373"/>
      <c r="I51" s="373"/>
      <c r="J51" s="373"/>
      <c r="K51" s="373"/>
      <c r="L51" s="373"/>
      <c r="M51" s="373"/>
      <c r="N51" s="373"/>
      <c r="O51" s="373"/>
      <c r="P51" s="373"/>
      <c r="Q51" s="373"/>
      <c r="R51" s="373"/>
    </row>
    <row r="52" spans="1:20" s="111" customFormat="1" ht="13.8" x14ac:dyDescent="0.3">
      <c r="A52" s="384" t="str">
        <f>'Local SUT'!A60</f>
        <v>Source:  Minnesota Department of Revenue, Tax Research Division, February 2021</v>
      </c>
      <c r="B52" s="384"/>
      <c r="C52" s="384"/>
      <c r="D52" s="384"/>
      <c r="E52" s="384"/>
      <c r="F52" s="384"/>
      <c r="G52" s="384"/>
      <c r="H52" s="384"/>
      <c r="I52" s="384"/>
      <c r="J52" s="384"/>
      <c r="K52" s="384"/>
      <c r="L52" s="384"/>
      <c r="M52" s="384"/>
      <c r="N52" s="384"/>
      <c r="O52" s="384"/>
      <c r="P52" s="384"/>
      <c r="Q52" s="384"/>
      <c r="R52" s="384"/>
      <c r="S52" s="384"/>
      <c r="T52" s="300"/>
    </row>
    <row r="53" spans="1:20" s="111" customFormat="1" ht="13.8" x14ac:dyDescent="0.3">
      <c r="A53" s="379" t="s">
        <v>151</v>
      </c>
      <c r="B53" s="379"/>
      <c r="C53" s="379"/>
      <c r="D53" s="379"/>
      <c r="E53" s="379"/>
      <c r="F53" s="379"/>
      <c r="G53" s="379"/>
      <c r="H53" s="379"/>
      <c r="I53" s="379"/>
      <c r="J53" s="379"/>
      <c r="K53" s="379"/>
      <c r="L53" s="379"/>
      <c r="M53" s="379"/>
      <c r="N53" s="379"/>
      <c r="O53" s="379"/>
      <c r="P53" s="379"/>
      <c r="Q53" s="379"/>
      <c r="R53" s="379"/>
    </row>
    <row r="54" spans="1:20" x14ac:dyDescent="0.3">
      <c r="R54" s="117"/>
    </row>
  </sheetData>
  <mergeCells count="11">
    <mergeCell ref="A53:R53"/>
    <mergeCell ref="A1:U1"/>
    <mergeCell ref="A51:R51"/>
    <mergeCell ref="A19:R19"/>
    <mergeCell ref="A3:R3"/>
    <mergeCell ref="A35:R35"/>
    <mergeCell ref="A2:R2"/>
    <mergeCell ref="A18:R18"/>
    <mergeCell ref="A34:R34"/>
    <mergeCell ref="A50:R50"/>
    <mergeCell ref="A52:S52"/>
  </mergeCells>
  <pageMargins left="0.5" right="0.5" top="0.75" bottom="0.75" header="0.3" footer="0.3"/>
  <pageSetup scale="86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1">
    <pageSetUpPr fitToPage="1"/>
  </sheetPr>
  <dimension ref="A1:S54"/>
  <sheetViews>
    <sheetView showGridLines="0" workbookViewId="0">
      <pane ySplit="1" topLeftCell="A2" activePane="bottomLeft" state="frozen"/>
      <selection pane="bottomLeft" sqref="A1:S1"/>
    </sheetView>
  </sheetViews>
  <sheetFormatPr defaultColWidth="12.5546875" defaultRowHeight="14.4" x14ac:dyDescent="0.3"/>
  <cols>
    <col min="1" max="1" width="12.5546875" style="114"/>
    <col min="2" max="14" width="13.5546875" style="74" hidden="1" customWidth="1"/>
    <col min="15" max="17" width="13.5546875" style="74" customWidth="1"/>
    <col min="18" max="18" width="13.5546875" style="145" customWidth="1"/>
    <col min="19" max="16384" width="12.5546875" style="74"/>
  </cols>
  <sheetData>
    <row r="1" spans="1:19" s="112" customFormat="1" ht="21" x14ac:dyDescent="0.3">
      <c r="A1" s="380" t="s">
        <v>197</v>
      </c>
      <c r="B1" s="380"/>
      <c r="C1" s="380"/>
      <c r="D1" s="380"/>
      <c r="E1" s="380"/>
      <c r="F1" s="380"/>
      <c r="G1" s="380"/>
      <c r="H1" s="380"/>
      <c r="I1" s="380"/>
      <c r="J1" s="380"/>
      <c r="K1" s="380"/>
      <c r="L1" s="380"/>
      <c r="M1" s="380"/>
      <c r="N1" s="380"/>
      <c r="O1" s="380"/>
      <c r="P1" s="380"/>
      <c r="Q1" s="380"/>
      <c r="R1" s="380"/>
      <c r="S1" s="380"/>
    </row>
    <row r="2" spans="1:19" s="106" customFormat="1" ht="18" x14ac:dyDescent="0.3">
      <c r="A2" s="381" t="str">
        <f>'Local SUT'!A2</f>
        <v>CY 2004-2020</v>
      </c>
      <c r="B2" s="381"/>
      <c r="C2" s="381"/>
      <c r="D2" s="381"/>
      <c r="E2" s="381"/>
      <c r="F2" s="381"/>
      <c r="G2" s="381"/>
      <c r="H2" s="381"/>
      <c r="I2" s="381"/>
      <c r="J2" s="381"/>
      <c r="K2" s="381"/>
      <c r="L2" s="381"/>
      <c r="M2" s="381"/>
      <c r="N2" s="381"/>
      <c r="O2" s="381"/>
      <c r="P2" s="381"/>
      <c r="Q2" s="381"/>
      <c r="R2" s="381"/>
    </row>
    <row r="3" spans="1:19" s="106" customFormat="1" ht="18" x14ac:dyDescent="0.3">
      <c r="A3" s="370" t="s">
        <v>136</v>
      </c>
      <c r="B3" s="370"/>
      <c r="C3" s="370"/>
      <c r="D3" s="370"/>
      <c r="E3" s="370"/>
      <c r="F3" s="370"/>
      <c r="G3" s="370"/>
      <c r="H3" s="370"/>
      <c r="I3" s="370"/>
      <c r="J3" s="370"/>
      <c r="K3" s="370"/>
      <c r="L3" s="370"/>
      <c r="M3" s="370"/>
      <c r="N3" s="370"/>
      <c r="O3" s="370"/>
      <c r="P3" s="370"/>
      <c r="Q3" s="370"/>
      <c r="R3" s="370"/>
    </row>
    <row r="4" spans="1:19" s="63" customFormat="1" ht="15.6" x14ac:dyDescent="0.3">
      <c r="A4" s="77" t="s">
        <v>23</v>
      </c>
      <c r="B4" s="91">
        <v>2004</v>
      </c>
      <c r="C4" s="64">
        <v>2005</v>
      </c>
      <c r="D4" s="64">
        <v>2006</v>
      </c>
      <c r="E4" s="64">
        <v>2007</v>
      </c>
      <c r="F4" s="64">
        <v>2008</v>
      </c>
      <c r="G4" s="64">
        <v>2009</v>
      </c>
      <c r="H4" s="64">
        <v>2010</v>
      </c>
      <c r="I4" s="64">
        <v>2011</v>
      </c>
      <c r="J4" s="65">
        <v>2012</v>
      </c>
      <c r="K4" s="65">
        <v>2013</v>
      </c>
      <c r="L4" s="65">
        <v>2014</v>
      </c>
      <c r="M4" s="65">
        <v>2015</v>
      </c>
      <c r="N4" s="65">
        <v>2016</v>
      </c>
      <c r="O4" s="65">
        <v>2017</v>
      </c>
      <c r="P4" s="65">
        <v>2018</v>
      </c>
      <c r="Q4" s="65">
        <v>2019</v>
      </c>
      <c r="R4" s="49">
        <v>2020</v>
      </c>
    </row>
    <row r="5" spans="1:19" s="63" customFormat="1" ht="15.6" x14ac:dyDescent="0.3">
      <c r="A5" s="76" t="s">
        <v>24</v>
      </c>
      <c r="B5" s="86" t="s">
        <v>152</v>
      </c>
      <c r="C5" s="83" t="s">
        <v>152</v>
      </c>
      <c r="D5" s="83" t="s">
        <v>152</v>
      </c>
      <c r="E5" s="83" t="s">
        <v>152</v>
      </c>
      <c r="F5" s="83" t="s">
        <v>152</v>
      </c>
      <c r="G5" s="83" t="s">
        <v>152</v>
      </c>
      <c r="H5" s="83" t="s">
        <v>152</v>
      </c>
      <c r="I5" s="83" t="s">
        <v>152</v>
      </c>
      <c r="J5" s="83" t="s">
        <v>152</v>
      </c>
      <c r="K5" s="83" t="s">
        <v>152</v>
      </c>
      <c r="L5" s="83" t="s">
        <v>152</v>
      </c>
      <c r="M5" s="83" t="s">
        <v>152</v>
      </c>
      <c r="N5" s="83" t="s">
        <v>152</v>
      </c>
      <c r="O5" s="83" t="s">
        <v>152</v>
      </c>
      <c r="P5" s="271">
        <v>61711</v>
      </c>
      <c r="Q5" s="271">
        <v>65978</v>
      </c>
      <c r="R5" s="286">
        <v>85068</v>
      </c>
    </row>
    <row r="6" spans="1:19" s="63" customFormat="1" ht="15.6" x14ac:dyDescent="0.3">
      <c r="A6" s="75" t="s">
        <v>25</v>
      </c>
      <c r="B6" s="70" t="s">
        <v>152</v>
      </c>
      <c r="C6" s="66" t="s">
        <v>152</v>
      </c>
      <c r="D6" s="66" t="s">
        <v>152</v>
      </c>
      <c r="E6" s="66" t="s">
        <v>152</v>
      </c>
      <c r="F6" s="66" t="s">
        <v>152</v>
      </c>
      <c r="G6" s="66" t="s">
        <v>152</v>
      </c>
      <c r="H6" s="66" t="s">
        <v>152</v>
      </c>
      <c r="I6" s="66" t="s">
        <v>152</v>
      </c>
      <c r="J6" s="66" t="s">
        <v>152</v>
      </c>
      <c r="K6" s="66" t="s">
        <v>152</v>
      </c>
      <c r="L6" s="66" t="s">
        <v>152</v>
      </c>
      <c r="M6" s="66" t="s">
        <v>152</v>
      </c>
      <c r="N6" s="66" t="s">
        <v>152</v>
      </c>
      <c r="O6" s="66" t="s">
        <v>152</v>
      </c>
      <c r="P6" s="66">
        <v>49927</v>
      </c>
      <c r="Q6" s="66">
        <v>60134</v>
      </c>
      <c r="R6" s="287">
        <v>65968</v>
      </c>
    </row>
    <row r="7" spans="1:19" s="63" customFormat="1" ht="15.6" x14ac:dyDescent="0.3">
      <c r="A7" s="75" t="s">
        <v>26</v>
      </c>
      <c r="B7" s="70" t="s">
        <v>152</v>
      </c>
      <c r="C7" s="66" t="s">
        <v>152</v>
      </c>
      <c r="D7" s="66" t="s">
        <v>152</v>
      </c>
      <c r="E7" s="66" t="s">
        <v>152</v>
      </c>
      <c r="F7" s="66" t="s">
        <v>152</v>
      </c>
      <c r="G7" s="66" t="s">
        <v>152</v>
      </c>
      <c r="H7" s="66" t="s">
        <v>152</v>
      </c>
      <c r="I7" s="66" t="s">
        <v>152</v>
      </c>
      <c r="J7" s="66" t="s">
        <v>152</v>
      </c>
      <c r="K7" s="66" t="s">
        <v>152</v>
      </c>
      <c r="L7" s="66" t="s">
        <v>152</v>
      </c>
      <c r="M7" s="66" t="s">
        <v>152</v>
      </c>
      <c r="N7" s="66" t="s">
        <v>152</v>
      </c>
      <c r="O7" s="66" t="s">
        <v>152</v>
      </c>
      <c r="P7" s="66">
        <v>42273</v>
      </c>
      <c r="Q7" s="66">
        <v>57092</v>
      </c>
      <c r="R7" s="287">
        <v>65863</v>
      </c>
    </row>
    <row r="8" spans="1:19" s="63" customFormat="1" ht="15.6" x14ac:dyDescent="0.3">
      <c r="A8" s="75" t="s">
        <v>27</v>
      </c>
      <c r="B8" s="70" t="s">
        <v>152</v>
      </c>
      <c r="C8" s="66" t="s">
        <v>152</v>
      </c>
      <c r="D8" s="66" t="s">
        <v>152</v>
      </c>
      <c r="E8" s="66" t="s">
        <v>152</v>
      </c>
      <c r="F8" s="66" t="s">
        <v>152</v>
      </c>
      <c r="G8" s="66" t="s">
        <v>152</v>
      </c>
      <c r="H8" s="66" t="s">
        <v>152</v>
      </c>
      <c r="I8" s="66" t="s">
        <v>152</v>
      </c>
      <c r="J8" s="66" t="s">
        <v>152</v>
      </c>
      <c r="K8" s="66" t="s">
        <v>152</v>
      </c>
      <c r="L8" s="66" t="s">
        <v>152</v>
      </c>
      <c r="M8" s="66" t="s">
        <v>152</v>
      </c>
      <c r="N8" s="66" t="s">
        <v>152</v>
      </c>
      <c r="O8" s="66" t="s">
        <v>152</v>
      </c>
      <c r="P8" s="66">
        <v>60479</v>
      </c>
      <c r="Q8" s="66">
        <v>68960</v>
      </c>
      <c r="R8" s="287">
        <v>67133</v>
      </c>
    </row>
    <row r="9" spans="1:19" s="63" customFormat="1" ht="15.6" x14ac:dyDescent="0.3">
      <c r="A9" s="75" t="s">
        <v>28</v>
      </c>
      <c r="B9" s="70" t="s">
        <v>152</v>
      </c>
      <c r="C9" s="66" t="s">
        <v>152</v>
      </c>
      <c r="D9" s="66" t="s">
        <v>152</v>
      </c>
      <c r="E9" s="66" t="s">
        <v>152</v>
      </c>
      <c r="F9" s="66" t="s">
        <v>152</v>
      </c>
      <c r="G9" s="66" t="s">
        <v>152</v>
      </c>
      <c r="H9" s="66" t="s">
        <v>152</v>
      </c>
      <c r="I9" s="66" t="s">
        <v>152</v>
      </c>
      <c r="J9" s="66" t="s">
        <v>152</v>
      </c>
      <c r="K9" s="66" t="s">
        <v>152</v>
      </c>
      <c r="L9" s="66" t="s">
        <v>152</v>
      </c>
      <c r="M9" s="66" t="s">
        <v>152</v>
      </c>
      <c r="N9" s="66" t="s">
        <v>152</v>
      </c>
      <c r="O9" s="66" t="s">
        <v>152</v>
      </c>
      <c r="P9" s="66">
        <v>52768</v>
      </c>
      <c r="Q9" s="66">
        <v>69937</v>
      </c>
      <c r="R9" s="287">
        <v>63477</v>
      </c>
    </row>
    <row r="10" spans="1:19" s="63" customFormat="1" ht="15.6" x14ac:dyDescent="0.3">
      <c r="A10" s="75" t="s">
        <v>29</v>
      </c>
      <c r="B10" s="70" t="s">
        <v>152</v>
      </c>
      <c r="C10" s="66" t="s">
        <v>152</v>
      </c>
      <c r="D10" s="66" t="s">
        <v>152</v>
      </c>
      <c r="E10" s="66" t="s">
        <v>152</v>
      </c>
      <c r="F10" s="66" t="s">
        <v>152</v>
      </c>
      <c r="G10" s="66" t="s">
        <v>152</v>
      </c>
      <c r="H10" s="66" t="s">
        <v>152</v>
      </c>
      <c r="I10" s="66" t="s">
        <v>152</v>
      </c>
      <c r="J10" s="66" t="s">
        <v>152</v>
      </c>
      <c r="K10" s="66" t="s">
        <v>152</v>
      </c>
      <c r="L10" s="66" t="s">
        <v>152</v>
      </c>
      <c r="M10" s="66" t="s">
        <v>152</v>
      </c>
      <c r="N10" s="66" t="s">
        <v>152</v>
      </c>
      <c r="O10" s="66" t="s">
        <v>152</v>
      </c>
      <c r="P10" s="66">
        <v>61091</v>
      </c>
      <c r="Q10" s="66">
        <v>79612</v>
      </c>
      <c r="R10" s="287">
        <v>80126</v>
      </c>
    </row>
    <row r="11" spans="1:19" s="63" customFormat="1" ht="15.6" x14ac:dyDescent="0.3">
      <c r="A11" s="75" t="s">
        <v>30</v>
      </c>
      <c r="B11" s="70" t="s">
        <v>152</v>
      </c>
      <c r="C11" s="66" t="s">
        <v>152</v>
      </c>
      <c r="D11" s="66" t="s">
        <v>152</v>
      </c>
      <c r="E11" s="66" t="s">
        <v>152</v>
      </c>
      <c r="F11" s="66" t="s">
        <v>152</v>
      </c>
      <c r="G11" s="66" t="s">
        <v>152</v>
      </c>
      <c r="H11" s="66" t="s">
        <v>152</v>
      </c>
      <c r="I11" s="66" t="s">
        <v>152</v>
      </c>
      <c r="J11" s="66" t="s">
        <v>152</v>
      </c>
      <c r="K11" s="66" t="s">
        <v>152</v>
      </c>
      <c r="L11" s="66" t="s">
        <v>152</v>
      </c>
      <c r="M11" s="66" t="s">
        <v>152</v>
      </c>
      <c r="N11" s="66" t="s">
        <v>152</v>
      </c>
      <c r="O11" s="66" t="s">
        <v>152</v>
      </c>
      <c r="P11" s="66">
        <v>54436</v>
      </c>
      <c r="Q11" s="284">
        <v>73798</v>
      </c>
      <c r="R11" s="291" t="s">
        <v>152</v>
      </c>
    </row>
    <row r="12" spans="1:19" s="63" customFormat="1" ht="15.6" x14ac:dyDescent="0.3">
      <c r="A12" s="75" t="s">
        <v>31</v>
      </c>
      <c r="B12" s="70" t="s">
        <v>152</v>
      </c>
      <c r="C12" s="66" t="s">
        <v>152</v>
      </c>
      <c r="D12" s="66" t="s">
        <v>152</v>
      </c>
      <c r="E12" s="66" t="s">
        <v>152</v>
      </c>
      <c r="F12" s="66" t="s">
        <v>152</v>
      </c>
      <c r="G12" s="66" t="s">
        <v>152</v>
      </c>
      <c r="H12" s="66" t="s">
        <v>152</v>
      </c>
      <c r="I12" s="66" t="s">
        <v>152</v>
      </c>
      <c r="J12" s="66" t="s">
        <v>152</v>
      </c>
      <c r="K12" s="66" t="s">
        <v>152</v>
      </c>
      <c r="L12" s="66" t="s">
        <v>152</v>
      </c>
      <c r="M12" s="66" t="s">
        <v>152</v>
      </c>
      <c r="N12" s="66" t="s">
        <v>152</v>
      </c>
      <c r="O12" s="66" t="s">
        <v>152</v>
      </c>
      <c r="P12" s="66">
        <v>79215</v>
      </c>
      <c r="Q12" s="66">
        <v>91028</v>
      </c>
      <c r="R12" s="295" t="s">
        <v>152</v>
      </c>
    </row>
    <row r="13" spans="1:19" s="63" customFormat="1" ht="15.6" x14ac:dyDescent="0.3">
      <c r="A13" s="75" t="s">
        <v>32</v>
      </c>
      <c r="B13" s="70" t="s">
        <v>152</v>
      </c>
      <c r="C13" s="66" t="s">
        <v>152</v>
      </c>
      <c r="D13" s="66" t="s">
        <v>152</v>
      </c>
      <c r="E13" s="66" t="s">
        <v>152</v>
      </c>
      <c r="F13" s="66" t="s">
        <v>152</v>
      </c>
      <c r="G13" s="66" t="s">
        <v>152</v>
      </c>
      <c r="H13" s="66" t="s">
        <v>152</v>
      </c>
      <c r="I13" s="66" t="s">
        <v>152</v>
      </c>
      <c r="J13" s="66" t="s">
        <v>152</v>
      </c>
      <c r="K13" s="66" t="s">
        <v>152</v>
      </c>
      <c r="L13" s="66" t="s">
        <v>152</v>
      </c>
      <c r="M13" s="66" t="s">
        <v>152</v>
      </c>
      <c r="N13" s="66" t="s">
        <v>152</v>
      </c>
      <c r="O13" s="66" t="s">
        <v>152</v>
      </c>
      <c r="P13" s="66">
        <v>67022</v>
      </c>
      <c r="Q13" s="66">
        <v>80461</v>
      </c>
      <c r="R13" s="295" t="s">
        <v>152</v>
      </c>
    </row>
    <row r="14" spans="1:19" s="63" customFormat="1" ht="15.6" x14ac:dyDescent="0.3">
      <c r="A14" s="75" t="s">
        <v>33</v>
      </c>
      <c r="B14" s="70" t="s">
        <v>152</v>
      </c>
      <c r="C14" s="66" t="s">
        <v>152</v>
      </c>
      <c r="D14" s="66" t="s">
        <v>152</v>
      </c>
      <c r="E14" s="66" t="s">
        <v>152</v>
      </c>
      <c r="F14" s="66" t="s">
        <v>152</v>
      </c>
      <c r="G14" s="66" t="s">
        <v>152</v>
      </c>
      <c r="H14" s="66" t="s">
        <v>152</v>
      </c>
      <c r="I14" s="66" t="s">
        <v>152</v>
      </c>
      <c r="J14" s="66" t="s">
        <v>152</v>
      </c>
      <c r="K14" s="66" t="s">
        <v>152</v>
      </c>
      <c r="L14" s="66" t="s">
        <v>152</v>
      </c>
      <c r="M14" s="66" t="s">
        <v>152</v>
      </c>
      <c r="N14" s="66" t="s">
        <v>152</v>
      </c>
      <c r="O14" s="66" t="s">
        <v>152</v>
      </c>
      <c r="P14" s="66">
        <v>61457</v>
      </c>
      <c r="Q14" s="66">
        <v>78276</v>
      </c>
      <c r="R14" s="295" t="s">
        <v>152</v>
      </c>
    </row>
    <row r="15" spans="1:19" s="63" customFormat="1" ht="15.6" x14ac:dyDescent="0.3">
      <c r="A15" s="75" t="s">
        <v>34</v>
      </c>
      <c r="B15" s="70" t="s">
        <v>152</v>
      </c>
      <c r="C15" s="66" t="s">
        <v>152</v>
      </c>
      <c r="D15" s="66" t="s">
        <v>152</v>
      </c>
      <c r="E15" s="66" t="s">
        <v>152</v>
      </c>
      <c r="F15" s="66" t="s">
        <v>152</v>
      </c>
      <c r="G15" s="66" t="s">
        <v>152</v>
      </c>
      <c r="H15" s="66" t="s">
        <v>152</v>
      </c>
      <c r="I15" s="66" t="s">
        <v>152</v>
      </c>
      <c r="J15" s="66" t="s">
        <v>152</v>
      </c>
      <c r="K15" s="66" t="s">
        <v>152</v>
      </c>
      <c r="L15" s="66" t="s">
        <v>152</v>
      </c>
      <c r="M15" s="66" t="s">
        <v>152</v>
      </c>
      <c r="N15" s="66" t="s">
        <v>152</v>
      </c>
      <c r="O15" s="275">
        <v>50902</v>
      </c>
      <c r="P15" s="66">
        <v>61158</v>
      </c>
      <c r="Q15" s="66">
        <v>73868</v>
      </c>
      <c r="R15" s="295" t="s">
        <v>152</v>
      </c>
    </row>
    <row r="16" spans="1:19" s="63" customFormat="1" ht="16.2" thickBot="1" x14ac:dyDescent="0.35">
      <c r="A16" s="88" t="s">
        <v>36</v>
      </c>
      <c r="B16" s="104" t="s">
        <v>152</v>
      </c>
      <c r="C16" s="71" t="s">
        <v>152</v>
      </c>
      <c r="D16" s="71" t="s">
        <v>152</v>
      </c>
      <c r="E16" s="71" t="s">
        <v>152</v>
      </c>
      <c r="F16" s="71" t="s">
        <v>152</v>
      </c>
      <c r="G16" s="71" t="s">
        <v>152</v>
      </c>
      <c r="H16" s="71" t="s">
        <v>152</v>
      </c>
      <c r="I16" s="71" t="s">
        <v>152</v>
      </c>
      <c r="J16" s="71" t="s">
        <v>152</v>
      </c>
      <c r="K16" s="71" t="s">
        <v>152</v>
      </c>
      <c r="L16" s="71" t="s">
        <v>152</v>
      </c>
      <c r="M16" s="71" t="s">
        <v>152</v>
      </c>
      <c r="N16" s="71" t="s">
        <v>152</v>
      </c>
      <c r="O16" s="71">
        <v>55913</v>
      </c>
      <c r="P16" s="71">
        <v>59595</v>
      </c>
      <c r="Q16" s="71">
        <v>73948</v>
      </c>
      <c r="R16" s="292" t="s">
        <v>152</v>
      </c>
    </row>
    <row r="17" spans="1:18" s="63" customFormat="1" ht="16.2" thickTop="1" x14ac:dyDescent="0.3">
      <c r="A17" s="89" t="s">
        <v>37</v>
      </c>
      <c r="B17" s="90" t="s">
        <v>152</v>
      </c>
      <c r="C17" s="73" t="s">
        <v>152</v>
      </c>
      <c r="D17" s="73" t="s">
        <v>152</v>
      </c>
      <c r="E17" s="73" t="s">
        <v>152</v>
      </c>
      <c r="F17" s="73" t="s">
        <v>152</v>
      </c>
      <c r="G17" s="73" t="s">
        <v>152</v>
      </c>
      <c r="H17" s="73" t="s">
        <v>152</v>
      </c>
      <c r="I17" s="73" t="s">
        <v>152</v>
      </c>
      <c r="J17" s="73" t="s">
        <v>152</v>
      </c>
      <c r="K17" s="73" t="s">
        <v>152</v>
      </c>
      <c r="L17" s="73" t="s">
        <v>152</v>
      </c>
      <c r="M17" s="73" t="s">
        <v>152</v>
      </c>
      <c r="N17" s="73" t="s">
        <v>152</v>
      </c>
      <c r="O17" s="273">
        <f t="shared" ref="O17:P17" si="0">SUM(O5:O16)</f>
        <v>106815</v>
      </c>
      <c r="P17" s="273">
        <f t="shared" si="0"/>
        <v>711132</v>
      </c>
      <c r="Q17" s="273">
        <f t="shared" ref="Q17:R17" si="1">SUM(Q5:Q16)</f>
        <v>873092</v>
      </c>
      <c r="R17" s="288">
        <f t="shared" si="1"/>
        <v>427635</v>
      </c>
    </row>
    <row r="18" spans="1:18" s="113" customFormat="1" ht="6.6" x14ac:dyDescent="0.3">
      <c r="A18" s="371" t="s">
        <v>174</v>
      </c>
      <c r="B18" s="371"/>
      <c r="C18" s="371"/>
      <c r="D18" s="371"/>
      <c r="E18" s="371"/>
      <c r="F18" s="371"/>
      <c r="G18" s="371"/>
      <c r="H18" s="371"/>
      <c r="I18" s="371"/>
      <c r="J18" s="371"/>
      <c r="K18" s="371"/>
      <c r="L18" s="371"/>
      <c r="M18" s="371"/>
      <c r="N18" s="371"/>
      <c r="O18" s="371"/>
      <c r="P18" s="371"/>
      <c r="Q18" s="371"/>
      <c r="R18" s="371"/>
    </row>
    <row r="19" spans="1:18" s="106" customFormat="1" ht="18" x14ac:dyDescent="0.3">
      <c r="A19" s="370" t="s">
        <v>137</v>
      </c>
      <c r="B19" s="370"/>
      <c r="C19" s="370"/>
      <c r="D19" s="370"/>
      <c r="E19" s="370"/>
      <c r="F19" s="370"/>
      <c r="G19" s="370"/>
      <c r="H19" s="370"/>
      <c r="I19" s="370"/>
      <c r="J19" s="370"/>
      <c r="K19" s="370"/>
      <c r="L19" s="370"/>
      <c r="M19" s="370"/>
      <c r="N19" s="370"/>
      <c r="O19" s="370"/>
      <c r="P19" s="370"/>
      <c r="Q19" s="370"/>
      <c r="R19" s="370"/>
    </row>
    <row r="20" spans="1:18" s="63" customFormat="1" ht="15.6" x14ac:dyDescent="0.3">
      <c r="A20" s="77" t="s">
        <v>23</v>
      </c>
      <c r="B20" s="91">
        <v>2004</v>
      </c>
      <c r="C20" s="64">
        <v>2005</v>
      </c>
      <c r="D20" s="64">
        <v>2006</v>
      </c>
      <c r="E20" s="64">
        <v>2007</v>
      </c>
      <c r="F20" s="64">
        <v>2008</v>
      </c>
      <c r="G20" s="64">
        <v>2009</v>
      </c>
      <c r="H20" s="64">
        <v>2010</v>
      </c>
      <c r="I20" s="64">
        <v>2011</v>
      </c>
      <c r="J20" s="65">
        <v>2012</v>
      </c>
      <c r="K20" s="65">
        <v>2013</v>
      </c>
      <c r="L20" s="65">
        <v>2014</v>
      </c>
      <c r="M20" s="65">
        <v>2015</v>
      </c>
      <c r="N20" s="65">
        <v>2016</v>
      </c>
      <c r="O20" s="65">
        <v>2017</v>
      </c>
      <c r="P20" s="65">
        <v>2018</v>
      </c>
      <c r="Q20" s="65">
        <v>2019</v>
      </c>
      <c r="R20" s="49">
        <v>2020</v>
      </c>
    </row>
    <row r="21" spans="1:18" s="63" customFormat="1" ht="15.6" x14ac:dyDescent="0.3">
      <c r="A21" s="76" t="s">
        <v>24</v>
      </c>
      <c r="B21" s="86" t="s">
        <v>152</v>
      </c>
      <c r="C21" s="83" t="s">
        <v>152</v>
      </c>
      <c r="D21" s="83" t="s">
        <v>152</v>
      </c>
      <c r="E21" s="83" t="s">
        <v>152</v>
      </c>
      <c r="F21" s="83" t="s">
        <v>152</v>
      </c>
      <c r="G21" s="83" t="s">
        <v>152</v>
      </c>
      <c r="H21" s="83" t="s">
        <v>152</v>
      </c>
      <c r="I21" s="83" t="s">
        <v>152</v>
      </c>
      <c r="J21" s="83" t="s">
        <v>152</v>
      </c>
      <c r="K21" s="83" t="s">
        <v>152</v>
      </c>
      <c r="L21" s="83" t="s">
        <v>152</v>
      </c>
      <c r="M21" s="83" t="s">
        <v>152</v>
      </c>
      <c r="N21" s="83" t="s">
        <v>152</v>
      </c>
      <c r="O21" s="83" t="s">
        <v>152</v>
      </c>
      <c r="P21" s="271">
        <v>2322</v>
      </c>
      <c r="Q21" s="271">
        <v>2363</v>
      </c>
      <c r="R21" s="286">
        <v>4367</v>
      </c>
    </row>
    <row r="22" spans="1:18" s="63" customFormat="1" ht="15.6" x14ac:dyDescent="0.3">
      <c r="A22" s="75" t="s">
        <v>25</v>
      </c>
      <c r="B22" s="70" t="s">
        <v>152</v>
      </c>
      <c r="C22" s="66" t="s">
        <v>152</v>
      </c>
      <c r="D22" s="66" t="s">
        <v>152</v>
      </c>
      <c r="E22" s="66" t="s">
        <v>152</v>
      </c>
      <c r="F22" s="66" t="s">
        <v>152</v>
      </c>
      <c r="G22" s="66" t="s">
        <v>152</v>
      </c>
      <c r="H22" s="66" t="s">
        <v>152</v>
      </c>
      <c r="I22" s="66" t="s">
        <v>152</v>
      </c>
      <c r="J22" s="66" t="s">
        <v>152</v>
      </c>
      <c r="K22" s="66" t="s">
        <v>152</v>
      </c>
      <c r="L22" s="66" t="s">
        <v>152</v>
      </c>
      <c r="M22" s="66" t="s">
        <v>152</v>
      </c>
      <c r="N22" s="66" t="s">
        <v>152</v>
      </c>
      <c r="O22" s="66" t="s">
        <v>152</v>
      </c>
      <c r="P22" s="66">
        <v>970</v>
      </c>
      <c r="Q22" s="66">
        <v>1988</v>
      </c>
      <c r="R22" s="287">
        <v>3221</v>
      </c>
    </row>
    <row r="23" spans="1:18" s="63" customFormat="1" ht="15.6" x14ac:dyDescent="0.3">
      <c r="A23" s="75" t="s">
        <v>26</v>
      </c>
      <c r="B23" s="70" t="s">
        <v>152</v>
      </c>
      <c r="C23" s="66" t="s">
        <v>152</v>
      </c>
      <c r="D23" s="66" t="s">
        <v>152</v>
      </c>
      <c r="E23" s="66" t="s">
        <v>152</v>
      </c>
      <c r="F23" s="66" t="s">
        <v>152</v>
      </c>
      <c r="G23" s="66" t="s">
        <v>152</v>
      </c>
      <c r="H23" s="66" t="s">
        <v>152</v>
      </c>
      <c r="I23" s="66" t="s">
        <v>152</v>
      </c>
      <c r="J23" s="66" t="s">
        <v>152</v>
      </c>
      <c r="K23" s="66" t="s">
        <v>152</v>
      </c>
      <c r="L23" s="66" t="s">
        <v>152</v>
      </c>
      <c r="M23" s="66" t="s">
        <v>152</v>
      </c>
      <c r="N23" s="66" t="s">
        <v>152</v>
      </c>
      <c r="O23" s="66" t="s">
        <v>152</v>
      </c>
      <c r="P23" s="66">
        <v>2037</v>
      </c>
      <c r="Q23" s="66">
        <v>1192</v>
      </c>
      <c r="R23" s="287">
        <v>2494</v>
      </c>
    </row>
    <row r="24" spans="1:18" s="63" customFormat="1" ht="15.6" x14ac:dyDescent="0.3">
      <c r="A24" s="75" t="s">
        <v>27</v>
      </c>
      <c r="B24" s="70" t="s">
        <v>152</v>
      </c>
      <c r="C24" s="66" t="s">
        <v>152</v>
      </c>
      <c r="D24" s="66" t="s">
        <v>152</v>
      </c>
      <c r="E24" s="66" t="s">
        <v>152</v>
      </c>
      <c r="F24" s="66" t="s">
        <v>152</v>
      </c>
      <c r="G24" s="66" t="s">
        <v>152</v>
      </c>
      <c r="H24" s="66" t="s">
        <v>152</v>
      </c>
      <c r="I24" s="66" t="s">
        <v>152</v>
      </c>
      <c r="J24" s="66" t="s">
        <v>152</v>
      </c>
      <c r="K24" s="66" t="s">
        <v>152</v>
      </c>
      <c r="L24" s="66" t="s">
        <v>152</v>
      </c>
      <c r="M24" s="66" t="s">
        <v>152</v>
      </c>
      <c r="N24" s="66" t="s">
        <v>152</v>
      </c>
      <c r="O24" s="66" t="s">
        <v>152</v>
      </c>
      <c r="P24" s="66">
        <v>2326</v>
      </c>
      <c r="Q24" s="66">
        <v>3101</v>
      </c>
      <c r="R24" s="287">
        <v>2014</v>
      </c>
    </row>
    <row r="25" spans="1:18" s="63" customFormat="1" ht="15.6" x14ac:dyDescent="0.3">
      <c r="A25" s="75" t="s">
        <v>28</v>
      </c>
      <c r="B25" s="70" t="s">
        <v>152</v>
      </c>
      <c r="C25" s="66" t="s">
        <v>152</v>
      </c>
      <c r="D25" s="66" t="s">
        <v>152</v>
      </c>
      <c r="E25" s="66" t="s">
        <v>152</v>
      </c>
      <c r="F25" s="66" t="s">
        <v>152</v>
      </c>
      <c r="G25" s="66" t="s">
        <v>152</v>
      </c>
      <c r="H25" s="66" t="s">
        <v>152</v>
      </c>
      <c r="I25" s="66" t="s">
        <v>152</v>
      </c>
      <c r="J25" s="66" t="s">
        <v>152</v>
      </c>
      <c r="K25" s="66" t="s">
        <v>152</v>
      </c>
      <c r="L25" s="66" t="s">
        <v>152</v>
      </c>
      <c r="M25" s="66" t="s">
        <v>152</v>
      </c>
      <c r="N25" s="66" t="s">
        <v>152</v>
      </c>
      <c r="O25" s="66" t="s">
        <v>152</v>
      </c>
      <c r="P25" s="66">
        <v>1607</v>
      </c>
      <c r="Q25" s="66">
        <v>2117</v>
      </c>
      <c r="R25" s="287">
        <v>2497</v>
      </c>
    </row>
    <row r="26" spans="1:18" s="63" customFormat="1" ht="15.6" x14ac:dyDescent="0.3">
      <c r="A26" s="75" t="s">
        <v>29</v>
      </c>
      <c r="B26" s="70" t="s">
        <v>152</v>
      </c>
      <c r="C26" s="66" t="s">
        <v>152</v>
      </c>
      <c r="D26" s="66" t="s">
        <v>152</v>
      </c>
      <c r="E26" s="66" t="s">
        <v>152</v>
      </c>
      <c r="F26" s="66" t="s">
        <v>152</v>
      </c>
      <c r="G26" s="66" t="s">
        <v>152</v>
      </c>
      <c r="H26" s="66" t="s">
        <v>152</v>
      </c>
      <c r="I26" s="66" t="s">
        <v>152</v>
      </c>
      <c r="J26" s="66" t="s">
        <v>152</v>
      </c>
      <c r="K26" s="66" t="s">
        <v>152</v>
      </c>
      <c r="L26" s="66" t="s">
        <v>152</v>
      </c>
      <c r="M26" s="66" t="s">
        <v>152</v>
      </c>
      <c r="N26" s="66" t="s">
        <v>152</v>
      </c>
      <c r="O26" s="66" t="s">
        <v>152</v>
      </c>
      <c r="P26" s="66">
        <v>2187</v>
      </c>
      <c r="Q26" s="66">
        <v>2804</v>
      </c>
      <c r="R26" s="287">
        <v>2812</v>
      </c>
    </row>
    <row r="27" spans="1:18" s="63" customFormat="1" ht="15.6" x14ac:dyDescent="0.3">
      <c r="A27" s="75" t="s">
        <v>30</v>
      </c>
      <c r="B27" s="70" t="s">
        <v>152</v>
      </c>
      <c r="C27" s="66" t="s">
        <v>152</v>
      </c>
      <c r="D27" s="66" t="s">
        <v>152</v>
      </c>
      <c r="E27" s="66" t="s">
        <v>152</v>
      </c>
      <c r="F27" s="66" t="s">
        <v>152</v>
      </c>
      <c r="G27" s="66" t="s">
        <v>152</v>
      </c>
      <c r="H27" s="66" t="s">
        <v>152</v>
      </c>
      <c r="I27" s="66" t="s">
        <v>152</v>
      </c>
      <c r="J27" s="66" t="s">
        <v>152</v>
      </c>
      <c r="K27" s="66" t="s">
        <v>152</v>
      </c>
      <c r="L27" s="66" t="s">
        <v>152</v>
      </c>
      <c r="M27" s="66" t="s">
        <v>152</v>
      </c>
      <c r="N27" s="66" t="s">
        <v>152</v>
      </c>
      <c r="O27" s="66" t="s">
        <v>152</v>
      </c>
      <c r="P27" s="66">
        <v>3503</v>
      </c>
      <c r="Q27" s="66">
        <v>2987</v>
      </c>
      <c r="R27" s="295" t="s">
        <v>152</v>
      </c>
    </row>
    <row r="28" spans="1:18" s="63" customFormat="1" ht="15.6" x14ac:dyDescent="0.3">
      <c r="A28" s="75" t="s">
        <v>31</v>
      </c>
      <c r="B28" s="70" t="s">
        <v>152</v>
      </c>
      <c r="C28" s="66" t="s">
        <v>152</v>
      </c>
      <c r="D28" s="66" t="s">
        <v>152</v>
      </c>
      <c r="E28" s="66" t="s">
        <v>152</v>
      </c>
      <c r="F28" s="66" t="s">
        <v>152</v>
      </c>
      <c r="G28" s="66" t="s">
        <v>152</v>
      </c>
      <c r="H28" s="66" t="s">
        <v>152</v>
      </c>
      <c r="I28" s="66" t="s">
        <v>152</v>
      </c>
      <c r="J28" s="66" t="s">
        <v>152</v>
      </c>
      <c r="K28" s="66" t="s">
        <v>152</v>
      </c>
      <c r="L28" s="66" t="s">
        <v>152</v>
      </c>
      <c r="M28" s="66" t="s">
        <v>152</v>
      </c>
      <c r="N28" s="66" t="s">
        <v>152</v>
      </c>
      <c r="O28" s="66" t="s">
        <v>152</v>
      </c>
      <c r="P28" s="66">
        <v>1983</v>
      </c>
      <c r="Q28" s="66">
        <v>2159</v>
      </c>
      <c r="R28" s="295" t="s">
        <v>152</v>
      </c>
    </row>
    <row r="29" spans="1:18" s="63" customFormat="1" ht="15.6" x14ac:dyDescent="0.3">
      <c r="A29" s="75" t="s">
        <v>32</v>
      </c>
      <c r="B29" s="70" t="s">
        <v>152</v>
      </c>
      <c r="C29" s="66" t="s">
        <v>152</v>
      </c>
      <c r="D29" s="66" t="s">
        <v>152</v>
      </c>
      <c r="E29" s="66" t="s">
        <v>152</v>
      </c>
      <c r="F29" s="66" t="s">
        <v>152</v>
      </c>
      <c r="G29" s="66" t="s">
        <v>152</v>
      </c>
      <c r="H29" s="66" t="s">
        <v>152</v>
      </c>
      <c r="I29" s="66" t="s">
        <v>152</v>
      </c>
      <c r="J29" s="66" t="s">
        <v>152</v>
      </c>
      <c r="K29" s="66" t="s">
        <v>152</v>
      </c>
      <c r="L29" s="66" t="s">
        <v>152</v>
      </c>
      <c r="M29" s="66" t="s">
        <v>152</v>
      </c>
      <c r="N29" s="66" t="s">
        <v>152</v>
      </c>
      <c r="O29" s="66" t="s">
        <v>152</v>
      </c>
      <c r="P29" s="66">
        <v>1933</v>
      </c>
      <c r="Q29" s="66">
        <v>2261</v>
      </c>
      <c r="R29" s="295" t="s">
        <v>152</v>
      </c>
    </row>
    <row r="30" spans="1:18" s="63" customFormat="1" ht="15.6" x14ac:dyDescent="0.3">
      <c r="A30" s="75" t="s">
        <v>33</v>
      </c>
      <c r="B30" s="70" t="s">
        <v>152</v>
      </c>
      <c r="C30" s="66" t="s">
        <v>152</v>
      </c>
      <c r="D30" s="66" t="s">
        <v>152</v>
      </c>
      <c r="E30" s="66" t="s">
        <v>152</v>
      </c>
      <c r="F30" s="66" t="s">
        <v>152</v>
      </c>
      <c r="G30" s="66" t="s">
        <v>152</v>
      </c>
      <c r="H30" s="66" t="s">
        <v>152</v>
      </c>
      <c r="I30" s="66" t="s">
        <v>152</v>
      </c>
      <c r="J30" s="66" t="s">
        <v>152</v>
      </c>
      <c r="K30" s="66" t="s">
        <v>152</v>
      </c>
      <c r="L30" s="66" t="s">
        <v>152</v>
      </c>
      <c r="M30" s="66" t="s">
        <v>152</v>
      </c>
      <c r="N30" s="66" t="s">
        <v>152</v>
      </c>
      <c r="O30" s="66" t="s">
        <v>152</v>
      </c>
      <c r="P30" s="66">
        <v>1805</v>
      </c>
      <c r="Q30" s="66">
        <v>3205</v>
      </c>
      <c r="R30" s="295" t="s">
        <v>152</v>
      </c>
    </row>
    <row r="31" spans="1:18" s="63" customFormat="1" ht="15.6" x14ac:dyDescent="0.3">
      <c r="A31" s="75" t="s">
        <v>34</v>
      </c>
      <c r="B31" s="70" t="s">
        <v>152</v>
      </c>
      <c r="C31" s="66" t="s">
        <v>152</v>
      </c>
      <c r="D31" s="66" t="s">
        <v>152</v>
      </c>
      <c r="E31" s="66" t="s">
        <v>152</v>
      </c>
      <c r="F31" s="66" t="s">
        <v>152</v>
      </c>
      <c r="G31" s="66" t="s">
        <v>152</v>
      </c>
      <c r="H31" s="66" t="s">
        <v>152</v>
      </c>
      <c r="I31" s="66" t="s">
        <v>152</v>
      </c>
      <c r="J31" s="66" t="s">
        <v>152</v>
      </c>
      <c r="K31" s="66" t="s">
        <v>152</v>
      </c>
      <c r="L31" s="66" t="s">
        <v>152</v>
      </c>
      <c r="M31" s="66" t="s">
        <v>152</v>
      </c>
      <c r="N31" s="66" t="s">
        <v>152</v>
      </c>
      <c r="O31" s="275">
        <v>2949</v>
      </c>
      <c r="P31" s="66">
        <v>2881</v>
      </c>
      <c r="Q31" s="66">
        <v>5533</v>
      </c>
      <c r="R31" s="295" t="s">
        <v>152</v>
      </c>
    </row>
    <row r="32" spans="1:18" s="63" customFormat="1" ht="16.2" thickBot="1" x14ac:dyDescent="0.35">
      <c r="A32" s="88" t="s">
        <v>36</v>
      </c>
      <c r="B32" s="104" t="s">
        <v>152</v>
      </c>
      <c r="C32" s="71" t="s">
        <v>152</v>
      </c>
      <c r="D32" s="71" t="s">
        <v>152</v>
      </c>
      <c r="E32" s="71" t="s">
        <v>152</v>
      </c>
      <c r="F32" s="71" t="s">
        <v>152</v>
      </c>
      <c r="G32" s="71" t="s">
        <v>152</v>
      </c>
      <c r="H32" s="71" t="s">
        <v>152</v>
      </c>
      <c r="I32" s="71" t="s">
        <v>152</v>
      </c>
      <c r="J32" s="71" t="s">
        <v>152</v>
      </c>
      <c r="K32" s="71" t="s">
        <v>152</v>
      </c>
      <c r="L32" s="71" t="s">
        <v>152</v>
      </c>
      <c r="M32" s="71" t="s">
        <v>152</v>
      </c>
      <c r="N32" s="71" t="s">
        <v>152</v>
      </c>
      <c r="O32" s="71">
        <v>1680</v>
      </c>
      <c r="P32" s="71">
        <v>2618</v>
      </c>
      <c r="Q32" s="71">
        <v>3191</v>
      </c>
      <c r="R32" s="292" t="s">
        <v>152</v>
      </c>
    </row>
    <row r="33" spans="1:18" s="63" customFormat="1" ht="16.2" thickTop="1" x14ac:dyDescent="0.3">
      <c r="A33" s="89" t="s">
        <v>37</v>
      </c>
      <c r="B33" s="90" t="s">
        <v>152</v>
      </c>
      <c r="C33" s="73" t="s">
        <v>152</v>
      </c>
      <c r="D33" s="73" t="s">
        <v>152</v>
      </c>
      <c r="E33" s="73" t="s">
        <v>152</v>
      </c>
      <c r="F33" s="73" t="s">
        <v>152</v>
      </c>
      <c r="G33" s="73" t="s">
        <v>152</v>
      </c>
      <c r="H33" s="73" t="s">
        <v>152</v>
      </c>
      <c r="I33" s="73" t="s">
        <v>152</v>
      </c>
      <c r="J33" s="73" t="s">
        <v>152</v>
      </c>
      <c r="K33" s="73" t="s">
        <v>152</v>
      </c>
      <c r="L33" s="73" t="s">
        <v>152</v>
      </c>
      <c r="M33" s="73" t="s">
        <v>152</v>
      </c>
      <c r="N33" s="73" t="s">
        <v>152</v>
      </c>
      <c r="O33" s="273">
        <f t="shared" ref="O33:P33" si="2">SUM(O21:O32)</f>
        <v>4629</v>
      </c>
      <c r="P33" s="273">
        <f t="shared" si="2"/>
        <v>26172</v>
      </c>
      <c r="Q33" s="273">
        <f t="shared" ref="Q33:R33" si="3">SUM(Q21:Q32)</f>
        <v>32901</v>
      </c>
      <c r="R33" s="288">
        <f t="shared" si="3"/>
        <v>17405</v>
      </c>
    </row>
    <row r="34" spans="1:18" s="113" customFormat="1" ht="6.6" x14ac:dyDescent="0.3">
      <c r="A34" s="371" t="s">
        <v>174</v>
      </c>
      <c r="B34" s="371"/>
      <c r="C34" s="371"/>
      <c r="D34" s="371"/>
      <c r="E34" s="371"/>
      <c r="F34" s="371"/>
      <c r="G34" s="371"/>
      <c r="H34" s="371"/>
      <c r="I34" s="371"/>
      <c r="J34" s="371"/>
      <c r="K34" s="371"/>
      <c r="L34" s="371"/>
      <c r="M34" s="371"/>
      <c r="N34" s="371"/>
      <c r="O34" s="371"/>
      <c r="P34" s="371"/>
      <c r="Q34" s="371"/>
      <c r="R34" s="371"/>
    </row>
    <row r="35" spans="1:18" s="106" customFormat="1" ht="18" x14ac:dyDescent="0.3">
      <c r="A35" s="370" t="s">
        <v>138</v>
      </c>
      <c r="B35" s="370"/>
      <c r="C35" s="370"/>
      <c r="D35" s="370"/>
      <c r="E35" s="370"/>
      <c r="F35" s="370"/>
      <c r="G35" s="370"/>
      <c r="H35" s="370"/>
      <c r="I35" s="370"/>
      <c r="J35" s="370"/>
      <c r="K35" s="370"/>
      <c r="L35" s="370"/>
      <c r="M35" s="370"/>
      <c r="N35" s="370"/>
      <c r="O35" s="370"/>
      <c r="P35" s="370"/>
      <c r="Q35" s="370"/>
      <c r="R35" s="370"/>
    </row>
    <row r="36" spans="1:18" s="63" customFormat="1" ht="15.6" x14ac:dyDescent="0.3">
      <c r="A36" s="77" t="s">
        <v>23</v>
      </c>
      <c r="B36" s="91">
        <v>2004</v>
      </c>
      <c r="C36" s="64">
        <v>2005</v>
      </c>
      <c r="D36" s="64">
        <v>2006</v>
      </c>
      <c r="E36" s="64">
        <v>2007</v>
      </c>
      <c r="F36" s="64">
        <v>2008</v>
      </c>
      <c r="G36" s="64">
        <v>2009</v>
      </c>
      <c r="H36" s="64">
        <v>2010</v>
      </c>
      <c r="I36" s="64">
        <v>2011</v>
      </c>
      <c r="J36" s="65">
        <v>2012</v>
      </c>
      <c r="K36" s="65">
        <v>2013</v>
      </c>
      <c r="L36" s="65">
        <v>2014</v>
      </c>
      <c r="M36" s="65">
        <v>2015</v>
      </c>
      <c r="N36" s="65">
        <v>2016</v>
      </c>
      <c r="O36" s="65">
        <v>2017</v>
      </c>
      <c r="P36" s="65">
        <v>2018</v>
      </c>
      <c r="Q36" s="65">
        <v>2019</v>
      </c>
      <c r="R36" s="49">
        <v>2020</v>
      </c>
    </row>
    <row r="37" spans="1:18" s="63" customFormat="1" ht="15.6" x14ac:dyDescent="0.3">
      <c r="A37" s="76" t="s">
        <v>24</v>
      </c>
      <c r="B37" s="86" t="s">
        <v>152</v>
      </c>
      <c r="C37" s="83" t="s">
        <v>152</v>
      </c>
      <c r="D37" s="83" t="s">
        <v>152</v>
      </c>
      <c r="E37" s="83" t="s">
        <v>152</v>
      </c>
      <c r="F37" s="83" t="s">
        <v>152</v>
      </c>
      <c r="G37" s="83" t="s">
        <v>152</v>
      </c>
      <c r="H37" s="83" t="s">
        <v>152</v>
      </c>
      <c r="I37" s="83" t="s">
        <v>152</v>
      </c>
      <c r="J37" s="83" t="s">
        <v>152</v>
      </c>
      <c r="K37" s="83" t="s">
        <v>152</v>
      </c>
      <c r="L37" s="83" t="s">
        <v>152</v>
      </c>
      <c r="M37" s="83" t="s">
        <v>152</v>
      </c>
      <c r="N37" s="83" t="s">
        <v>152</v>
      </c>
      <c r="O37" s="83" t="s">
        <v>152</v>
      </c>
      <c r="P37" s="271">
        <v>0</v>
      </c>
      <c r="Q37" s="271">
        <v>0</v>
      </c>
      <c r="R37" s="286">
        <v>0</v>
      </c>
    </row>
    <row r="38" spans="1:18" s="63" customFormat="1" ht="15.6" x14ac:dyDescent="0.3">
      <c r="A38" s="75" t="s">
        <v>25</v>
      </c>
      <c r="B38" s="70" t="s">
        <v>152</v>
      </c>
      <c r="C38" s="66" t="s">
        <v>152</v>
      </c>
      <c r="D38" s="66" t="s">
        <v>152</v>
      </c>
      <c r="E38" s="66" t="s">
        <v>152</v>
      </c>
      <c r="F38" s="66" t="s">
        <v>152</v>
      </c>
      <c r="G38" s="66" t="s">
        <v>152</v>
      </c>
      <c r="H38" s="66" t="s">
        <v>152</v>
      </c>
      <c r="I38" s="66" t="s">
        <v>152</v>
      </c>
      <c r="J38" s="66" t="s">
        <v>152</v>
      </c>
      <c r="K38" s="66" t="s">
        <v>152</v>
      </c>
      <c r="L38" s="66" t="s">
        <v>152</v>
      </c>
      <c r="M38" s="66" t="s">
        <v>152</v>
      </c>
      <c r="N38" s="66" t="s">
        <v>152</v>
      </c>
      <c r="O38" s="66" t="s">
        <v>152</v>
      </c>
      <c r="P38" s="66">
        <v>0</v>
      </c>
      <c r="Q38" s="66">
        <v>0</v>
      </c>
      <c r="R38" s="287">
        <v>0</v>
      </c>
    </row>
    <row r="39" spans="1:18" s="63" customFormat="1" ht="15.6" x14ac:dyDescent="0.3">
      <c r="A39" s="75" t="s">
        <v>26</v>
      </c>
      <c r="B39" s="70" t="s">
        <v>152</v>
      </c>
      <c r="C39" s="66" t="s">
        <v>152</v>
      </c>
      <c r="D39" s="66" t="s">
        <v>152</v>
      </c>
      <c r="E39" s="66" t="s">
        <v>152</v>
      </c>
      <c r="F39" s="66" t="s">
        <v>152</v>
      </c>
      <c r="G39" s="66" t="s">
        <v>152</v>
      </c>
      <c r="H39" s="66" t="s">
        <v>152</v>
      </c>
      <c r="I39" s="66" t="s">
        <v>152</v>
      </c>
      <c r="J39" s="66" t="s">
        <v>152</v>
      </c>
      <c r="K39" s="66" t="s">
        <v>152</v>
      </c>
      <c r="L39" s="66" t="s">
        <v>152</v>
      </c>
      <c r="M39" s="66" t="s">
        <v>152</v>
      </c>
      <c r="N39" s="66" t="s">
        <v>152</v>
      </c>
      <c r="O39" s="66" t="s">
        <v>152</v>
      </c>
      <c r="P39" s="66">
        <v>-72</v>
      </c>
      <c r="Q39" s="66">
        <v>0</v>
      </c>
      <c r="R39" s="287">
        <v>-105</v>
      </c>
    </row>
    <row r="40" spans="1:18" s="63" customFormat="1" ht="15.6" x14ac:dyDescent="0.3">
      <c r="A40" s="75" t="s">
        <v>27</v>
      </c>
      <c r="B40" s="70" t="s">
        <v>152</v>
      </c>
      <c r="C40" s="66" t="s">
        <v>152</v>
      </c>
      <c r="D40" s="66" t="s">
        <v>152</v>
      </c>
      <c r="E40" s="66" t="s">
        <v>152</v>
      </c>
      <c r="F40" s="66" t="s">
        <v>152</v>
      </c>
      <c r="G40" s="66" t="s">
        <v>152</v>
      </c>
      <c r="H40" s="66" t="s">
        <v>152</v>
      </c>
      <c r="I40" s="66" t="s">
        <v>152</v>
      </c>
      <c r="J40" s="66" t="s">
        <v>152</v>
      </c>
      <c r="K40" s="66" t="s">
        <v>152</v>
      </c>
      <c r="L40" s="66" t="s">
        <v>152</v>
      </c>
      <c r="M40" s="66" t="s">
        <v>152</v>
      </c>
      <c r="N40" s="66" t="s">
        <v>152</v>
      </c>
      <c r="O40" s="66" t="s">
        <v>152</v>
      </c>
      <c r="P40" s="66">
        <v>-3</v>
      </c>
      <c r="Q40" s="66">
        <v>0</v>
      </c>
      <c r="R40" s="287">
        <v>0</v>
      </c>
    </row>
    <row r="41" spans="1:18" s="63" customFormat="1" ht="15.6" x14ac:dyDescent="0.3">
      <c r="A41" s="75" t="s">
        <v>28</v>
      </c>
      <c r="B41" s="70" t="s">
        <v>152</v>
      </c>
      <c r="C41" s="66" t="s">
        <v>152</v>
      </c>
      <c r="D41" s="66" t="s">
        <v>152</v>
      </c>
      <c r="E41" s="66" t="s">
        <v>152</v>
      </c>
      <c r="F41" s="66" t="s">
        <v>152</v>
      </c>
      <c r="G41" s="66" t="s">
        <v>152</v>
      </c>
      <c r="H41" s="66" t="s">
        <v>152</v>
      </c>
      <c r="I41" s="66" t="s">
        <v>152</v>
      </c>
      <c r="J41" s="66" t="s">
        <v>152</v>
      </c>
      <c r="K41" s="66" t="s">
        <v>152</v>
      </c>
      <c r="L41" s="66" t="s">
        <v>152</v>
      </c>
      <c r="M41" s="66" t="s">
        <v>152</v>
      </c>
      <c r="N41" s="66" t="s">
        <v>152</v>
      </c>
      <c r="O41" s="66" t="s">
        <v>152</v>
      </c>
      <c r="P41" s="66">
        <v>0</v>
      </c>
      <c r="Q41" s="66">
        <v>0</v>
      </c>
      <c r="R41" s="287">
        <v>0</v>
      </c>
    </row>
    <row r="42" spans="1:18" s="63" customFormat="1" ht="15.6" x14ac:dyDescent="0.3">
      <c r="A42" s="75" t="s">
        <v>29</v>
      </c>
      <c r="B42" s="70" t="s">
        <v>152</v>
      </c>
      <c r="C42" s="66" t="s">
        <v>152</v>
      </c>
      <c r="D42" s="66" t="s">
        <v>152</v>
      </c>
      <c r="E42" s="66" t="s">
        <v>152</v>
      </c>
      <c r="F42" s="66" t="s">
        <v>152</v>
      </c>
      <c r="G42" s="66" t="s">
        <v>152</v>
      </c>
      <c r="H42" s="66" t="s">
        <v>152</v>
      </c>
      <c r="I42" s="66" t="s">
        <v>152</v>
      </c>
      <c r="J42" s="66" t="s">
        <v>152</v>
      </c>
      <c r="K42" s="66" t="s">
        <v>152</v>
      </c>
      <c r="L42" s="66" t="s">
        <v>152</v>
      </c>
      <c r="M42" s="66" t="s">
        <v>152</v>
      </c>
      <c r="N42" s="66" t="s">
        <v>152</v>
      </c>
      <c r="O42" s="66" t="s">
        <v>152</v>
      </c>
      <c r="P42" s="66">
        <v>0</v>
      </c>
      <c r="Q42" s="66">
        <v>0</v>
      </c>
      <c r="R42" s="287">
        <v>-397</v>
      </c>
    </row>
    <row r="43" spans="1:18" s="63" customFormat="1" ht="15.6" x14ac:dyDescent="0.3">
      <c r="A43" s="75" t="s">
        <v>30</v>
      </c>
      <c r="B43" s="70" t="s">
        <v>152</v>
      </c>
      <c r="C43" s="66" t="s">
        <v>152</v>
      </c>
      <c r="D43" s="66" t="s">
        <v>152</v>
      </c>
      <c r="E43" s="66" t="s">
        <v>152</v>
      </c>
      <c r="F43" s="66" t="s">
        <v>152</v>
      </c>
      <c r="G43" s="66" t="s">
        <v>152</v>
      </c>
      <c r="H43" s="66" t="s">
        <v>152</v>
      </c>
      <c r="I43" s="66" t="s">
        <v>152</v>
      </c>
      <c r="J43" s="66" t="s">
        <v>152</v>
      </c>
      <c r="K43" s="66" t="s">
        <v>152</v>
      </c>
      <c r="L43" s="66" t="s">
        <v>152</v>
      </c>
      <c r="M43" s="66" t="s">
        <v>152</v>
      </c>
      <c r="N43" s="66" t="s">
        <v>152</v>
      </c>
      <c r="O43" s="66" t="s">
        <v>152</v>
      </c>
      <c r="P43" s="66">
        <v>0</v>
      </c>
      <c r="Q43" s="66">
        <v>0</v>
      </c>
      <c r="R43" s="295" t="s">
        <v>152</v>
      </c>
    </row>
    <row r="44" spans="1:18" s="63" customFormat="1" ht="15.6" x14ac:dyDescent="0.3">
      <c r="A44" s="75" t="s">
        <v>31</v>
      </c>
      <c r="B44" s="70" t="s">
        <v>152</v>
      </c>
      <c r="C44" s="66" t="s">
        <v>152</v>
      </c>
      <c r="D44" s="66" t="s">
        <v>152</v>
      </c>
      <c r="E44" s="66" t="s">
        <v>152</v>
      </c>
      <c r="F44" s="66" t="s">
        <v>152</v>
      </c>
      <c r="G44" s="66" t="s">
        <v>152</v>
      </c>
      <c r="H44" s="66" t="s">
        <v>152</v>
      </c>
      <c r="I44" s="66" t="s">
        <v>152</v>
      </c>
      <c r="J44" s="66" t="s">
        <v>152</v>
      </c>
      <c r="K44" s="66" t="s">
        <v>152</v>
      </c>
      <c r="L44" s="66" t="s">
        <v>152</v>
      </c>
      <c r="M44" s="66" t="s">
        <v>152</v>
      </c>
      <c r="N44" s="66" t="s">
        <v>152</v>
      </c>
      <c r="O44" s="66" t="s">
        <v>152</v>
      </c>
      <c r="P44" s="66">
        <v>0</v>
      </c>
      <c r="Q44" s="66">
        <v>0</v>
      </c>
      <c r="R44" s="295" t="s">
        <v>152</v>
      </c>
    </row>
    <row r="45" spans="1:18" s="63" customFormat="1" ht="15.6" x14ac:dyDescent="0.3">
      <c r="A45" s="75" t="s">
        <v>32</v>
      </c>
      <c r="B45" s="70" t="s">
        <v>152</v>
      </c>
      <c r="C45" s="66" t="s">
        <v>152</v>
      </c>
      <c r="D45" s="66" t="s">
        <v>152</v>
      </c>
      <c r="E45" s="66" t="s">
        <v>152</v>
      </c>
      <c r="F45" s="66" t="s">
        <v>152</v>
      </c>
      <c r="G45" s="66" t="s">
        <v>152</v>
      </c>
      <c r="H45" s="66" t="s">
        <v>152</v>
      </c>
      <c r="I45" s="66" t="s">
        <v>152</v>
      </c>
      <c r="J45" s="66" t="s">
        <v>152</v>
      </c>
      <c r="K45" s="66" t="s">
        <v>152</v>
      </c>
      <c r="L45" s="66" t="s">
        <v>152</v>
      </c>
      <c r="M45" s="66" t="s">
        <v>152</v>
      </c>
      <c r="N45" s="66" t="s">
        <v>152</v>
      </c>
      <c r="O45" s="66" t="s">
        <v>152</v>
      </c>
      <c r="P45" s="66">
        <v>0</v>
      </c>
      <c r="Q45" s="66">
        <v>0</v>
      </c>
      <c r="R45" s="295" t="s">
        <v>152</v>
      </c>
    </row>
    <row r="46" spans="1:18" s="63" customFormat="1" ht="15.6" x14ac:dyDescent="0.3">
      <c r="A46" s="75" t="s">
        <v>33</v>
      </c>
      <c r="B46" s="70" t="s">
        <v>152</v>
      </c>
      <c r="C46" s="66" t="s">
        <v>152</v>
      </c>
      <c r="D46" s="66" t="s">
        <v>152</v>
      </c>
      <c r="E46" s="66" t="s">
        <v>152</v>
      </c>
      <c r="F46" s="66" t="s">
        <v>152</v>
      </c>
      <c r="G46" s="66" t="s">
        <v>152</v>
      </c>
      <c r="H46" s="66" t="s">
        <v>152</v>
      </c>
      <c r="I46" s="66" t="s">
        <v>152</v>
      </c>
      <c r="J46" s="66" t="s">
        <v>152</v>
      </c>
      <c r="K46" s="66" t="s">
        <v>152</v>
      </c>
      <c r="L46" s="66" t="s">
        <v>152</v>
      </c>
      <c r="M46" s="66" t="s">
        <v>152</v>
      </c>
      <c r="N46" s="66" t="s">
        <v>152</v>
      </c>
      <c r="O46" s="66" t="s">
        <v>152</v>
      </c>
      <c r="P46" s="66">
        <v>-1066</v>
      </c>
      <c r="Q46" s="66">
        <v>0</v>
      </c>
      <c r="R46" s="295" t="s">
        <v>152</v>
      </c>
    </row>
    <row r="47" spans="1:18" s="63" customFormat="1" ht="15.6" x14ac:dyDescent="0.3">
      <c r="A47" s="75" t="s">
        <v>34</v>
      </c>
      <c r="B47" s="70" t="s">
        <v>152</v>
      </c>
      <c r="C47" s="66" t="s">
        <v>152</v>
      </c>
      <c r="D47" s="66" t="s">
        <v>152</v>
      </c>
      <c r="E47" s="66" t="s">
        <v>152</v>
      </c>
      <c r="F47" s="66" t="s">
        <v>152</v>
      </c>
      <c r="G47" s="66" t="s">
        <v>152</v>
      </c>
      <c r="H47" s="66" t="s">
        <v>152</v>
      </c>
      <c r="I47" s="66" t="s">
        <v>152</v>
      </c>
      <c r="J47" s="66" t="s">
        <v>152</v>
      </c>
      <c r="K47" s="66" t="s">
        <v>152</v>
      </c>
      <c r="L47" s="66" t="s">
        <v>152</v>
      </c>
      <c r="M47" s="66" t="s">
        <v>152</v>
      </c>
      <c r="N47" s="66" t="s">
        <v>152</v>
      </c>
      <c r="O47" s="275">
        <v>0</v>
      </c>
      <c r="P47" s="66">
        <v>0</v>
      </c>
      <c r="Q47" s="66">
        <v>0</v>
      </c>
      <c r="R47" s="295" t="s">
        <v>152</v>
      </c>
    </row>
    <row r="48" spans="1:18" s="63" customFormat="1" ht="16.2" thickBot="1" x14ac:dyDescent="0.35">
      <c r="A48" s="88" t="s">
        <v>36</v>
      </c>
      <c r="B48" s="104" t="s">
        <v>152</v>
      </c>
      <c r="C48" s="71" t="s">
        <v>152</v>
      </c>
      <c r="D48" s="71" t="s">
        <v>152</v>
      </c>
      <c r="E48" s="71" t="s">
        <v>152</v>
      </c>
      <c r="F48" s="71" t="s">
        <v>152</v>
      </c>
      <c r="G48" s="71" t="s">
        <v>152</v>
      </c>
      <c r="H48" s="71" t="s">
        <v>152</v>
      </c>
      <c r="I48" s="71" t="s">
        <v>152</v>
      </c>
      <c r="J48" s="71" t="s">
        <v>152</v>
      </c>
      <c r="K48" s="71" t="s">
        <v>152</v>
      </c>
      <c r="L48" s="71" t="s">
        <v>152</v>
      </c>
      <c r="M48" s="71" t="s">
        <v>152</v>
      </c>
      <c r="N48" s="71" t="s">
        <v>152</v>
      </c>
      <c r="O48" s="71">
        <v>0</v>
      </c>
      <c r="P48" s="71">
        <v>0</v>
      </c>
      <c r="Q48" s="71">
        <v>-105</v>
      </c>
      <c r="R48" s="292" t="s">
        <v>152</v>
      </c>
    </row>
    <row r="49" spans="1:19" s="63" customFormat="1" ht="16.2" thickTop="1" x14ac:dyDescent="0.3">
      <c r="A49" s="89" t="s">
        <v>37</v>
      </c>
      <c r="B49" s="90" t="s">
        <v>152</v>
      </c>
      <c r="C49" s="73" t="s">
        <v>152</v>
      </c>
      <c r="D49" s="73" t="s">
        <v>152</v>
      </c>
      <c r="E49" s="73" t="s">
        <v>152</v>
      </c>
      <c r="F49" s="73" t="s">
        <v>152</v>
      </c>
      <c r="G49" s="73" t="s">
        <v>152</v>
      </c>
      <c r="H49" s="73" t="s">
        <v>152</v>
      </c>
      <c r="I49" s="73" t="s">
        <v>152</v>
      </c>
      <c r="J49" s="73" t="s">
        <v>152</v>
      </c>
      <c r="K49" s="73" t="s">
        <v>152</v>
      </c>
      <c r="L49" s="73" t="s">
        <v>152</v>
      </c>
      <c r="M49" s="73" t="s">
        <v>152</v>
      </c>
      <c r="N49" s="73" t="s">
        <v>152</v>
      </c>
      <c r="O49" s="273">
        <f t="shared" ref="O49:P49" si="4">SUM(O37:O48)</f>
        <v>0</v>
      </c>
      <c r="P49" s="273">
        <f t="shared" si="4"/>
        <v>-1141</v>
      </c>
      <c r="Q49" s="273">
        <f t="shared" ref="Q49:R49" si="5">SUM(Q37:Q48)</f>
        <v>-105</v>
      </c>
      <c r="R49" s="288">
        <f t="shared" si="5"/>
        <v>-502</v>
      </c>
    </row>
    <row r="50" spans="1:19" s="113" customFormat="1" ht="6.6" x14ac:dyDescent="0.3">
      <c r="A50" s="371" t="s">
        <v>174</v>
      </c>
      <c r="B50" s="371"/>
      <c r="C50" s="371"/>
      <c r="D50" s="371"/>
      <c r="E50" s="371"/>
      <c r="F50" s="371"/>
      <c r="G50" s="371"/>
      <c r="H50" s="371"/>
      <c r="I50" s="371"/>
      <c r="J50" s="371"/>
      <c r="K50" s="371"/>
      <c r="L50" s="371"/>
      <c r="M50" s="371"/>
      <c r="N50" s="371"/>
      <c r="O50" s="371"/>
      <c r="P50" s="371"/>
      <c r="Q50" s="371"/>
      <c r="R50" s="371"/>
    </row>
    <row r="51" spans="1:19" s="111" customFormat="1" ht="13.8" x14ac:dyDescent="0.3">
      <c r="A51" s="373" t="s">
        <v>176</v>
      </c>
      <c r="B51" s="373"/>
      <c r="C51" s="373"/>
      <c r="D51" s="373"/>
      <c r="E51" s="373"/>
      <c r="F51" s="373"/>
      <c r="G51" s="373"/>
      <c r="H51" s="373"/>
      <c r="I51" s="373"/>
      <c r="J51" s="373"/>
      <c r="K51" s="373"/>
      <c r="L51" s="373"/>
      <c r="M51" s="373"/>
      <c r="N51" s="373"/>
      <c r="O51" s="373"/>
      <c r="P51" s="373"/>
      <c r="Q51" s="373"/>
      <c r="R51" s="373"/>
    </row>
    <row r="52" spans="1:19" s="111" customFormat="1" ht="13.8" x14ac:dyDescent="0.3">
      <c r="A52" s="384" t="str">
        <f>'Local SUT'!A60</f>
        <v>Source:  Minnesota Department of Revenue, Tax Research Division, February 2021</v>
      </c>
      <c r="B52" s="384"/>
      <c r="C52" s="384"/>
      <c r="D52" s="384"/>
      <c r="E52" s="384"/>
      <c r="F52" s="384"/>
      <c r="G52" s="384"/>
      <c r="H52" s="384"/>
      <c r="I52" s="384"/>
      <c r="J52" s="384"/>
      <c r="K52" s="384"/>
      <c r="L52" s="384"/>
      <c r="M52" s="384"/>
      <c r="N52" s="384"/>
      <c r="O52" s="384"/>
      <c r="P52" s="384"/>
      <c r="Q52" s="384"/>
      <c r="R52" s="384"/>
      <c r="S52" s="300"/>
    </row>
    <row r="53" spans="1:19" s="111" customFormat="1" ht="13.8" x14ac:dyDescent="0.3">
      <c r="A53" s="379" t="s">
        <v>151</v>
      </c>
      <c r="B53" s="379"/>
      <c r="C53" s="379"/>
      <c r="D53" s="379"/>
      <c r="E53" s="379"/>
      <c r="F53" s="379"/>
      <c r="G53" s="379"/>
      <c r="H53" s="379"/>
      <c r="I53" s="379"/>
      <c r="J53" s="379"/>
      <c r="K53" s="379"/>
      <c r="L53" s="379"/>
      <c r="M53" s="379"/>
      <c r="N53" s="379"/>
      <c r="O53" s="379"/>
      <c r="P53" s="379"/>
      <c r="Q53" s="379"/>
      <c r="R53" s="379"/>
    </row>
    <row r="54" spans="1:19" x14ac:dyDescent="0.3">
      <c r="R54" s="117"/>
    </row>
  </sheetData>
  <mergeCells count="11">
    <mergeCell ref="A35:R35"/>
    <mergeCell ref="A50:R50"/>
    <mergeCell ref="A51:R51"/>
    <mergeCell ref="A52:R52"/>
    <mergeCell ref="A53:R53"/>
    <mergeCell ref="A34:R34"/>
    <mergeCell ref="A1:S1"/>
    <mergeCell ref="A2:R2"/>
    <mergeCell ref="A3:R3"/>
    <mergeCell ref="A18:R18"/>
    <mergeCell ref="A19:R19"/>
  </mergeCells>
  <pageMargins left="0.5" right="0.5" top="0.75" bottom="0.75" header="0.3" footer="0.3"/>
  <pageSetup scale="86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>
    <pageSetUpPr fitToPage="1"/>
  </sheetPr>
  <dimension ref="A1:R54"/>
  <sheetViews>
    <sheetView showGridLines="0" workbookViewId="0">
      <pane ySplit="1" topLeftCell="A2" activePane="bottomLeft" state="frozen"/>
      <selection pane="bottomLeft" sqref="A1:R1"/>
    </sheetView>
  </sheetViews>
  <sheetFormatPr defaultColWidth="12.5546875" defaultRowHeight="14.4" x14ac:dyDescent="0.3"/>
  <cols>
    <col min="1" max="1" width="12.5546875" style="173"/>
    <col min="2" max="9" width="13.5546875" style="173" hidden="1" customWidth="1"/>
    <col min="10" max="17" width="13.5546875" style="173" customWidth="1"/>
    <col min="18" max="18" width="13.5546875" style="145" customWidth="1"/>
    <col min="19" max="16384" width="12.5546875" style="173"/>
  </cols>
  <sheetData>
    <row r="1" spans="1:18" s="112" customFormat="1" ht="21" x14ac:dyDescent="0.3">
      <c r="A1" s="380" t="s">
        <v>198</v>
      </c>
      <c r="B1" s="380"/>
      <c r="C1" s="380"/>
      <c r="D1" s="380"/>
      <c r="E1" s="380"/>
      <c r="F1" s="380"/>
      <c r="G1" s="380"/>
      <c r="H1" s="380"/>
      <c r="I1" s="380"/>
      <c r="J1" s="380"/>
      <c r="K1" s="380"/>
      <c r="L1" s="380"/>
      <c r="M1" s="380"/>
      <c r="N1" s="380"/>
      <c r="O1" s="380"/>
      <c r="P1" s="380"/>
      <c r="Q1" s="380"/>
      <c r="R1" s="380"/>
    </row>
    <row r="2" spans="1:18" s="106" customFormat="1" ht="18" x14ac:dyDescent="0.3">
      <c r="A2" s="381" t="str">
        <f>'Local SUT'!A2</f>
        <v>CY 2004-2020</v>
      </c>
      <c r="B2" s="381"/>
      <c r="C2" s="381"/>
      <c r="D2" s="381"/>
      <c r="E2" s="381"/>
      <c r="F2" s="381"/>
      <c r="G2" s="381"/>
      <c r="H2" s="381"/>
      <c r="I2" s="381"/>
      <c r="J2" s="381"/>
      <c r="K2" s="381"/>
      <c r="L2" s="381"/>
      <c r="M2" s="381"/>
      <c r="N2" s="381"/>
      <c r="O2" s="381"/>
      <c r="P2" s="381"/>
      <c r="Q2" s="381"/>
      <c r="R2" s="381"/>
    </row>
    <row r="3" spans="1:18" s="106" customFormat="1" ht="18" x14ac:dyDescent="0.3">
      <c r="A3" s="370" t="s">
        <v>100</v>
      </c>
      <c r="B3" s="370"/>
      <c r="C3" s="370"/>
      <c r="D3" s="370"/>
      <c r="E3" s="370"/>
      <c r="F3" s="370"/>
      <c r="G3" s="370"/>
      <c r="H3" s="370"/>
      <c r="I3" s="370"/>
      <c r="J3" s="370"/>
      <c r="K3" s="370"/>
      <c r="L3" s="370"/>
      <c r="M3" s="370"/>
      <c r="N3" s="370"/>
      <c r="O3" s="370"/>
      <c r="P3" s="370"/>
      <c r="Q3" s="370"/>
      <c r="R3" s="370"/>
    </row>
    <row r="4" spans="1:18" s="63" customFormat="1" ht="15.6" x14ac:dyDescent="0.3">
      <c r="A4" s="77" t="s">
        <v>23</v>
      </c>
      <c r="B4" s="91">
        <v>2004</v>
      </c>
      <c r="C4" s="64">
        <v>2005</v>
      </c>
      <c r="D4" s="64">
        <v>2006</v>
      </c>
      <c r="E4" s="64">
        <v>2007</v>
      </c>
      <c r="F4" s="64">
        <v>2008</v>
      </c>
      <c r="G4" s="64">
        <v>2009</v>
      </c>
      <c r="H4" s="64">
        <v>2010</v>
      </c>
      <c r="I4" s="64">
        <v>2011</v>
      </c>
      <c r="J4" s="65">
        <v>2012</v>
      </c>
      <c r="K4" s="65">
        <v>2013</v>
      </c>
      <c r="L4" s="65">
        <v>2014</v>
      </c>
      <c r="M4" s="65">
        <v>2015</v>
      </c>
      <c r="N4" s="65">
        <v>2016</v>
      </c>
      <c r="O4" s="65">
        <v>2017</v>
      </c>
      <c r="P4" s="65">
        <v>2018</v>
      </c>
      <c r="Q4" s="65">
        <v>2019</v>
      </c>
      <c r="R4" s="49">
        <v>2020</v>
      </c>
    </row>
    <row r="5" spans="1:18" s="63" customFormat="1" ht="15.6" x14ac:dyDescent="0.3">
      <c r="A5" s="76" t="s">
        <v>24</v>
      </c>
      <c r="B5" s="108" t="s">
        <v>152</v>
      </c>
      <c r="C5" s="107" t="s">
        <v>152</v>
      </c>
      <c r="D5" s="107" t="s">
        <v>152</v>
      </c>
      <c r="E5" s="107" t="s">
        <v>152</v>
      </c>
      <c r="F5" s="107" t="s">
        <v>152</v>
      </c>
      <c r="G5" s="107" t="s">
        <v>152</v>
      </c>
      <c r="H5" s="107" t="s">
        <v>152</v>
      </c>
      <c r="I5" s="107" t="s">
        <v>152</v>
      </c>
      <c r="J5" s="83" t="s">
        <v>152</v>
      </c>
      <c r="K5" s="271">
        <v>113430</v>
      </c>
      <c r="L5" s="271">
        <v>138483</v>
      </c>
      <c r="M5" s="271">
        <v>117471</v>
      </c>
      <c r="N5" s="271">
        <v>114598</v>
      </c>
      <c r="O5" s="271">
        <v>118749</v>
      </c>
      <c r="P5" s="271">
        <v>-777</v>
      </c>
      <c r="Q5" s="271">
        <v>110676</v>
      </c>
      <c r="R5" s="286">
        <v>114212</v>
      </c>
    </row>
    <row r="6" spans="1:18" s="63" customFormat="1" ht="15.6" x14ac:dyDescent="0.3">
      <c r="A6" s="75" t="s">
        <v>25</v>
      </c>
      <c r="B6" s="170" t="s">
        <v>152</v>
      </c>
      <c r="C6" s="67" t="s">
        <v>152</v>
      </c>
      <c r="D6" s="67" t="s">
        <v>152</v>
      </c>
      <c r="E6" s="67" t="s">
        <v>152</v>
      </c>
      <c r="F6" s="67" t="s">
        <v>152</v>
      </c>
      <c r="G6" s="67" t="s">
        <v>152</v>
      </c>
      <c r="H6" s="67" t="s">
        <v>152</v>
      </c>
      <c r="I6" s="67" t="s">
        <v>152</v>
      </c>
      <c r="J6" s="275">
        <v>65616</v>
      </c>
      <c r="K6" s="66">
        <v>78142</v>
      </c>
      <c r="L6" s="66">
        <v>79512</v>
      </c>
      <c r="M6" s="66">
        <v>83262</v>
      </c>
      <c r="N6" s="66">
        <v>81429</v>
      </c>
      <c r="O6" s="66">
        <v>4700</v>
      </c>
      <c r="P6" s="66">
        <v>75070</v>
      </c>
      <c r="Q6" s="66">
        <v>89982</v>
      </c>
      <c r="R6" s="287">
        <v>90738</v>
      </c>
    </row>
    <row r="7" spans="1:18" s="63" customFormat="1" ht="15.6" x14ac:dyDescent="0.3">
      <c r="A7" s="75" t="s">
        <v>26</v>
      </c>
      <c r="B7" s="170" t="s">
        <v>152</v>
      </c>
      <c r="C7" s="67" t="s">
        <v>152</v>
      </c>
      <c r="D7" s="67" t="s">
        <v>152</v>
      </c>
      <c r="E7" s="67" t="s">
        <v>152</v>
      </c>
      <c r="F7" s="67" t="s">
        <v>152</v>
      </c>
      <c r="G7" s="67" t="s">
        <v>152</v>
      </c>
      <c r="H7" s="67" t="s">
        <v>152</v>
      </c>
      <c r="I7" s="67" t="s">
        <v>152</v>
      </c>
      <c r="J7" s="66">
        <v>69518</v>
      </c>
      <c r="K7" s="66">
        <v>72362</v>
      </c>
      <c r="L7" s="66">
        <v>78260</v>
      </c>
      <c r="M7" s="66">
        <v>76289</v>
      </c>
      <c r="N7" s="66">
        <v>85133</v>
      </c>
      <c r="O7" s="66">
        <v>1476</v>
      </c>
      <c r="P7" s="66">
        <v>76671</v>
      </c>
      <c r="Q7" s="66">
        <v>79180</v>
      </c>
      <c r="R7" s="287">
        <v>82058</v>
      </c>
    </row>
    <row r="8" spans="1:18" s="63" customFormat="1" ht="15.6" x14ac:dyDescent="0.3">
      <c r="A8" s="75" t="s">
        <v>27</v>
      </c>
      <c r="B8" s="170" t="s">
        <v>152</v>
      </c>
      <c r="C8" s="67" t="s">
        <v>152</v>
      </c>
      <c r="D8" s="67" t="s">
        <v>152</v>
      </c>
      <c r="E8" s="67" t="s">
        <v>152</v>
      </c>
      <c r="F8" s="67" t="s">
        <v>152</v>
      </c>
      <c r="G8" s="67" t="s">
        <v>152</v>
      </c>
      <c r="H8" s="67" t="s">
        <v>152</v>
      </c>
      <c r="I8" s="67" t="s">
        <v>152</v>
      </c>
      <c r="J8" s="66">
        <v>87297</v>
      </c>
      <c r="K8" s="66">
        <v>80850</v>
      </c>
      <c r="L8" s="66">
        <v>97617</v>
      </c>
      <c r="M8" s="66">
        <v>96376</v>
      </c>
      <c r="N8" s="66">
        <v>97774</v>
      </c>
      <c r="O8" s="66">
        <v>2095</v>
      </c>
      <c r="P8" s="66">
        <v>93045</v>
      </c>
      <c r="Q8" s="66">
        <v>98469</v>
      </c>
      <c r="R8" s="287">
        <v>95744</v>
      </c>
    </row>
    <row r="9" spans="1:18" s="63" customFormat="1" ht="15.6" x14ac:dyDescent="0.3">
      <c r="A9" s="75" t="s">
        <v>28</v>
      </c>
      <c r="B9" s="170" t="s">
        <v>152</v>
      </c>
      <c r="C9" s="67" t="s">
        <v>152</v>
      </c>
      <c r="D9" s="67" t="s">
        <v>152</v>
      </c>
      <c r="E9" s="67" t="s">
        <v>152</v>
      </c>
      <c r="F9" s="67" t="s">
        <v>152</v>
      </c>
      <c r="G9" s="67" t="s">
        <v>152</v>
      </c>
      <c r="H9" s="67" t="s">
        <v>152</v>
      </c>
      <c r="I9" s="67" t="s">
        <v>152</v>
      </c>
      <c r="J9" s="66">
        <v>90892</v>
      </c>
      <c r="K9" s="66">
        <v>87587</v>
      </c>
      <c r="L9" s="66">
        <v>103705</v>
      </c>
      <c r="M9" s="66">
        <v>106863</v>
      </c>
      <c r="N9" s="66">
        <v>105735</v>
      </c>
      <c r="O9" s="66">
        <v>6242</v>
      </c>
      <c r="P9" s="66">
        <v>103398</v>
      </c>
      <c r="Q9" s="66">
        <v>104693</v>
      </c>
      <c r="R9" s="287">
        <v>103498</v>
      </c>
    </row>
    <row r="10" spans="1:18" s="63" customFormat="1" ht="15.6" x14ac:dyDescent="0.3">
      <c r="A10" s="75" t="s">
        <v>29</v>
      </c>
      <c r="B10" s="170" t="s">
        <v>152</v>
      </c>
      <c r="C10" s="67" t="s">
        <v>152</v>
      </c>
      <c r="D10" s="67" t="s">
        <v>152</v>
      </c>
      <c r="E10" s="67" t="s">
        <v>152</v>
      </c>
      <c r="F10" s="67" t="s">
        <v>152</v>
      </c>
      <c r="G10" s="67" t="s">
        <v>152</v>
      </c>
      <c r="H10" s="67" t="s">
        <v>152</v>
      </c>
      <c r="I10" s="67" t="s">
        <v>152</v>
      </c>
      <c r="J10" s="66">
        <v>99098</v>
      </c>
      <c r="K10" s="66">
        <v>109203</v>
      </c>
      <c r="L10" s="66">
        <v>106877</v>
      </c>
      <c r="M10" s="66">
        <v>114079</v>
      </c>
      <c r="N10" s="66">
        <v>117194</v>
      </c>
      <c r="O10" s="66">
        <v>2212</v>
      </c>
      <c r="P10" s="66">
        <v>130935</v>
      </c>
      <c r="Q10" s="66">
        <v>120182</v>
      </c>
      <c r="R10" s="287">
        <v>134452</v>
      </c>
    </row>
    <row r="11" spans="1:18" s="63" customFormat="1" ht="15.6" x14ac:dyDescent="0.3">
      <c r="A11" s="75" t="s">
        <v>30</v>
      </c>
      <c r="B11" s="170" t="s">
        <v>152</v>
      </c>
      <c r="C11" s="67" t="s">
        <v>152</v>
      </c>
      <c r="D11" s="67" t="s">
        <v>152</v>
      </c>
      <c r="E11" s="67" t="s">
        <v>152</v>
      </c>
      <c r="F11" s="67" t="s">
        <v>152</v>
      </c>
      <c r="G11" s="67" t="s">
        <v>152</v>
      </c>
      <c r="H11" s="67" t="s">
        <v>152</v>
      </c>
      <c r="I11" s="67" t="s">
        <v>152</v>
      </c>
      <c r="J11" s="66">
        <v>94145</v>
      </c>
      <c r="K11" s="66">
        <v>103897</v>
      </c>
      <c r="L11" s="66">
        <v>108645</v>
      </c>
      <c r="M11" s="66">
        <v>110425</v>
      </c>
      <c r="N11" s="66">
        <v>119903</v>
      </c>
      <c r="O11" s="66">
        <v>1710</v>
      </c>
      <c r="P11" s="66">
        <v>120027</v>
      </c>
      <c r="Q11" s="66">
        <v>122009</v>
      </c>
      <c r="R11" s="291" t="s">
        <v>152</v>
      </c>
    </row>
    <row r="12" spans="1:18" s="63" customFormat="1" ht="15.6" x14ac:dyDescent="0.3">
      <c r="A12" s="75" t="s">
        <v>31</v>
      </c>
      <c r="B12" s="170" t="s">
        <v>152</v>
      </c>
      <c r="C12" s="67" t="s">
        <v>152</v>
      </c>
      <c r="D12" s="67" t="s">
        <v>152</v>
      </c>
      <c r="E12" s="67" t="s">
        <v>152</v>
      </c>
      <c r="F12" s="67" t="s">
        <v>152</v>
      </c>
      <c r="G12" s="67" t="s">
        <v>152</v>
      </c>
      <c r="H12" s="67" t="s">
        <v>152</v>
      </c>
      <c r="I12" s="67" t="s">
        <v>152</v>
      </c>
      <c r="J12" s="66">
        <v>110147</v>
      </c>
      <c r="K12" s="66">
        <v>117032</v>
      </c>
      <c r="L12" s="66">
        <v>126203</v>
      </c>
      <c r="M12" s="66">
        <v>129546</v>
      </c>
      <c r="N12" s="66">
        <v>119541</v>
      </c>
      <c r="O12" s="66">
        <v>3418</v>
      </c>
      <c r="P12" s="66">
        <v>119157</v>
      </c>
      <c r="Q12" s="66">
        <v>127586</v>
      </c>
      <c r="R12" s="295" t="s">
        <v>152</v>
      </c>
    </row>
    <row r="13" spans="1:18" s="63" customFormat="1" ht="15.6" x14ac:dyDescent="0.3">
      <c r="A13" s="75" t="s">
        <v>32</v>
      </c>
      <c r="B13" s="170" t="s">
        <v>152</v>
      </c>
      <c r="C13" s="67" t="s">
        <v>152</v>
      </c>
      <c r="D13" s="67" t="s">
        <v>152</v>
      </c>
      <c r="E13" s="67" t="s">
        <v>152</v>
      </c>
      <c r="F13" s="67" t="s">
        <v>152</v>
      </c>
      <c r="G13" s="67" t="s">
        <v>152</v>
      </c>
      <c r="H13" s="67" t="s">
        <v>152</v>
      </c>
      <c r="I13" s="67" t="s">
        <v>152</v>
      </c>
      <c r="J13" s="66">
        <v>99534</v>
      </c>
      <c r="K13" s="66">
        <v>100386</v>
      </c>
      <c r="L13" s="66">
        <v>105193</v>
      </c>
      <c r="M13" s="66">
        <v>101548</v>
      </c>
      <c r="N13" s="66">
        <v>105058</v>
      </c>
      <c r="O13" s="66">
        <v>2141</v>
      </c>
      <c r="P13" s="66">
        <v>109285</v>
      </c>
      <c r="Q13" s="66">
        <v>114383</v>
      </c>
      <c r="R13" s="295" t="s">
        <v>152</v>
      </c>
    </row>
    <row r="14" spans="1:18" s="63" customFormat="1" ht="15.6" x14ac:dyDescent="0.3">
      <c r="A14" s="75" t="s">
        <v>33</v>
      </c>
      <c r="B14" s="170" t="s">
        <v>152</v>
      </c>
      <c r="C14" s="67" t="s">
        <v>152</v>
      </c>
      <c r="D14" s="67" t="s">
        <v>152</v>
      </c>
      <c r="E14" s="67" t="s">
        <v>152</v>
      </c>
      <c r="F14" s="67" t="s">
        <v>152</v>
      </c>
      <c r="G14" s="67" t="s">
        <v>152</v>
      </c>
      <c r="H14" s="67" t="s">
        <v>152</v>
      </c>
      <c r="I14" s="67" t="s">
        <v>152</v>
      </c>
      <c r="J14" s="66">
        <v>94824</v>
      </c>
      <c r="K14" s="66">
        <v>103959</v>
      </c>
      <c r="L14" s="66">
        <v>108342</v>
      </c>
      <c r="M14" s="66">
        <v>105488</v>
      </c>
      <c r="N14" s="66">
        <v>106269</v>
      </c>
      <c r="O14" s="66">
        <v>1619</v>
      </c>
      <c r="P14" s="66">
        <v>114959</v>
      </c>
      <c r="Q14" s="66">
        <v>111699</v>
      </c>
      <c r="R14" s="295" t="s">
        <v>152</v>
      </c>
    </row>
    <row r="15" spans="1:18" s="63" customFormat="1" ht="15.6" x14ac:dyDescent="0.3">
      <c r="A15" s="75" t="s">
        <v>34</v>
      </c>
      <c r="B15" s="170" t="s">
        <v>152</v>
      </c>
      <c r="C15" s="67" t="s">
        <v>152</v>
      </c>
      <c r="D15" s="67" t="s">
        <v>152</v>
      </c>
      <c r="E15" s="67" t="s">
        <v>152</v>
      </c>
      <c r="F15" s="67" t="s">
        <v>152</v>
      </c>
      <c r="G15" s="67" t="s">
        <v>152</v>
      </c>
      <c r="H15" s="67" t="s">
        <v>152</v>
      </c>
      <c r="I15" s="67" t="s">
        <v>152</v>
      </c>
      <c r="J15" s="66">
        <v>94183</v>
      </c>
      <c r="K15" s="66">
        <v>97633</v>
      </c>
      <c r="L15" s="66">
        <v>105709</v>
      </c>
      <c r="M15" s="66">
        <v>98642</v>
      </c>
      <c r="N15" s="66">
        <v>102589</v>
      </c>
      <c r="O15" s="66">
        <v>-81</v>
      </c>
      <c r="P15" s="66">
        <v>103778</v>
      </c>
      <c r="Q15" s="66">
        <v>112851</v>
      </c>
      <c r="R15" s="295" t="s">
        <v>152</v>
      </c>
    </row>
    <row r="16" spans="1:18" s="63" customFormat="1" ht="16.2" thickBot="1" x14ac:dyDescent="0.35">
      <c r="A16" s="88" t="s">
        <v>36</v>
      </c>
      <c r="B16" s="87" t="s">
        <v>152</v>
      </c>
      <c r="C16" s="72" t="s">
        <v>152</v>
      </c>
      <c r="D16" s="72" t="s">
        <v>152</v>
      </c>
      <c r="E16" s="72" t="s">
        <v>152</v>
      </c>
      <c r="F16" s="72" t="s">
        <v>152</v>
      </c>
      <c r="G16" s="72" t="s">
        <v>152</v>
      </c>
      <c r="H16" s="72" t="s">
        <v>152</v>
      </c>
      <c r="I16" s="72" t="s">
        <v>152</v>
      </c>
      <c r="J16" s="71">
        <v>87040</v>
      </c>
      <c r="K16" s="71">
        <v>93862</v>
      </c>
      <c r="L16" s="71">
        <v>100241</v>
      </c>
      <c r="M16" s="71">
        <v>98298</v>
      </c>
      <c r="N16" s="71">
        <v>98800</v>
      </c>
      <c r="O16" s="71">
        <v>-46</v>
      </c>
      <c r="P16" s="71">
        <v>97159</v>
      </c>
      <c r="Q16" s="71">
        <v>103384</v>
      </c>
      <c r="R16" s="292" t="s">
        <v>152</v>
      </c>
    </row>
    <row r="17" spans="1:18" s="63" customFormat="1" ht="16.2" thickTop="1" x14ac:dyDescent="0.3">
      <c r="A17" s="89" t="s">
        <v>37</v>
      </c>
      <c r="B17" s="90" t="s">
        <v>152</v>
      </c>
      <c r="C17" s="73" t="s">
        <v>152</v>
      </c>
      <c r="D17" s="73" t="s">
        <v>152</v>
      </c>
      <c r="E17" s="73" t="s">
        <v>152</v>
      </c>
      <c r="F17" s="73" t="s">
        <v>152</v>
      </c>
      <c r="G17" s="73" t="s">
        <v>152</v>
      </c>
      <c r="H17" s="73" t="s">
        <v>152</v>
      </c>
      <c r="I17" s="73" t="s">
        <v>152</v>
      </c>
      <c r="J17" s="273">
        <f t="shared" ref="J17:P17" si="0">SUM(J5:J16)</f>
        <v>992294</v>
      </c>
      <c r="K17" s="273">
        <f t="shared" si="0"/>
        <v>1158343</v>
      </c>
      <c r="L17" s="273">
        <f t="shared" si="0"/>
        <v>1258787</v>
      </c>
      <c r="M17" s="273">
        <f t="shared" si="0"/>
        <v>1238287</v>
      </c>
      <c r="N17" s="273">
        <f t="shared" si="0"/>
        <v>1254023</v>
      </c>
      <c r="O17" s="273">
        <f t="shared" si="0"/>
        <v>144235</v>
      </c>
      <c r="P17" s="273">
        <f t="shared" si="0"/>
        <v>1142707</v>
      </c>
      <c r="Q17" s="273">
        <f t="shared" ref="Q17:R17" si="1">SUM(Q5:Q16)</f>
        <v>1295094</v>
      </c>
      <c r="R17" s="288">
        <f t="shared" si="1"/>
        <v>620702</v>
      </c>
    </row>
    <row r="18" spans="1:18" s="113" customFormat="1" ht="6.6" x14ac:dyDescent="0.3">
      <c r="A18" s="371" t="s">
        <v>174</v>
      </c>
      <c r="B18" s="371"/>
      <c r="C18" s="371"/>
      <c r="D18" s="371"/>
      <c r="E18" s="371"/>
      <c r="F18" s="371"/>
      <c r="G18" s="371"/>
      <c r="H18" s="371"/>
      <c r="I18" s="371"/>
      <c r="J18" s="371"/>
      <c r="K18" s="371"/>
      <c r="L18" s="371"/>
      <c r="M18" s="371"/>
      <c r="N18" s="371"/>
      <c r="O18" s="371"/>
      <c r="P18" s="371"/>
      <c r="Q18" s="371"/>
      <c r="R18" s="371"/>
    </row>
    <row r="19" spans="1:18" s="106" customFormat="1" ht="18" x14ac:dyDescent="0.3">
      <c r="A19" s="370" t="s">
        <v>101</v>
      </c>
      <c r="B19" s="370"/>
      <c r="C19" s="370"/>
      <c r="D19" s="370"/>
      <c r="E19" s="370"/>
      <c r="F19" s="370"/>
      <c r="G19" s="370"/>
      <c r="H19" s="370"/>
      <c r="I19" s="370"/>
      <c r="J19" s="370"/>
      <c r="K19" s="370"/>
      <c r="L19" s="370"/>
      <c r="M19" s="370"/>
      <c r="N19" s="370"/>
      <c r="O19" s="370"/>
      <c r="P19" s="370"/>
      <c r="Q19" s="370"/>
      <c r="R19" s="370"/>
    </row>
    <row r="20" spans="1:18" s="63" customFormat="1" ht="15.6" x14ac:dyDescent="0.3">
      <c r="A20" s="77" t="s">
        <v>23</v>
      </c>
      <c r="B20" s="91">
        <v>2004</v>
      </c>
      <c r="C20" s="64">
        <v>2005</v>
      </c>
      <c r="D20" s="64">
        <v>2006</v>
      </c>
      <c r="E20" s="64">
        <v>2007</v>
      </c>
      <c r="F20" s="64">
        <v>2008</v>
      </c>
      <c r="G20" s="64">
        <v>2009</v>
      </c>
      <c r="H20" s="64">
        <v>2010</v>
      </c>
      <c r="I20" s="64">
        <v>2011</v>
      </c>
      <c r="J20" s="65">
        <v>2012</v>
      </c>
      <c r="K20" s="65">
        <v>2013</v>
      </c>
      <c r="L20" s="65">
        <v>2014</v>
      </c>
      <c r="M20" s="65">
        <v>2015</v>
      </c>
      <c r="N20" s="65">
        <v>2016</v>
      </c>
      <c r="O20" s="65">
        <v>2017</v>
      </c>
      <c r="P20" s="65">
        <v>2018</v>
      </c>
      <c r="Q20" s="65">
        <v>2019</v>
      </c>
      <c r="R20" s="49">
        <v>2020</v>
      </c>
    </row>
    <row r="21" spans="1:18" s="63" customFormat="1" ht="15.6" x14ac:dyDescent="0.3">
      <c r="A21" s="76" t="s">
        <v>24</v>
      </c>
      <c r="B21" s="108" t="s">
        <v>152</v>
      </c>
      <c r="C21" s="107" t="s">
        <v>152</v>
      </c>
      <c r="D21" s="107" t="s">
        <v>152</v>
      </c>
      <c r="E21" s="107" t="s">
        <v>152</v>
      </c>
      <c r="F21" s="107" t="s">
        <v>152</v>
      </c>
      <c r="G21" s="107" t="s">
        <v>152</v>
      </c>
      <c r="H21" s="107" t="s">
        <v>152</v>
      </c>
      <c r="I21" s="107" t="s">
        <v>152</v>
      </c>
      <c r="J21" s="83" t="s">
        <v>152</v>
      </c>
      <c r="K21" s="271">
        <v>2391</v>
      </c>
      <c r="L21" s="271">
        <v>4044</v>
      </c>
      <c r="M21" s="271">
        <v>3211</v>
      </c>
      <c r="N21" s="271">
        <v>1848</v>
      </c>
      <c r="O21" s="271">
        <v>4161</v>
      </c>
      <c r="P21" s="271">
        <v>80</v>
      </c>
      <c r="Q21" s="271">
        <v>3392</v>
      </c>
      <c r="R21" s="286">
        <v>4832</v>
      </c>
    </row>
    <row r="22" spans="1:18" s="63" customFormat="1" ht="15.6" x14ac:dyDescent="0.3">
      <c r="A22" s="75" t="s">
        <v>25</v>
      </c>
      <c r="B22" s="170" t="s">
        <v>152</v>
      </c>
      <c r="C22" s="67" t="s">
        <v>152</v>
      </c>
      <c r="D22" s="67" t="s">
        <v>152</v>
      </c>
      <c r="E22" s="67" t="s">
        <v>152</v>
      </c>
      <c r="F22" s="67" t="s">
        <v>152</v>
      </c>
      <c r="G22" s="67" t="s">
        <v>152</v>
      </c>
      <c r="H22" s="67" t="s">
        <v>152</v>
      </c>
      <c r="I22" s="67" t="s">
        <v>152</v>
      </c>
      <c r="J22" s="275">
        <v>2741</v>
      </c>
      <c r="K22" s="66">
        <v>1676</v>
      </c>
      <c r="L22" s="66">
        <v>2454</v>
      </c>
      <c r="M22" s="66">
        <v>2340</v>
      </c>
      <c r="N22" s="66">
        <v>2797</v>
      </c>
      <c r="O22" s="66">
        <v>-626</v>
      </c>
      <c r="P22" s="66">
        <v>2638</v>
      </c>
      <c r="Q22" s="66">
        <v>5607</v>
      </c>
      <c r="R22" s="287">
        <v>4989</v>
      </c>
    </row>
    <row r="23" spans="1:18" s="63" customFormat="1" ht="15.6" x14ac:dyDescent="0.3">
      <c r="A23" s="75" t="s">
        <v>26</v>
      </c>
      <c r="B23" s="170" t="s">
        <v>152</v>
      </c>
      <c r="C23" s="67" t="s">
        <v>152</v>
      </c>
      <c r="D23" s="67" t="s">
        <v>152</v>
      </c>
      <c r="E23" s="67" t="s">
        <v>152</v>
      </c>
      <c r="F23" s="67" t="s">
        <v>152</v>
      </c>
      <c r="G23" s="67" t="s">
        <v>152</v>
      </c>
      <c r="H23" s="67" t="s">
        <v>152</v>
      </c>
      <c r="I23" s="67" t="s">
        <v>152</v>
      </c>
      <c r="J23" s="66">
        <v>2536</v>
      </c>
      <c r="K23" s="66">
        <v>2977</v>
      </c>
      <c r="L23" s="66">
        <v>4373</v>
      </c>
      <c r="M23" s="66">
        <v>1865</v>
      </c>
      <c r="N23" s="66">
        <v>1805</v>
      </c>
      <c r="O23" s="66">
        <v>-337</v>
      </c>
      <c r="P23" s="66">
        <v>3839</v>
      </c>
      <c r="Q23" s="66">
        <v>3284</v>
      </c>
      <c r="R23" s="287">
        <v>3424</v>
      </c>
    </row>
    <row r="24" spans="1:18" s="63" customFormat="1" ht="15.6" x14ac:dyDescent="0.3">
      <c r="A24" s="75" t="s">
        <v>27</v>
      </c>
      <c r="B24" s="170" t="s">
        <v>152</v>
      </c>
      <c r="C24" s="67" t="s">
        <v>152</v>
      </c>
      <c r="D24" s="67" t="s">
        <v>152</v>
      </c>
      <c r="E24" s="67" t="s">
        <v>152</v>
      </c>
      <c r="F24" s="67" t="s">
        <v>152</v>
      </c>
      <c r="G24" s="67" t="s">
        <v>152</v>
      </c>
      <c r="H24" s="67" t="s">
        <v>152</v>
      </c>
      <c r="I24" s="67" t="s">
        <v>152</v>
      </c>
      <c r="J24" s="66">
        <v>2636</v>
      </c>
      <c r="K24" s="66">
        <v>2332</v>
      </c>
      <c r="L24" s="66">
        <v>3651</v>
      </c>
      <c r="M24" s="66">
        <v>2714</v>
      </c>
      <c r="N24" s="66">
        <v>3106</v>
      </c>
      <c r="O24" s="66">
        <v>97</v>
      </c>
      <c r="P24" s="66">
        <v>4588</v>
      </c>
      <c r="Q24" s="66">
        <v>3700</v>
      </c>
      <c r="R24" s="287">
        <v>10008</v>
      </c>
    </row>
    <row r="25" spans="1:18" s="63" customFormat="1" ht="15.6" x14ac:dyDescent="0.3">
      <c r="A25" s="75" t="s">
        <v>28</v>
      </c>
      <c r="B25" s="170" t="s">
        <v>152</v>
      </c>
      <c r="C25" s="67" t="s">
        <v>152</v>
      </c>
      <c r="D25" s="67" t="s">
        <v>152</v>
      </c>
      <c r="E25" s="67" t="s">
        <v>152</v>
      </c>
      <c r="F25" s="67" t="s">
        <v>152</v>
      </c>
      <c r="G25" s="67" t="s">
        <v>152</v>
      </c>
      <c r="H25" s="67" t="s">
        <v>152</v>
      </c>
      <c r="I25" s="67" t="s">
        <v>152</v>
      </c>
      <c r="J25" s="66">
        <v>1305</v>
      </c>
      <c r="K25" s="66">
        <v>2605</v>
      </c>
      <c r="L25" s="66">
        <v>4180</v>
      </c>
      <c r="M25" s="66">
        <v>2159</v>
      </c>
      <c r="N25" s="66">
        <v>2338</v>
      </c>
      <c r="O25" s="66">
        <v>-12</v>
      </c>
      <c r="P25" s="66">
        <v>3942</v>
      </c>
      <c r="Q25" s="66">
        <v>3574</v>
      </c>
      <c r="R25" s="287">
        <v>3529</v>
      </c>
    </row>
    <row r="26" spans="1:18" s="63" customFormat="1" ht="15.6" x14ac:dyDescent="0.3">
      <c r="A26" s="75" t="s">
        <v>29</v>
      </c>
      <c r="B26" s="170" t="s">
        <v>152</v>
      </c>
      <c r="C26" s="67" t="s">
        <v>152</v>
      </c>
      <c r="D26" s="67" t="s">
        <v>152</v>
      </c>
      <c r="E26" s="67" t="s">
        <v>152</v>
      </c>
      <c r="F26" s="67" t="s">
        <v>152</v>
      </c>
      <c r="G26" s="67" t="s">
        <v>152</v>
      </c>
      <c r="H26" s="67" t="s">
        <v>152</v>
      </c>
      <c r="I26" s="67" t="s">
        <v>152</v>
      </c>
      <c r="J26" s="66">
        <v>2308</v>
      </c>
      <c r="K26" s="66">
        <v>2577</v>
      </c>
      <c r="L26" s="66">
        <v>3330</v>
      </c>
      <c r="M26" s="66">
        <v>2685</v>
      </c>
      <c r="N26" s="66">
        <v>2744</v>
      </c>
      <c r="O26" s="66">
        <v>2453</v>
      </c>
      <c r="P26" s="66">
        <v>6664</v>
      </c>
      <c r="Q26" s="66">
        <v>7179</v>
      </c>
      <c r="R26" s="287">
        <v>2472</v>
      </c>
    </row>
    <row r="27" spans="1:18" s="63" customFormat="1" ht="15.6" x14ac:dyDescent="0.3">
      <c r="A27" s="75" t="s">
        <v>30</v>
      </c>
      <c r="B27" s="170" t="s">
        <v>152</v>
      </c>
      <c r="C27" s="67" t="s">
        <v>152</v>
      </c>
      <c r="D27" s="67" t="s">
        <v>152</v>
      </c>
      <c r="E27" s="67" t="s">
        <v>152</v>
      </c>
      <c r="F27" s="67" t="s">
        <v>152</v>
      </c>
      <c r="G27" s="67" t="s">
        <v>152</v>
      </c>
      <c r="H27" s="67" t="s">
        <v>152</v>
      </c>
      <c r="I27" s="67" t="s">
        <v>152</v>
      </c>
      <c r="J27" s="66">
        <v>3287</v>
      </c>
      <c r="K27" s="66">
        <v>2652</v>
      </c>
      <c r="L27" s="66">
        <v>3662</v>
      </c>
      <c r="M27" s="66">
        <v>3861</v>
      </c>
      <c r="N27" s="66">
        <v>4129</v>
      </c>
      <c r="O27" s="66">
        <v>11</v>
      </c>
      <c r="P27" s="66">
        <v>7024</v>
      </c>
      <c r="Q27" s="66">
        <v>3288</v>
      </c>
      <c r="R27" s="295" t="s">
        <v>152</v>
      </c>
    </row>
    <row r="28" spans="1:18" s="63" customFormat="1" ht="15.6" x14ac:dyDescent="0.3">
      <c r="A28" s="75" t="s">
        <v>31</v>
      </c>
      <c r="B28" s="170" t="s">
        <v>152</v>
      </c>
      <c r="C28" s="67" t="s">
        <v>152</v>
      </c>
      <c r="D28" s="67" t="s">
        <v>152</v>
      </c>
      <c r="E28" s="67" t="s">
        <v>152</v>
      </c>
      <c r="F28" s="67" t="s">
        <v>152</v>
      </c>
      <c r="G28" s="67" t="s">
        <v>152</v>
      </c>
      <c r="H28" s="67" t="s">
        <v>152</v>
      </c>
      <c r="I28" s="67" t="s">
        <v>152</v>
      </c>
      <c r="J28" s="66">
        <v>1959</v>
      </c>
      <c r="K28" s="66">
        <v>3044</v>
      </c>
      <c r="L28" s="66">
        <v>3080</v>
      </c>
      <c r="M28" s="66">
        <v>3624</v>
      </c>
      <c r="N28" s="66">
        <v>3610</v>
      </c>
      <c r="O28" s="66">
        <v>-664</v>
      </c>
      <c r="P28" s="66">
        <v>3492</v>
      </c>
      <c r="Q28" s="66">
        <v>6570</v>
      </c>
      <c r="R28" s="295" t="s">
        <v>152</v>
      </c>
    </row>
    <row r="29" spans="1:18" s="63" customFormat="1" ht="15.6" x14ac:dyDescent="0.3">
      <c r="A29" s="75" t="s">
        <v>32</v>
      </c>
      <c r="B29" s="170" t="s">
        <v>152</v>
      </c>
      <c r="C29" s="67" t="s">
        <v>152</v>
      </c>
      <c r="D29" s="67" t="s">
        <v>152</v>
      </c>
      <c r="E29" s="67" t="s">
        <v>152</v>
      </c>
      <c r="F29" s="67" t="s">
        <v>152</v>
      </c>
      <c r="G29" s="67" t="s">
        <v>152</v>
      </c>
      <c r="H29" s="67" t="s">
        <v>152</v>
      </c>
      <c r="I29" s="67" t="s">
        <v>152</v>
      </c>
      <c r="J29" s="66">
        <v>4300</v>
      </c>
      <c r="K29" s="66">
        <v>2392</v>
      </c>
      <c r="L29" s="66">
        <v>2304</v>
      </c>
      <c r="M29" s="66">
        <v>3122</v>
      </c>
      <c r="N29" s="66">
        <v>4087</v>
      </c>
      <c r="O29" s="66">
        <v>561</v>
      </c>
      <c r="P29" s="66">
        <v>3472</v>
      </c>
      <c r="Q29" s="66">
        <v>3819</v>
      </c>
      <c r="R29" s="295" t="s">
        <v>152</v>
      </c>
    </row>
    <row r="30" spans="1:18" s="63" customFormat="1" ht="15.6" x14ac:dyDescent="0.3">
      <c r="A30" s="75" t="s">
        <v>33</v>
      </c>
      <c r="B30" s="170" t="s">
        <v>152</v>
      </c>
      <c r="C30" s="67" t="s">
        <v>152</v>
      </c>
      <c r="D30" s="67" t="s">
        <v>152</v>
      </c>
      <c r="E30" s="67" t="s">
        <v>152</v>
      </c>
      <c r="F30" s="67" t="s">
        <v>152</v>
      </c>
      <c r="G30" s="67" t="s">
        <v>152</v>
      </c>
      <c r="H30" s="67" t="s">
        <v>152</v>
      </c>
      <c r="I30" s="67" t="s">
        <v>152</v>
      </c>
      <c r="J30" s="66">
        <v>2493</v>
      </c>
      <c r="K30" s="66">
        <v>2947</v>
      </c>
      <c r="L30" s="66">
        <v>12150</v>
      </c>
      <c r="M30" s="66">
        <v>3487</v>
      </c>
      <c r="N30" s="66">
        <v>3275</v>
      </c>
      <c r="O30" s="66">
        <v>141</v>
      </c>
      <c r="P30" s="66">
        <v>5092</v>
      </c>
      <c r="Q30" s="66">
        <v>3432</v>
      </c>
      <c r="R30" s="295" t="s">
        <v>152</v>
      </c>
    </row>
    <row r="31" spans="1:18" s="63" customFormat="1" ht="15.6" x14ac:dyDescent="0.3">
      <c r="A31" s="75" t="s">
        <v>34</v>
      </c>
      <c r="B31" s="170" t="s">
        <v>152</v>
      </c>
      <c r="C31" s="67" t="s">
        <v>152</v>
      </c>
      <c r="D31" s="67" t="s">
        <v>152</v>
      </c>
      <c r="E31" s="67" t="s">
        <v>152</v>
      </c>
      <c r="F31" s="67" t="s">
        <v>152</v>
      </c>
      <c r="G31" s="67" t="s">
        <v>152</v>
      </c>
      <c r="H31" s="67" t="s">
        <v>152</v>
      </c>
      <c r="I31" s="67" t="s">
        <v>152</v>
      </c>
      <c r="J31" s="66">
        <v>1590</v>
      </c>
      <c r="K31" s="66">
        <v>2301</v>
      </c>
      <c r="L31" s="66">
        <v>6812</v>
      </c>
      <c r="M31" s="66">
        <v>3049</v>
      </c>
      <c r="N31" s="66">
        <v>3293</v>
      </c>
      <c r="O31" s="66">
        <v>0</v>
      </c>
      <c r="P31" s="66">
        <v>3487</v>
      </c>
      <c r="Q31" s="66">
        <v>3307</v>
      </c>
      <c r="R31" s="295" t="s">
        <v>152</v>
      </c>
    </row>
    <row r="32" spans="1:18" s="63" customFormat="1" ht="16.2" thickBot="1" x14ac:dyDescent="0.35">
      <c r="A32" s="88" t="s">
        <v>36</v>
      </c>
      <c r="B32" s="87" t="s">
        <v>152</v>
      </c>
      <c r="C32" s="72" t="s">
        <v>152</v>
      </c>
      <c r="D32" s="72" t="s">
        <v>152</v>
      </c>
      <c r="E32" s="72" t="s">
        <v>152</v>
      </c>
      <c r="F32" s="72" t="s">
        <v>152</v>
      </c>
      <c r="G32" s="72" t="s">
        <v>152</v>
      </c>
      <c r="H32" s="72" t="s">
        <v>152</v>
      </c>
      <c r="I32" s="72" t="s">
        <v>152</v>
      </c>
      <c r="J32" s="71">
        <v>1790</v>
      </c>
      <c r="K32" s="71">
        <v>3519</v>
      </c>
      <c r="L32" s="71">
        <v>3923</v>
      </c>
      <c r="M32" s="71">
        <v>1567</v>
      </c>
      <c r="N32" s="71">
        <v>3593</v>
      </c>
      <c r="O32" s="71">
        <v>92</v>
      </c>
      <c r="P32" s="71">
        <v>4219</v>
      </c>
      <c r="Q32" s="71">
        <v>3904</v>
      </c>
      <c r="R32" s="292" t="s">
        <v>152</v>
      </c>
    </row>
    <row r="33" spans="1:18" s="63" customFormat="1" ht="16.2" thickTop="1" x14ac:dyDescent="0.3">
      <c r="A33" s="89" t="s">
        <v>37</v>
      </c>
      <c r="B33" s="90" t="s">
        <v>152</v>
      </c>
      <c r="C33" s="73" t="s">
        <v>152</v>
      </c>
      <c r="D33" s="73" t="s">
        <v>152</v>
      </c>
      <c r="E33" s="73" t="s">
        <v>152</v>
      </c>
      <c r="F33" s="73" t="s">
        <v>152</v>
      </c>
      <c r="G33" s="73" t="s">
        <v>152</v>
      </c>
      <c r="H33" s="73" t="s">
        <v>152</v>
      </c>
      <c r="I33" s="73" t="s">
        <v>152</v>
      </c>
      <c r="J33" s="273">
        <f t="shared" ref="J33:P33" si="2">SUM(J21:J32)</f>
        <v>26945</v>
      </c>
      <c r="K33" s="273">
        <f t="shared" si="2"/>
        <v>31413</v>
      </c>
      <c r="L33" s="273">
        <f t="shared" si="2"/>
        <v>53963</v>
      </c>
      <c r="M33" s="273">
        <f t="shared" si="2"/>
        <v>33684</v>
      </c>
      <c r="N33" s="273">
        <f t="shared" si="2"/>
        <v>36625</v>
      </c>
      <c r="O33" s="273">
        <f t="shared" si="2"/>
        <v>5877</v>
      </c>
      <c r="P33" s="273">
        <f t="shared" si="2"/>
        <v>48537</v>
      </c>
      <c r="Q33" s="273">
        <f t="shared" ref="Q33:R33" si="3">SUM(Q21:Q32)</f>
        <v>51056</v>
      </c>
      <c r="R33" s="288">
        <f t="shared" si="3"/>
        <v>29254</v>
      </c>
    </row>
    <row r="34" spans="1:18" s="113" customFormat="1" ht="6.6" x14ac:dyDescent="0.3">
      <c r="A34" s="371" t="s">
        <v>174</v>
      </c>
      <c r="B34" s="371"/>
      <c r="C34" s="371"/>
      <c r="D34" s="371"/>
      <c r="E34" s="371"/>
      <c r="F34" s="371"/>
      <c r="G34" s="371"/>
      <c r="H34" s="371"/>
      <c r="I34" s="371"/>
      <c r="J34" s="371"/>
      <c r="K34" s="371"/>
      <c r="L34" s="371"/>
      <c r="M34" s="371"/>
      <c r="N34" s="371"/>
      <c r="O34" s="371"/>
      <c r="P34" s="371"/>
      <c r="Q34" s="371"/>
      <c r="R34" s="371"/>
    </row>
    <row r="35" spans="1:18" s="106" customFormat="1" ht="18" x14ac:dyDescent="0.3">
      <c r="A35" s="370" t="s">
        <v>114</v>
      </c>
      <c r="B35" s="370"/>
      <c r="C35" s="370"/>
      <c r="D35" s="370"/>
      <c r="E35" s="370"/>
      <c r="F35" s="370"/>
      <c r="G35" s="370"/>
      <c r="H35" s="370"/>
      <c r="I35" s="370"/>
      <c r="J35" s="370"/>
      <c r="K35" s="370"/>
      <c r="L35" s="370"/>
      <c r="M35" s="370"/>
      <c r="N35" s="370"/>
      <c r="O35" s="370"/>
      <c r="P35" s="370"/>
      <c r="Q35" s="370"/>
      <c r="R35" s="370"/>
    </row>
    <row r="36" spans="1:18" s="63" customFormat="1" ht="15.6" x14ac:dyDescent="0.3">
      <c r="A36" s="77" t="s">
        <v>23</v>
      </c>
      <c r="B36" s="91">
        <v>2004</v>
      </c>
      <c r="C36" s="64">
        <v>2005</v>
      </c>
      <c r="D36" s="64">
        <v>2006</v>
      </c>
      <c r="E36" s="64">
        <v>2007</v>
      </c>
      <c r="F36" s="64">
        <v>2008</v>
      </c>
      <c r="G36" s="64">
        <v>2009</v>
      </c>
      <c r="H36" s="64">
        <v>2010</v>
      </c>
      <c r="I36" s="64">
        <v>2011</v>
      </c>
      <c r="J36" s="65">
        <v>2012</v>
      </c>
      <c r="K36" s="65">
        <v>2013</v>
      </c>
      <c r="L36" s="65">
        <v>2014</v>
      </c>
      <c r="M36" s="65">
        <v>2015</v>
      </c>
      <c r="N36" s="65">
        <v>2016</v>
      </c>
      <c r="O36" s="65">
        <v>2017</v>
      </c>
      <c r="P36" s="65">
        <v>2018</v>
      </c>
      <c r="Q36" s="65">
        <v>2019</v>
      </c>
      <c r="R36" s="49">
        <v>2020</v>
      </c>
    </row>
    <row r="37" spans="1:18" s="63" customFormat="1" ht="15.6" x14ac:dyDescent="0.3">
      <c r="A37" s="76" t="s">
        <v>24</v>
      </c>
      <c r="B37" s="108" t="s">
        <v>152</v>
      </c>
      <c r="C37" s="107" t="s">
        <v>152</v>
      </c>
      <c r="D37" s="107" t="s">
        <v>152</v>
      </c>
      <c r="E37" s="107" t="s">
        <v>152</v>
      </c>
      <c r="F37" s="107" t="s">
        <v>152</v>
      </c>
      <c r="G37" s="107" t="s">
        <v>152</v>
      </c>
      <c r="H37" s="107" t="s">
        <v>152</v>
      </c>
      <c r="I37" s="107" t="s">
        <v>152</v>
      </c>
      <c r="J37" s="83" t="s">
        <v>152</v>
      </c>
      <c r="K37" s="271">
        <v>0</v>
      </c>
      <c r="L37" s="271">
        <v>-155</v>
      </c>
      <c r="M37" s="271">
        <v>-184</v>
      </c>
      <c r="N37" s="271">
        <v>-2</v>
      </c>
      <c r="O37" s="271">
        <v>0</v>
      </c>
      <c r="P37" s="271">
        <v>-146</v>
      </c>
      <c r="Q37" s="271">
        <v>0</v>
      </c>
      <c r="R37" s="286">
        <v>-4</v>
      </c>
    </row>
    <row r="38" spans="1:18" s="63" customFormat="1" ht="15.6" x14ac:dyDescent="0.3">
      <c r="A38" s="75" t="s">
        <v>25</v>
      </c>
      <c r="B38" s="170" t="s">
        <v>152</v>
      </c>
      <c r="C38" s="67" t="s">
        <v>152</v>
      </c>
      <c r="D38" s="67" t="s">
        <v>152</v>
      </c>
      <c r="E38" s="67" t="s">
        <v>152</v>
      </c>
      <c r="F38" s="67" t="s">
        <v>152</v>
      </c>
      <c r="G38" s="67" t="s">
        <v>152</v>
      </c>
      <c r="H38" s="67" t="s">
        <v>152</v>
      </c>
      <c r="I38" s="67" t="s">
        <v>152</v>
      </c>
      <c r="J38" s="68" t="s">
        <v>152</v>
      </c>
      <c r="K38" s="66">
        <v>0</v>
      </c>
      <c r="L38" s="66">
        <v>0</v>
      </c>
      <c r="M38" s="66">
        <v>-13163</v>
      </c>
      <c r="N38" s="66">
        <v>-4</v>
      </c>
      <c r="O38" s="66">
        <v>0</v>
      </c>
      <c r="P38" s="66">
        <v>0</v>
      </c>
      <c r="Q38" s="66">
        <v>0</v>
      </c>
      <c r="R38" s="287">
        <v>-39</v>
      </c>
    </row>
    <row r="39" spans="1:18" s="63" customFormat="1" ht="15.6" x14ac:dyDescent="0.3">
      <c r="A39" s="75" t="s">
        <v>26</v>
      </c>
      <c r="B39" s="170" t="s">
        <v>152</v>
      </c>
      <c r="C39" s="67" t="s">
        <v>152</v>
      </c>
      <c r="D39" s="67" t="s">
        <v>152</v>
      </c>
      <c r="E39" s="67" t="s">
        <v>152</v>
      </c>
      <c r="F39" s="67" t="s">
        <v>152</v>
      </c>
      <c r="G39" s="67" t="s">
        <v>152</v>
      </c>
      <c r="H39" s="67" t="s">
        <v>152</v>
      </c>
      <c r="I39" s="67" t="s">
        <v>152</v>
      </c>
      <c r="J39" s="66" t="s">
        <v>152</v>
      </c>
      <c r="K39" s="66">
        <v>0</v>
      </c>
      <c r="L39" s="66">
        <v>-1553</v>
      </c>
      <c r="M39" s="66">
        <v>-232</v>
      </c>
      <c r="N39" s="66">
        <v>-59</v>
      </c>
      <c r="O39" s="66">
        <v>-7501</v>
      </c>
      <c r="P39" s="66">
        <v>-12</v>
      </c>
      <c r="Q39" s="66">
        <v>0</v>
      </c>
      <c r="R39" s="287">
        <v>-2278</v>
      </c>
    </row>
    <row r="40" spans="1:18" s="63" customFormat="1" ht="15.6" x14ac:dyDescent="0.3">
      <c r="A40" s="75" t="s">
        <v>27</v>
      </c>
      <c r="B40" s="170" t="s">
        <v>152</v>
      </c>
      <c r="C40" s="67" t="s">
        <v>152</v>
      </c>
      <c r="D40" s="67" t="s">
        <v>152</v>
      </c>
      <c r="E40" s="67" t="s">
        <v>152</v>
      </c>
      <c r="F40" s="67" t="s">
        <v>152</v>
      </c>
      <c r="G40" s="67" t="s">
        <v>152</v>
      </c>
      <c r="H40" s="67" t="s">
        <v>152</v>
      </c>
      <c r="I40" s="67" t="s">
        <v>152</v>
      </c>
      <c r="J40" s="66" t="s">
        <v>152</v>
      </c>
      <c r="K40" s="66">
        <v>-4768</v>
      </c>
      <c r="L40" s="66">
        <v>0</v>
      </c>
      <c r="M40" s="66">
        <v>-1479</v>
      </c>
      <c r="N40" s="66">
        <v>-206</v>
      </c>
      <c r="O40" s="66">
        <v>-164</v>
      </c>
      <c r="P40" s="66">
        <v>0</v>
      </c>
      <c r="Q40" s="66">
        <v>-20</v>
      </c>
      <c r="R40" s="287">
        <v>0</v>
      </c>
    </row>
    <row r="41" spans="1:18" s="63" customFormat="1" ht="15.6" x14ac:dyDescent="0.3">
      <c r="A41" s="75" t="s">
        <v>28</v>
      </c>
      <c r="B41" s="170" t="s">
        <v>152</v>
      </c>
      <c r="C41" s="67" t="s">
        <v>152</v>
      </c>
      <c r="D41" s="67" t="s">
        <v>152</v>
      </c>
      <c r="E41" s="67" t="s">
        <v>152</v>
      </c>
      <c r="F41" s="67" t="s">
        <v>152</v>
      </c>
      <c r="G41" s="67" t="s">
        <v>152</v>
      </c>
      <c r="H41" s="67" t="s">
        <v>152</v>
      </c>
      <c r="I41" s="67" t="s">
        <v>152</v>
      </c>
      <c r="J41" s="66" t="s">
        <v>152</v>
      </c>
      <c r="K41" s="66">
        <v>0</v>
      </c>
      <c r="L41" s="66">
        <v>0</v>
      </c>
      <c r="M41" s="66">
        <v>-46</v>
      </c>
      <c r="N41" s="66">
        <v>-4276</v>
      </c>
      <c r="O41" s="66">
        <v>-1</v>
      </c>
      <c r="P41" s="66">
        <v>0</v>
      </c>
      <c r="Q41" s="66">
        <v>0</v>
      </c>
      <c r="R41" s="287">
        <v>-66</v>
      </c>
    </row>
    <row r="42" spans="1:18" s="63" customFormat="1" ht="15.6" x14ac:dyDescent="0.3">
      <c r="A42" s="75" t="s">
        <v>29</v>
      </c>
      <c r="B42" s="170" t="s">
        <v>152</v>
      </c>
      <c r="C42" s="67" t="s">
        <v>152</v>
      </c>
      <c r="D42" s="67" t="s">
        <v>152</v>
      </c>
      <c r="E42" s="67" t="s">
        <v>152</v>
      </c>
      <c r="F42" s="67" t="s">
        <v>152</v>
      </c>
      <c r="G42" s="67" t="s">
        <v>152</v>
      </c>
      <c r="H42" s="67" t="s">
        <v>152</v>
      </c>
      <c r="I42" s="67" t="s">
        <v>152</v>
      </c>
      <c r="J42" s="66" t="s">
        <v>152</v>
      </c>
      <c r="K42" s="66">
        <v>0</v>
      </c>
      <c r="L42" s="66">
        <v>0</v>
      </c>
      <c r="M42" s="66">
        <v>-4737</v>
      </c>
      <c r="N42" s="66">
        <v>-22</v>
      </c>
      <c r="O42" s="66">
        <v>0</v>
      </c>
      <c r="P42" s="66">
        <v>0</v>
      </c>
      <c r="Q42" s="66">
        <v>0</v>
      </c>
      <c r="R42" s="287">
        <v>-2278</v>
      </c>
    </row>
    <row r="43" spans="1:18" s="63" customFormat="1" ht="15.6" x14ac:dyDescent="0.3">
      <c r="A43" s="75" t="s">
        <v>30</v>
      </c>
      <c r="B43" s="170" t="s">
        <v>152</v>
      </c>
      <c r="C43" s="67" t="s">
        <v>152</v>
      </c>
      <c r="D43" s="67" t="s">
        <v>152</v>
      </c>
      <c r="E43" s="67" t="s">
        <v>152</v>
      </c>
      <c r="F43" s="67" t="s">
        <v>152</v>
      </c>
      <c r="G43" s="67" t="s">
        <v>152</v>
      </c>
      <c r="H43" s="67" t="s">
        <v>152</v>
      </c>
      <c r="I43" s="67" t="s">
        <v>152</v>
      </c>
      <c r="J43" s="66" t="s">
        <v>152</v>
      </c>
      <c r="K43" s="66">
        <v>-67</v>
      </c>
      <c r="L43" s="66">
        <v>-137</v>
      </c>
      <c r="M43" s="66">
        <v>-10953</v>
      </c>
      <c r="N43" s="66">
        <v>0</v>
      </c>
      <c r="O43" s="66">
        <v>0</v>
      </c>
      <c r="P43" s="66">
        <v>0</v>
      </c>
      <c r="Q43" s="66">
        <v>0</v>
      </c>
      <c r="R43" s="295" t="s">
        <v>152</v>
      </c>
    </row>
    <row r="44" spans="1:18" s="63" customFormat="1" ht="15.6" x14ac:dyDescent="0.3">
      <c r="A44" s="75" t="s">
        <v>31</v>
      </c>
      <c r="B44" s="170" t="s">
        <v>152</v>
      </c>
      <c r="C44" s="67" t="s">
        <v>152</v>
      </c>
      <c r="D44" s="67" t="s">
        <v>152</v>
      </c>
      <c r="E44" s="67" t="s">
        <v>152</v>
      </c>
      <c r="F44" s="67" t="s">
        <v>152</v>
      </c>
      <c r="G44" s="67" t="s">
        <v>152</v>
      </c>
      <c r="H44" s="67" t="s">
        <v>152</v>
      </c>
      <c r="I44" s="67" t="s">
        <v>152</v>
      </c>
      <c r="J44" s="66" t="s">
        <v>152</v>
      </c>
      <c r="K44" s="66">
        <v>-4314</v>
      </c>
      <c r="L44" s="66">
        <v>-85</v>
      </c>
      <c r="M44" s="66">
        <v>-162</v>
      </c>
      <c r="N44" s="66">
        <v>0</v>
      </c>
      <c r="O44" s="66">
        <v>0</v>
      </c>
      <c r="P44" s="66">
        <v>0</v>
      </c>
      <c r="Q44" s="66">
        <v>0</v>
      </c>
      <c r="R44" s="295" t="s">
        <v>152</v>
      </c>
    </row>
    <row r="45" spans="1:18" s="63" customFormat="1" ht="15.6" x14ac:dyDescent="0.3">
      <c r="A45" s="75" t="s">
        <v>32</v>
      </c>
      <c r="B45" s="170" t="s">
        <v>152</v>
      </c>
      <c r="C45" s="67" t="s">
        <v>152</v>
      </c>
      <c r="D45" s="67" t="s">
        <v>152</v>
      </c>
      <c r="E45" s="67" t="s">
        <v>152</v>
      </c>
      <c r="F45" s="67" t="s">
        <v>152</v>
      </c>
      <c r="G45" s="67" t="s">
        <v>152</v>
      </c>
      <c r="H45" s="67" t="s">
        <v>152</v>
      </c>
      <c r="I45" s="67" t="s">
        <v>152</v>
      </c>
      <c r="J45" s="66" t="s">
        <v>152</v>
      </c>
      <c r="K45" s="66">
        <v>0</v>
      </c>
      <c r="L45" s="66">
        <v>0</v>
      </c>
      <c r="M45" s="66">
        <v>-305</v>
      </c>
      <c r="N45" s="66">
        <v>-5496</v>
      </c>
      <c r="O45" s="66">
        <v>0</v>
      </c>
      <c r="P45" s="66">
        <v>0</v>
      </c>
      <c r="Q45" s="66">
        <v>0</v>
      </c>
      <c r="R45" s="295" t="s">
        <v>152</v>
      </c>
    </row>
    <row r="46" spans="1:18" s="63" customFormat="1" ht="15.6" x14ac:dyDescent="0.3">
      <c r="A46" s="75" t="s">
        <v>33</v>
      </c>
      <c r="B46" s="170" t="s">
        <v>152</v>
      </c>
      <c r="C46" s="67" t="s">
        <v>152</v>
      </c>
      <c r="D46" s="67" t="s">
        <v>152</v>
      </c>
      <c r="E46" s="67" t="s">
        <v>152</v>
      </c>
      <c r="F46" s="67" t="s">
        <v>152</v>
      </c>
      <c r="G46" s="67" t="s">
        <v>152</v>
      </c>
      <c r="H46" s="67" t="s">
        <v>152</v>
      </c>
      <c r="I46" s="67" t="s">
        <v>152</v>
      </c>
      <c r="J46" s="66" t="s">
        <v>152</v>
      </c>
      <c r="K46" s="66">
        <v>-112</v>
      </c>
      <c r="L46" s="66">
        <v>-41611</v>
      </c>
      <c r="M46" s="66">
        <v>-3432</v>
      </c>
      <c r="N46" s="66">
        <v>0</v>
      </c>
      <c r="O46" s="66">
        <v>-1364</v>
      </c>
      <c r="P46" s="66">
        <v>-28</v>
      </c>
      <c r="Q46" s="66">
        <v>0</v>
      </c>
      <c r="R46" s="295" t="s">
        <v>152</v>
      </c>
    </row>
    <row r="47" spans="1:18" s="63" customFormat="1" ht="15.6" x14ac:dyDescent="0.3">
      <c r="A47" s="75" t="s">
        <v>34</v>
      </c>
      <c r="B47" s="170" t="s">
        <v>152</v>
      </c>
      <c r="C47" s="67" t="s">
        <v>152</v>
      </c>
      <c r="D47" s="67" t="s">
        <v>152</v>
      </c>
      <c r="E47" s="67" t="s">
        <v>152</v>
      </c>
      <c r="F47" s="67" t="s">
        <v>152</v>
      </c>
      <c r="G47" s="67" t="s">
        <v>152</v>
      </c>
      <c r="H47" s="67" t="s">
        <v>152</v>
      </c>
      <c r="I47" s="67" t="s">
        <v>152</v>
      </c>
      <c r="J47" s="66" t="s">
        <v>152</v>
      </c>
      <c r="K47" s="66">
        <v>0</v>
      </c>
      <c r="L47" s="66">
        <v>0</v>
      </c>
      <c r="M47" s="66">
        <v>-201</v>
      </c>
      <c r="N47" s="66">
        <v>0</v>
      </c>
      <c r="O47" s="66">
        <v>-208</v>
      </c>
      <c r="P47" s="66">
        <v>0</v>
      </c>
      <c r="Q47" s="66">
        <v>-39</v>
      </c>
      <c r="R47" s="295" t="s">
        <v>152</v>
      </c>
    </row>
    <row r="48" spans="1:18" s="63" customFormat="1" ht="16.2" thickBot="1" x14ac:dyDescent="0.35">
      <c r="A48" s="88" t="s">
        <v>36</v>
      </c>
      <c r="B48" s="87" t="s">
        <v>152</v>
      </c>
      <c r="C48" s="72" t="s">
        <v>152</v>
      </c>
      <c r="D48" s="72" t="s">
        <v>152</v>
      </c>
      <c r="E48" s="72" t="s">
        <v>152</v>
      </c>
      <c r="F48" s="72" t="s">
        <v>152</v>
      </c>
      <c r="G48" s="72" t="s">
        <v>152</v>
      </c>
      <c r="H48" s="72" t="s">
        <v>152</v>
      </c>
      <c r="I48" s="72" t="s">
        <v>152</v>
      </c>
      <c r="J48" s="274">
        <v>-1</v>
      </c>
      <c r="K48" s="71">
        <v>-1732</v>
      </c>
      <c r="L48" s="71">
        <v>-136</v>
      </c>
      <c r="M48" s="71">
        <v>0</v>
      </c>
      <c r="N48" s="71">
        <v>0</v>
      </c>
      <c r="O48" s="71">
        <v>0</v>
      </c>
      <c r="P48" s="71">
        <v>0</v>
      </c>
      <c r="Q48" s="71">
        <v>0</v>
      </c>
      <c r="R48" s="292" t="s">
        <v>152</v>
      </c>
    </row>
    <row r="49" spans="1:18" s="63" customFormat="1" ht="16.2" thickTop="1" x14ac:dyDescent="0.3">
      <c r="A49" s="89" t="s">
        <v>37</v>
      </c>
      <c r="B49" s="90" t="s">
        <v>152</v>
      </c>
      <c r="C49" s="73" t="s">
        <v>152</v>
      </c>
      <c r="D49" s="73" t="s">
        <v>152</v>
      </c>
      <c r="E49" s="73" t="s">
        <v>152</v>
      </c>
      <c r="F49" s="73" t="s">
        <v>152</v>
      </c>
      <c r="G49" s="73" t="s">
        <v>152</v>
      </c>
      <c r="H49" s="73" t="s">
        <v>152</v>
      </c>
      <c r="I49" s="73" t="s">
        <v>152</v>
      </c>
      <c r="J49" s="273">
        <f t="shared" ref="J49:P49" si="4">SUM(J37:J48)</f>
        <v>-1</v>
      </c>
      <c r="K49" s="273">
        <f t="shared" si="4"/>
        <v>-10993</v>
      </c>
      <c r="L49" s="273">
        <f t="shared" si="4"/>
        <v>-43677</v>
      </c>
      <c r="M49" s="273">
        <f t="shared" si="4"/>
        <v>-34894</v>
      </c>
      <c r="N49" s="273">
        <f t="shared" si="4"/>
        <v>-10065</v>
      </c>
      <c r="O49" s="273">
        <f t="shared" si="4"/>
        <v>-9238</v>
      </c>
      <c r="P49" s="273">
        <f t="shared" si="4"/>
        <v>-186</v>
      </c>
      <c r="Q49" s="273">
        <f t="shared" ref="Q49:R49" si="5">SUM(Q37:Q48)</f>
        <v>-59</v>
      </c>
      <c r="R49" s="288">
        <f t="shared" si="5"/>
        <v>-4665</v>
      </c>
    </row>
    <row r="50" spans="1:18" s="113" customFormat="1" ht="6.6" x14ac:dyDescent="0.3">
      <c r="A50" s="371" t="s">
        <v>174</v>
      </c>
      <c r="B50" s="371"/>
      <c r="C50" s="371"/>
      <c r="D50" s="371"/>
      <c r="E50" s="371"/>
      <c r="F50" s="371"/>
      <c r="G50" s="371"/>
      <c r="H50" s="371"/>
      <c r="I50" s="371"/>
      <c r="J50" s="371"/>
      <c r="K50" s="371"/>
      <c r="L50" s="371"/>
      <c r="M50" s="371"/>
      <c r="N50" s="371"/>
      <c r="O50" s="371"/>
      <c r="P50" s="371"/>
      <c r="Q50" s="371"/>
      <c r="R50" s="371"/>
    </row>
    <row r="51" spans="1:18" s="111" customFormat="1" ht="13.8" x14ac:dyDescent="0.3">
      <c r="A51" s="373" t="s">
        <v>157</v>
      </c>
      <c r="B51" s="373"/>
      <c r="C51" s="373"/>
      <c r="D51" s="373"/>
      <c r="E51" s="373"/>
      <c r="F51" s="373"/>
      <c r="G51" s="373"/>
      <c r="H51" s="373"/>
      <c r="I51" s="373"/>
      <c r="J51" s="373"/>
      <c r="K51" s="373"/>
      <c r="L51" s="373"/>
      <c r="M51" s="373"/>
      <c r="N51" s="373"/>
      <c r="O51" s="373"/>
      <c r="P51" s="373"/>
      <c r="Q51" s="373"/>
      <c r="R51" s="373"/>
    </row>
    <row r="52" spans="1:18" s="111" customFormat="1" ht="13.8" x14ac:dyDescent="0.3">
      <c r="A52" s="386" t="s">
        <v>180</v>
      </c>
      <c r="B52" s="386"/>
      <c r="C52" s="386"/>
      <c r="D52" s="386"/>
      <c r="E52" s="386"/>
      <c r="F52" s="386"/>
      <c r="G52" s="386"/>
      <c r="H52" s="386"/>
      <c r="I52" s="386"/>
      <c r="J52" s="386"/>
      <c r="K52" s="386"/>
      <c r="L52" s="386"/>
      <c r="M52" s="386"/>
      <c r="N52" s="386"/>
      <c r="O52" s="386"/>
      <c r="P52" s="386"/>
      <c r="Q52" s="386"/>
      <c r="R52" s="386"/>
    </row>
    <row r="53" spans="1:18" s="111" customFormat="1" ht="13.8" x14ac:dyDescent="0.3">
      <c r="A53" s="384" t="str">
        <f>'Local SUT'!A60</f>
        <v>Source:  Minnesota Department of Revenue, Tax Research Division, February 2021</v>
      </c>
      <c r="B53" s="384"/>
      <c r="C53" s="384"/>
      <c r="D53" s="384"/>
      <c r="E53" s="384"/>
      <c r="F53" s="384"/>
      <c r="G53" s="384"/>
      <c r="H53" s="384"/>
      <c r="I53" s="384"/>
      <c r="J53" s="384"/>
      <c r="K53" s="384"/>
      <c r="L53" s="384"/>
      <c r="M53" s="384"/>
      <c r="N53" s="384"/>
      <c r="O53" s="384"/>
      <c r="P53" s="384"/>
      <c r="Q53" s="384"/>
      <c r="R53" s="384"/>
    </row>
    <row r="54" spans="1:18" s="111" customFormat="1" ht="13.8" x14ac:dyDescent="0.3">
      <c r="A54" s="379" t="s">
        <v>151</v>
      </c>
      <c r="B54" s="379"/>
      <c r="C54" s="379"/>
      <c r="D54" s="379"/>
      <c r="E54" s="379"/>
      <c r="F54" s="379"/>
      <c r="G54" s="379"/>
      <c r="H54" s="379"/>
      <c r="I54" s="379"/>
      <c r="J54" s="379"/>
      <c r="K54" s="379"/>
      <c r="L54" s="379"/>
      <c r="M54" s="379"/>
      <c r="N54" s="379"/>
      <c r="O54" s="379"/>
      <c r="P54" s="379"/>
      <c r="Q54" s="379"/>
      <c r="R54" s="379"/>
    </row>
  </sheetData>
  <mergeCells count="12">
    <mergeCell ref="A1:R1"/>
    <mergeCell ref="A2:R2"/>
    <mergeCell ref="A3:R3"/>
    <mergeCell ref="A18:R18"/>
    <mergeCell ref="A19:R19"/>
    <mergeCell ref="A53:R53"/>
    <mergeCell ref="A54:R54"/>
    <mergeCell ref="A34:R34"/>
    <mergeCell ref="A35:R35"/>
    <mergeCell ref="A50:R50"/>
    <mergeCell ref="A51:R51"/>
    <mergeCell ref="A52:R52"/>
  </mergeCells>
  <pageMargins left="0.5" right="0.5" top="0.75" bottom="0.75" header="0.3" footer="0.3"/>
  <pageSetup scale="84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37">
    <pageSetUpPr fitToPage="1"/>
  </sheetPr>
  <dimension ref="A1:U54"/>
  <sheetViews>
    <sheetView showGridLines="0" workbookViewId="0">
      <pane ySplit="1" topLeftCell="A2" activePane="bottomLeft" state="frozen"/>
      <selection pane="bottomLeft" sqref="A1:U1"/>
    </sheetView>
  </sheetViews>
  <sheetFormatPr defaultColWidth="12.5546875" defaultRowHeight="14.4" x14ac:dyDescent="0.3"/>
  <cols>
    <col min="1" max="1" width="12.5546875" style="114"/>
    <col min="2" max="15" width="13.5546875" style="74" hidden="1" customWidth="1"/>
    <col min="16" max="17" width="13.5546875" style="74" customWidth="1"/>
    <col min="18" max="18" width="13.5546875" style="145" customWidth="1"/>
    <col min="19" max="16384" width="12.5546875" style="74"/>
  </cols>
  <sheetData>
    <row r="1" spans="1:21" s="112" customFormat="1" ht="21" x14ac:dyDescent="0.3">
      <c r="A1" s="380" t="s">
        <v>199</v>
      </c>
      <c r="B1" s="380"/>
      <c r="C1" s="380"/>
      <c r="D1" s="380"/>
      <c r="E1" s="380"/>
      <c r="F1" s="380"/>
      <c r="G1" s="380"/>
      <c r="H1" s="380"/>
      <c r="I1" s="380"/>
      <c r="J1" s="380"/>
      <c r="K1" s="380"/>
      <c r="L1" s="380"/>
      <c r="M1" s="380"/>
      <c r="N1" s="380"/>
      <c r="O1" s="380"/>
      <c r="P1" s="380"/>
      <c r="Q1" s="380"/>
      <c r="R1" s="380"/>
      <c r="S1" s="380"/>
      <c r="T1" s="380"/>
      <c r="U1" s="380"/>
    </row>
    <row r="2" spans="1:21" s="106" customFormat="1" ht="18" x14ac:dyDescent="0.3">
      <c r="A2" s="381" t="str">
        <f>'Local SUT'!A2</f>
        <v>CY 2004-2020</v>
      </c>
      <c r="B2" s="381"/>
      <c r="C2" s="381"/>
      <c r="D2" s="381"/>
      <c r="E2" s="381"/>
      <c r="F2" s="381"/>
      <c r="G2" s="381"/>
      <c r="H2" s="381"/>
      <c r="I2" s="381"/>
      <c r="J2" s="381"/>
      <c r="K2" s="381"/>
      <c r="L2" s="381"/>
      <c r="M2" s="381"/>
      <c r="N2" s="381"/>
      <c r="O2" s="381"/>
      <c r="P2" s="381"/>
      <c r="Q2" s="381"/>
      <c r="R2" s="381"/>
    </row>
    <row r="3" spans="1:21" s="106" customFormat="1" ht="18" x14ac:dyDescent="0.3">
      <c r="A3" s="385" t="s">
        <v>169</v>
      </c>
      <c r="B3" s="385"/>
      <c r="C3" s="385"/>
      <c r="D3" s="385"/>
      <c r="E3" s="385"/>
      <c r="F3" s="385"/>
      <c r="G3" s="385"/>
      <c r="H3" s="385"/>
      <c r="I3" s="385"/>
      <c r="J3" s="385"/>
      <c r="K3" s="385"/>
      <c r="L3" s="385"/>
      <c r="M3" s="385"/>
      <c r="N3" s="385"/>
      <c r="O3" s="385"/>
      <c r="P3" s="385"/>
      <c r="Q3" s="385"/>
      <c r="R3" s="385"/>
      <c r="S3" s="385"/>
      <c r="T3" s="385"/>
      <c r="U3" s="385"/>
    </row>
    <row r="4" spans="1:21" s="63" customFormat="1" ht="15.6" x14ac:dyDescent="0.3">
      <c r="A4" s="77" t="s">
        <v>23</v>
      </c>
      <c r="B4" s="91">
        <v>2004</v>
      </c>
      <c r="C4" s="64">
        <v>2005</v>
      </c>
      <c r="D4" s="64">
        <v>2006</v>
      </c>
      <c r="E4" s="64">
        <v>2007</v>
      </c>
      <c r="F4" s="64">
        <v>2008</v>
      </c>
      <c r="G4" s="64">
        <v>2009</v>
      </c>
      <c r="H4" s="64">
        <v>2010</v>
      </c>
      <c r="I4" s="64">
        <v>2011</v>
      </c>
      <c r="J4" s="65">
        <v>2012</v>
      </c>
      <c r="K4" s="65">
        <v>2013</v>
      </c>
      <c r="L4" s="65">
        <v>2014</v>
      </c>
      <c r="M4" s="65">
        <v>2015</v>
      </c>
      <c r="N4" s="65">
        <v>2016</v>
      </c>
      <c r="O4" s="65">
        <v>2017</v>
      </c>
      <c r="P4" s="65">
        <v>2018</v>
      </c>
      <c r="Q4" s="65">
        <v>2019</v>
      </c>
      <c r="R4" s="49">
        <v>2020</v>
      </c>
    </row>
    <row r="5" spans="1:21" s="63" customFormat="1" ht="15.6" x14ac:dyDescent="0.3">
      <c r="A5" s="76" t="s">
        <v>24</v>
      </c>
      <c r="B5" s="108" t="s">
        <v>152</v>
      </c>
      <c r="C5" s="107" t="s">
        <v>152</v>
      </c>
      <c r="D5" s="83" t="s">
        <v>152</v>
      </c>
      <c r="E5" s="83" t="s">
        <v>152</v>
      </c>
      <c r="F5" s="107" t="s">
        <v>152</v>
      </c>
      <c r="G5" s="107" t="s">
        <v>152</v>
      </c>
      <c r="H5" s="83" t="s">
        <v>152</v>
      </c>
      <c r="I5" s="83" t="s">
        <v>152</v>
      </c>
      <c r="J5" s="83" t="s">
        <v>152</v>
      </c>
      <c r="K5" s="83" t="s">
        <v>152</v>
      </c>
      <c r="L5" s="83" t="s">
        <v>152</v>
      </c>
      <c r="M5" s="83" t="s">
        <v>152</v>
      </c>
      <c r="N5" s="83" t="s">
        <v>152</v>
      </c>
      <c r="O5" s="83" t="s">
        <v>152</v>
      </c>
      <c r="P5" s="271">
        <v>0</v>
      </c>
      <c r="Q5" s="271">
        <v>14423</v>
      </c>
      <c r="R5" s="286">
        <v>14170</v>
      </c>
    </row>
    <row r="6" spans="1:21" s="63" customFormat="1" ht="15.6" x14ac:dyDescent="0.3">
      <c r="A6" s="75" t="s">
        <v>25</v>
      </c>
      <c r="B6" s="170" t="s">
        <v>152</v>
      </c>
      <c r="C6" s="67" t="s">
        <v>152</v>
      </c>
      <c r="D6" s="66" t="s">
        <v>152</v>
      </c>
      <c r="E6" s="66" t="s">
        <v>152</v>
      </c>
      <c r="F6" s="66" t="s">
        <v>152</v>
      </c>
      <c r="G6" s="67" t="s">
        <v>152</v>
      </c>
      <c r="H6" s="66" t="s">
        <v>152</v>
      </c>
      <c r="I6" s="66" t="s">
        <v>152</v>
      </c>
      <c r="J6" s="68" t="s">
        <v>152</v>
      </c>
      <c r="K6" s="66" t="s">
        <v>152</v>
      </c>
      <c r="L6" s="66" t="s">
        <v>152</v>
      </c>
      <c r="M6" s="66" t="s">
        <v>152</v>
      </c>
      <c r="N6" s="66" t="s">
        <v>152</v>
      </c>
      <c r="O6" s="66" t="s">
        <v>152</v>
      </c>
      <c r="P6" s="66">
        <v>22041</v>
      </c>
      <c r="Q6" s="66">
        <v>11701</v>
      </c>
      <c r="R6" s="287">
        <v>13623</v>
      </c>
    </row>
    <row r="7" spans="1:21" s="63" customFormat="1" ht="15.6" x14ac:dyDescent="0.3">
      <c r="A7" s="75" t="s">
        <v>26</v>
      </c>
      <c r="B7" s="170" t="s">
        <v>152</v>
      </c>
      <c r="C7" s="67" t="s">
        <v>152</v>
      </c>
      <c r="D7" s="66" t="s">
        <v>152</v>
      </c>
      <c r="E7" s="66" t="s">
        <v>152</v>
      </c>
      <c r="F7" s="66" t="s">
        <v>152</v>
      </c>
      <c r="G7" s="67" t="s">
        <v>152</v>
      </c>
      <c r="H7" s="66" t="s">
        <v>152</v>
      </c>
      <c r="I7" s="66" t="s">
        <v>152</v>
      </c>
      <c r="J7" s="66" t="s">
        <v>152</v>
      </c>
      <c r="K7" s="66" t="s">
        <v>152</v>
      </c>
      <c r="L7" s="66" t="s">
        <v>152</v>
      </c>
      <c r="M7" s="66" t="s">
        <v>152</v>
      </c>
      <c r="N7" s="66" t="s">
        <v>152</v>
      </c>
      <c r="O7" s="66" t="s">
        <v>152</v>
      </c>
      <c r="P7" s="66">
        <v>11320</v>
      </c>
      <c r="Q7" s="66">
        <v>12739</v>
      </c>
      <c r="R7" s="287">
        <v>12756</v>
      </c>
    </row>
    <row r="8" spans="1:21" s="63" customFormat="1" ht="15.6" x14ac:dyDescent="0.3">
      <c r="A8" s="75" t="s">
        <v>27</v>
      </c>
      <c r="B8" s="170" t="s">
        <v>152</v>
      </c>
      <c r="C8" s="67" t="s">
        <v>152</v>
      </c>
      <c r="D8" s="66" t="s">
        <v>152</v>
      </c>
      <c r="E8" s="66" t="s">
        <v>152</v>
      </c>
      <c r="F8" s="66" t="s">
        <v>152</v>
      </c>
      <c r="G8" s="67" t="s">
        <v>152</v>
      </c>
      <c r="H8" s="66" t="s">
        <v>152</v>
      </c>
      <c r="I8" s="66" t="s">
        <v>152</v>
      </c>
      <c r="J8" s="66" t="s">
        <v>152</v>
      </c>
      <c r="K8" s="66" t="s">
        <v>152</v>
      </c>
      <c r="L8" s="66" t="s">
        <v>152</v>
      </c>
      <c r="M8" s="66" t="s">
        <v>152</v>
      </c>
      <c r="N8" s="66" t="s">
        <v>152</v>
      </c>
      <c r="O8" s="66" t="s">
        <v>152</v>
      </c>
      <c r="P8" s="66">
        <v>13429</v>
      </c>
      <c r="Q8" s="66">
        <v>11193</v>
      </c>
      <c r="R8" s="287">
        <v>13013</v>
      </c>
    </row>
    <row r="9" spans="1:21" s="63" customFormat="1" ht="15.6" x14ac:dyDescent="0.3">
      <c r="A9" s="75" t="s">
        <v>28</v>
      </c>
      <c r="B9" s="170" t="s">
        <v>152</v>
      </c>
      <c r="C9" s="67" t="s">
        <v>152</v>
      </c>
      <c r="D9" s="66" t="s">
        <v>152</v>
      </c>
      <c r="E9" s="66" t="s">
        <v>152</v>
      </c>
      <c r="F9" s="66" t="s">
        <v>152</v>
      </c>
      <c r="G9" s="67" t="s">
        <v>152</v>
      </c>
      <c r="H9" s="66" t="s">
        <v>152</v>
      </c>
      <c r="I9" s="66" t="s">
        <v>152</v>
      </c>
      <c r="J9" s="66" t="s">
        <v>152</v>
      </c>
      <c r="K9" s="66" t="s">
        <v>152</v>
      </c>
      <c r="L9" s="66" t="s">
        <v>152</v>
      </c>
      <c r="M9" s="66" t="s">
        <v>152</v>
      </c>
      <c r="N9" s="66" t="s">
        <v>152</v>
      </c>
      <c r="O9" s="66" t="s">
        <v>152</v>
      </c>
      <c r="P9" s="66">
        <v>9313</v>
      </c>
      <c r="Q9" s="66">
        <v>10546</v>
      </c>
      <c r="R9" s="287">
        <v>12789</v>
      </c>
    </row>
    <row r="10" spans="1:21" s="63" customFormat="1" ht="15.6" x14ac:dyDescent="0.3">
      <c r="A10" s="75" t="s">
        <v>29</v>
      </c>
      <c r="B10" s="170" t="s">
        <v>152</v>
      </c>
      <c r="C10" s="67" t="s">
        <v>152</v>
      </c>
      <c r="D10" s="66" t="s">
        <v>152</v>
      </c>
      <c r="E10" s="66" t="s">
        <v>152</v>
      </c>
      <c r="F10" s="66" t="s">
        <v>152</v>
      </c>
      <c r="G10" s="67" t="s">
        <v>152</v>
      </c>
      <c r="H10" s="66" t="s">
        <v>152</v>
      </c>
      <c r="I10" s="66" t="s">
        <v>152</v>
      </c>
      <c r="J10" s="66" t="s">
        <v>152</v>
      </c>
      <c r="K10" s="66" t="s">
        <v>152</v>
      </c>
      <c r="L10" s="66" t="s">
        <v>152</v>
      </c>
      <c r="M10" s="66" t="s">
        <v>152</v>
      </c>
      <c r="N10" s="66" t="s">
        <v>152</v>
      </c>
      <c r="O10" s="66" t="s">
        <v>152</v>
      </c>
      <c r="P10" s="66">
        <v>13150</v>
      </c>
      <c r="Q10" s="66">
        <v>15332</v>
      </c>
      <c r="R10" s="287">
        <v>19221</v>
      </c>
    </row>
    <row r="11" spans="1:21" s="63" customFormat="1" ht="15.6" x14ac:dyDescent="0.3">
      <c r="A11" s="75" t="s">
        <v>30</v>
      </c>
      <c r="B11" s="170" t="s">
        <v>152</v>
      </c>
      <c r="C11" s="67" t="s">
        <v>152</v>
      </c>
      <c r="D11" s="66" t="s">
        <v>152</v>
      </c>
      <c r="E11" s="66" t="s">
        <v>152</v>
      </c>
      <c r="F11" s="66" t="s">
        <v>152</v>
      </c>
      <c r="G11" s="67" t="s">
        <v>152</v>
      </c>
      <c r="H11" s="66" t="s">
        <v>152</v>
      </c>
      <c r="I11" s="66" t="s">
        <v>152</v>
      </c>
      <c r="J11" s="66" t="s">
        <v>152</v>
      </c>
      <c r="K11" s="66" t="s">
        <v>152</v>
      </c>
      <c r="L11" s="66" t="s">
        <v>152</v>
      </c>
      <c r="M11" s="66" t="s">
        <v>152</v>
      </c>
      <c r="N11" s="66" t="s">
        <v>152</v>
      </c>
      <c r="O11" s="66" t="s">
        <v>152</v>
      </c>
      <c r="P11" s="66">
        <v>23451</v>
      </c>
      <c r="Q11" s="66">
        <v>18291</v>
      </c>
      <c r="R11" s="291" t="s">
        <v>152</v>
      </c>
    </row>
    <row r="12" spans="1:21" s="63" customFormat="1" ht="15.6" x14ac:dyDescent="0.3">
      <c r="A12" s="75" t="s">
        <v>31</v>
      </c>
      <c r="B12" s="170" t="s">
        <v>152</v>
      </c>
      <c r="C12" s="67" t="s">
        <v>152</v>
      </c>
      <c r="D12" s="66" t="s">
        <v>152</v>
      </c>
      <c r="E12" s="66" t="s">
        <v>152</v>
      </c>
      <c r="F12" s="66" t="s">
        <v>152</v>
      </c>
      <c r="G12" s="67" t="s">
        <v>152</v>
      </c>
      <c r="H12" s="66" t="s">
        <v>152</v>
      </c>
      <c r="I12" s="66" t="s">
        <v>152</v>
      </c>
      <c r="J12" s="66" t="s">
        <v>152</v>
      </c>
      <c r="K12" s="66" t="s">
        <v>152</v>
      </c>
      <c r="L12" s="66" t="s">
        <v>152</v>
      </c>
      <c r="M12" s="66" t="s">
        <v>152</v>
      </c>
      <c r="N12" s="66" t="s">
        <v>152</v>
      </c>
      <c r="O12" s="66" t="s">
        <v>152</v>
      </c>
      <c r="P12" s="66">
        <v>18663</v>
      </c>
      <c r="Q12" s="66">
        <v>23842</v>
      </c>
      <c r="R12" s="295" t="s">
        <v>152</v>
      </c>
    </row>
    <row r="13" spans="1:21" s="63" customFormat="1" ht="15.6" x14ac:dyDescent="0.3">
      <c r="A13" s="75" t="s">
        <v>32</v>
      </c>
      <c r="B13" s="170" t="s">
        <v>152</v>
      </c>
      <c r="C13" s="67" t="s">
        <v>152</v>
      </c>
      <c r="D13" s="66" t="s">
        <v>152</v>
      </c>
      <c r="E13" s="66" t="s">
        <v>152</v>
      </c>
      <c r="F13" s="66" t="s">
        <v>152</v>
      </c>
      <c r="G13" s="67" t="s">
        <v>152</v>
      </c>
      <c r="H13" s="66" t="s">
        <v>152</v>
      </c>
      <c r="I13" s="66" t="s">
        <v>152</v>
      </c>
      <c r="J13" s="66" t="s">
        <v>152</v>
      </c>
      <c r="K13" s="66" t="s">
        <v>152</v>
      </c>
      <c r="L13" s="66" t="s">
        <v>152</v>
      </c>
      <c r="M13" s="66" t="s">
        <v>152</v>
      </c>
      <c r="N13" s="66" t="s">
        <v>152</v>
      </c>
      <c r="O13" s="66" t="s">
        <v>152</v>
      </c>
      <c r="P13" s="66">
        <v>14841</v>
      </c>
      <c r="Q13" s="66">
        <v>20309</v>
      </c>
      <c r="R13" s="295" t="s">
        <v>152</v>
      </c>
    </row>
    <row r="14" spans="1:21" s="63" customFormat="1" ht="15.6" x14ac:dyDescent="0.3">
      <c r="A14" s="75" t="s">
        <v>33</v>
      </c>
      <c r="B14" s="170" t="s">
        <v>152</v>
      </c>
      <c r="C14" s="67" t="s">
        <v>152</v>
      </c>
      <c r="D14" s="66" t="s">
        <v>152</v>
      </c>
      <c r="E14" s="66" t="s">
        <v>152</v>
      </c>
      <c r="F14" s="66" t="s">
        <v>152</v>
      </c>
      <c r="G14" s="67" t="s">
        <v>152</v>
      </c>
      <c r="H14" s="66" t="s">
        <v>152</v>
      </c>
      <c r="I14" s="66" t="s">
        <v>152</v>
      </c>
      <c r="J14" s="66" t="s">
        <v>152</v>
      </c>
      <c r="K14" s="66" t="s">
        <v>152</v>
      </c>
      <c r="L14" s="66" t="s">
        <v>152</v>
      </c>
      <c r="M14" s="66" t="s">
        <v>152</v>
      </c>
      <c r="N14" s="66" t="s">
        <v>152</v>
      </c>
      <c r="O14" s="66" t="s">
        <v>152</v>
      </c>
      <c r="P14" s="66">
        <v>16067</v>
      </c>
      <c r="Q14" s="66">
        <v>17941</v>
      </c>
      <c r="R14" s="295" t="s">
        <v>152</v>
      </c>
    </row>
    <row r="15" spans="1:21" s="63" customFormat="1" ht="15.6" x14ac:dyDescent="0.3">
      <c r="A15" s="75" t="s">
        <v>34</v>
      </c>
      <c r="B15" s="170" t="s">
        <v>152</v>
      </c>
      <c r="C15" s="67" t="s">
        <v>152</v>
      </c>
      <c r="D15" s="66" t="s">
        <v>152</v>
      </c>
      <c r="E15" s="66" t="s">
        <v>152</v>
      </c>
      <c r="F15" s="66" t="s">
        <v>152</v>
      </c>
      <c r="G15" s="67" t="s">
        <v>152</v>
      </c>
      <c r="H15" s="66" t="s">
        <v>152</v>
      </c>
      <c r="I15" s="66" t="s">
        <v>152</v>
      </c>
      <c r="J15" s="66" t="s">
        <v>152</v>
      </c>
      <c r="K15" s="66" t="s">
        <v>152</v>
      </c>
      <c r="L15" s="66" t="s">
        <v>152</v>
      </c>
      <c r="M15" s="66" t="s">
        <v>152</v>
      </c>
      <c r="N15" s="66" t="s">
        <v>152</v>
      </c>
      <c r="O15" s="68" t="s">
        <v>152</v>
      </c>
      <c r="P15" s="66">
        <v>11365</v>
      </c>
      <c r="Q15" s="66">
        <v>13807</v>
      </c>
      <c r="R15" s="295" t="s">
        <v>152</v>
      </c>
    </row>
    <row r="16" spans="1:21" s="63" customFormat="1" ht="16.2" thickBot="1" x14ac:dyDescent="0.35">
      <c r="A16" s="88" t="s">
        <v>36</v>
      </c>
      <c r="B16" s="87" t="s">
        <v>152</v>
      </c>
      <c r="C16" s="72" t="s">
        <v>152</v>
      </c>
      <c r="D16" s="72" t="s">
        <v>152</v>
      </c>
      <c r="E16" s="72" t="s">
        <v>152</v>
      </c>
      <c r="F16" s="72" t="s">
        <v>152</v>
      </c>
      <c r="G16" s="72" t="s">
        <v>152</v>
      </c>
      <c r="H16" s="71" t="s">
        <v>152</v>
      </c>
      <c r="I16" s="71" t="s">
        <v>152</v>
      </c>
      <c r="J16" s="71" t="s">
        <v>152</v>
      </c>
      <c r="K16" s="71" t="s">
        <v>152</v>
      </c>
      <c r="L16" s="71" t="s">
        <v>152</v>
      </c>
      <c r="M16" s="71" t="s">
        <v>152</v>
      </c>
      <c r="N16" s="71" t="s">
        <v>152</v>
      </c>
      <c r="O16" s="71" t="s">
        <v>152</v>
      </c>
      <c r="P16" s="71">
        <v>10355</v>
      </c>
      <c r="Q16" s="71">
        <v>11982</v>
      </c>
      <c r="R16" s="292" t="s">
        <v>152</v>
      </c>
    </row>
    <row r="17" spans="1:21" s="63" customFormat="1" ht="16.2" thickTop="1" x14ac:dyDescent="0.3">
      <c r="A17" s="89" t="s">
        <v>37</v>
      </c>
      <c r="B17" s="90" t="s">
        <v>152</v>
      </c>
      <c r="C17" s="73" t="s">
        <v>152</v>
      </c>
      <c r="D17" s="73" t="s">
        <v>152</v>
      </c>
      <c r="E17" s="73" t="s">
        <v>152</v>
      </c>
      <c r="F17" s="73" t="s">
        <v>152</v>
      </c>
      <c r="G17" s="73" t="s">
        <v>152</v>
      </c>
      <c r="H17" s="73" t="s">
        <v>152</v>
      </c>
      <c r="I17" s="73" t="s">
        <v>152</v>
      </c>
      <c r="J17" s="73" t="s">
        <v>152</v>
      </c>
      <c r="K17" s="73" t="s">
        <v>152</v>
      </c>
      <c r="L17" s="73" t="s">
        <v>152</v>
      </c>
      <c r="M17" s="73" t="s">
        <v>152</v>
      </c>
      <c r="N17" s="73" t="s">
        <v>152</v>
      </c>
      <c r="O17" s="73" t="s">
        <v>152</v>
      </c>
      <c r="P17" s="273">
        <f t="shared" ref="P17:R17" si="0">SUM(P5:P16)</f>
        <v>163995</v>
      </c>
      <c r="Q17" s="273">
        <f t="shared" si="0"/>
        <v>182106</v>
      </c>
      <c r="R17" s="288">
        <f t="shared" si="0"/>
        <v>85572</v>
      </c>
    </row>
    <row r="18" spans="1:21" s="113" customFormat="1" ht="6.6" x14ac:dyDescent="0.3">
      <c r="A18" s="387"/>
      <c r="B18" s="387"/>
      <c r="C18" s="387"/>
      <c r="D18" s="387"/>
      <c r="E18" s="387"/>
      <c r="F18" s="387"/>
      <c r="G18" s="387"/>
      <c r="H18" s="387"/>
      <c r="I18" s="387"/>
      <c r="J18" s="387"/>
      <c r="K18" s="387"/>
      <c r="L18" s="387"/>
      <c r="M18" s="387"/>
      <c r="N18" s="387"/>
      <c r="O18" s="387"/>
      <c r="P18" s="387"/>
      <c r="Q18" s="387"/>
      <c r="R18" s="387"/>
    </row>
    <row r="19" spans="1:21" s="106" customFormat="1" ht="18" x14ac:dyDescent="0.3">
      <c r="A19" s="385" t="s">
        <v>168</v>
      </c>
      <c r="B19" s="385"/>
      <c r="C19" s="385"/>
      <c r="D19" s="385"/>
      <c r="E19" s="385"/>
      <c r="F19" s="385"/>
      <c r="G19" s="385"/>
      <c r="H19" s="385"/>
      <c r="I19" s="385"/>
      <c r="J19" s="385"/>
      <c r="K19" s="385"/>
      <c r="L19" s="385"/>
      <c r="M19" s="385"/>
      <c r="N19" s="385"/>
      <c r="O19" s="385"/>
      <c r="P19" s="385"/>
      <c r="Q19" s="385"/>
      <c r="R19" s="385"/>
      <c r="S19" s="385"/>
      <c r="T19" s="385"/>
      <c r="U19" s="385"/>
    </row>
    <row r="20" spans="1:21" s="63" customFormat="1" ht="15.6" x14ac:dyDescent="0.3">
      <c r="A20" s="77" t="s">
        <v>23</v>
      </c>
      <c r="B20" s="91">
        <v>2004</v>
      </c>
      <c r="C20" s="64">
        <v>2005</v>
      </c>
      <c r="D20" s="64">
        <v>2006</v>
      </c>
      <c r="E20" s="64">
        <v>2007</v>
      </c>
      <c r="F20" s="64">
        <v>2008</v>
      </c>
      <c r="G20" s="64">
        <v>2009</v>
      </c>
      <c r="H20" s="64">
        <v>2010</v>
      </c>
      <c r="I20" s="64">
        <v>2011</v>
      </c>
      <c r="J20" s="65">
        <v>2012</v>
      </c>
      <c r="K20" s="65">
        <v>2013</v>
      </c>
      <c r="L20" s="65">
        <v>2014</v>
      </c>
      <c r="M20" s="65">
        <v>2015</v>
      </c>
      <c r="N20" s="65">
        <v>2016</v>
      </c>
      <c r="O20" s="65">
        <v>2017</v>
      </c>
      <c r="P20" s="65">
        <v>2018</v>
      </c>
      <c r="Q20" s="65">
        <v>2019</v>
      </c>
      <c r="R20" s="49">
        <v>2020</v>
      </c>
    </row>
    <row r="21" spans="1:21" s="63" customFormat="1" ht="15.6" x14ac:dyDescent="0.3">
      <c r="A21" s="76" t="s">
        <v>24</v>
      </c>
      <c r="B21" s="108" t="s">
        <v>152</v>
      </c>
      <c r="C21" s="107" t="s">
        <v>152</v>
      </c>
      <c r="D21" s="83" t="s">
        <v>152</v>
      </c>
      <c r="E21" s="83" t="s">
        <v>152</v>
      </c>
      <c r="F21" s="83" t="s">
        <v>152</v>
      </c>
      <c r="G21" s="107" t="s">
        <v>152</v>
      </c>
      <c r="H21" s="83" t="s">
        <v>152</v>
      </c>
      <c r="I21" s="83" t="s">
        <v>152</v>
      </c>
      <c r="J21" s="83" t="s">
        <v>152</v>
      </c>
      <c r="K21" s="83" t="s">
        <v>152</v>
      </c>
      <c r="L21" s="83" t="s">
        <v>152</v>
      </c>
      <c r="M21" s="83" t="s">
        <v>152</v>
      </c>
      <c r="N21" s="83" t="s">
        <v>152</v>
      </c>
      <c r="O21" s="83" t="s">
        <v>152</v>
      </c>
      <c r="P21" s="271">
        <v>0</v>
      </c>
      <c r="Q21" s="271">
        <v>483</v>
      </c>
      <c r="R21" s="286">
        <v>335</v>
      </c>
    </row>
    <row r="22" spans="1:21" s="63" customFormat="1" ht="15.6" x14ac:dyDescent="0.3">
      <c r="A22" s="75" t="s">
        <v>25</v>
      </c>
      <c r="B22" s="170" t="s">
        <v>152</v>
      </c>
      <c r="C22" s="67" t="s">
        <v>152</v>
      </c>
      <c r="D22" s="66" t="s">
        <v>152</v>
      </c>
      <c r="E22" s="66" t="s">
        <v>152</v>
      </c>
      <c r="F22" s="66" t="s">
        <v>152</v>
      </c>
      <c r="G22" s="67" t="s">
        <v>152</v>
      </c>
      <c r="H22" s="66" t="s">
        <v>152</v>
      </c>
      <c r="I22" s="66" t="s">
        <v>152</v>
      </c>
      <c r="J22" s="68" t="s">
        <v>152</v>
      </c>
      <c r="K22" s="66" t="s">
        <v>152</v>
      </c>
      <c r="L22" s="66" t="s">
        <v>152</v>
      </c>
      <c r="M22" s="66" t="s">
        <v>152</v>
      </c>
      <c r="N22" s="66" t="s">
        <v>152</v>
      </c>
      <c r="O22" s="66" t="s">
        <v>152</v>
      </c>
      <c r="P22" s="66">
        <v>88</v>
      </c>
      <c r="Q22" s="66">
        <v>341</v>
      </c>
      <c r="R22" s="287">
        <v>98</v>
      </c>
    </row>
    <row r="23" spans="1:21" s="63" customFormat="1" ht="15.6" x14ac:dyDescent="0.3">
      <c r="A23" s="75" t="s">
        <v>26</v>
      </c>
      <c r="B23" s="170" t="s">
        <v>152</v>
      </c>
      <c r="C23" s="67" t="s">
        <v>152</v>
      </c>
      <c r="D23" s="66" t="s">
        <v>152</v>
      </c>
      <c r="E23" s="66" t="s">
        <v>152</v>
      </c>
      <c r="F23" s="66" t="s">
        <v>152</v>
      </c>
      <c r="G23" s="67" t="s">
        <v>152</v>
      </c>
      <c r="H23" s="66" t="s">
        <v>152</v>
      </c>
      <c r="I23" s="66" t="s">
        <v>152</v>
      </c>
      <c r="J23" s="66" t="s">
        <v>152</v>
      </c>
      <c r="K23" s="66" t="s">
        <v>152</v>
      </c>
      <c r="L23" s="66" t="s">
        <v>152</v>
      </c>
      <c r="M23" s="66" t="s">
        <v>152</v>
      </c>
      <c r="N23" s="66" t="s">
        <v>152</v>
      </c>
      <c r="O23" s="66" t="s">
        <v>152</v>
      </c>
      <c r="P23" s="66">
        <v>129</v>
      </c>
      <c r="Q23" s="66">
        <v>136</v>
      </c>
      <c r="R23" s="287">
        <v>122</v>
      </c>
    </row>
    <row r="24" spans="1:21" s="63" customFormat="1" ht="15.6" x14ac:dyDescent="0.3">
      <c r="A24" s="75" t="s">
        <v>27</v>
      </c>
      <c r="B24" s="170" t="s">
        <v>152</v>
      </c>
      <c r="C24" s="67" t="s">
        <v>152</v>
      </c>
      <c r="D24" s="66" t="s">
        <v>152</v>
      </c>
      <c r="E24" s="66" t="s">
        <v>152</v>
      </c>
      <c r="F24" s="66" t="s">
        <v>152</v>
      </c>
      <c r="G24" s="67" t="s">
        <v>152</v>
      </c>
      <c r="H24" s="66" t="s">
        <v>152</v>
      </c>
      <c r="I24" s="66" t="s">
        <v>152</v>
      </c>
      <c r="J24" s="66" t="s">
        <v>152</v>
      </c>
      <c r="K24" s="66" t="s">
        <v>152</v>
      </c>
      <c r="L24" s="66" t="s">
        <v>152</v>
      </c>
      <c r="M24" s="66" t="s">
        <v>152</v>
      </c>
      <c r="N24" s="66" t="s">
        <v>152</v>
      </c>
      <c r="O24" s="66" t="s">
        <v>152</v>
      </c>
      <c r="P24" s="66">
        <v>288</v>
      </c>
      <c r="Q24" s="66">
        <v>142</v>
      </c>
      <c r="R24" s="287">
        <v>154</v>
      </c>
    </row>
    <row r="25" spans="1:21" s="63" customFormat="1" ht="15.6" x14ac:dyDescent="0.3">
      <c r="A25" s="75" t="s">
        <v>28</v>
      </c>
      <c r="B25" s="170" t="s">
        <v>152</v>
      </c>
      <c r="C25" s="67" t="s">
        <v>152</v>
      </c>
      <c r="D25" s="66" t="s">
        <v>152</v>
      </c>
      <c r="E25" s="66" t="s">
        <v>152</v>
      </c>
      <c r="F25" s="66" t="s">
        <v>152</v>
      </c>
      <c r="G25" s="67" t="s">
        <v>152</v>
      </c>
      <c r="H25" s="66" t="s">
        <v>152</v>
      </c>
      <c r="I25" s="66" t="s">
        <v>152</v>
      </c>
      <c r="J25" s="66" t="s">
        <v>152</v>
      </c>
      <c r="K25" s="66" t="s">
        <v>152</v>
      </c>
      <c r="L25" s="66" t="s">
        <v>152</v>
      </c>
      <c r="M25" s="66" t="s">
        <v>152</v>
      </c>
      <c r="N25" s="66" t="s">
        <v>152</v>
      </c>
      <c r="O25" s="66" t="s">
        <v>152</v>
      </c>
      <c r="P25" s="66">
        <v>507</v>
      </c>
      <c r="Q25" s="66">
        <v>355</v>
      </c>
      <c r="R25" s="287">
        <v>496</v>
      </c>
    </row>
    <row r="26" spans="1:21" s="63" customFormat="1" ht="15.6" x14ac:dyDescent="0.3">
      <c r="A26" s="75" t="s">
        <v>29</v>
      </c>
      <c r="B26" s="170" t="s">
        <v>152</v>
      </c>
      <c r="C26" s="67" t="s">
        <v>152</v>
      </c>
      <c r="D26" s="66" t="s">
        <v>152</v>
      </c>
      <c r="E26" s="66" t="s">
        <v>152</v>
      </c>
      <c r="F26" s="66" t="s">
        <v>152</v>
      </c>
      <c r="G26" s="67" t="s">
        <v>152</v>
      </c>
      <c r="H26" s="66" t="s">
        <v>152</v>
      </c>
      <c r="I26" s="66" t="s">
        <v>152</v>
      </c>
      <c r="J26" s="66" t="s">
        <v>152</v>
      </c>
      <c r="K26" s="66" t="s">
        <v>152</v>
      </c>
      <c r="L26" s="66" t="s">
        <v>152</v>
      </c>
      <c r="M26" s="66" t="s">
        <v>152</v>
      </c>
      <c r="N26" s="66" t="s">
        <v>152</v>
      </c>
      <c r="O26" s="66" t="s">
        <v>152</v>
      </c>
      <c r="P26" s="66">
        <v>1037</v>
      </c>
      <c r="Q26" s="66">
        <v>657</v>
      </c>
      <c r="R26" s="287">
        <v>353</v>
      </c>
    </row>
    <row r="27" spans="1:21" s="63" customFormat="1" ht="15.6" x14ac:dyDescent="0.3">
      <c r="A27" s="75" t="s">
        <v>30</v>
      </c>
      <c r="B27" s="170" t="s">
        <v>152</v>
      </c>
      <c r="C27" s="67" t="s">
        <v>152</v>
      </c>
      <c r="D27" s="66" t="s">
        <v>152</v>
      </c>
      <c r="E27" s="66" t="s">
        <v>152</v>
      </c>
      <c r="F27" s="66" t="s">
        <v>152</v>
      </c>
      <c r="G27" s="67" t="s">
        <v>152</v>
      </c>
      <c r="H27" s="66" t="s">
        <v>152</v>
      </c>
      <c r="I27" s="66" t="s">
        <v>152</v>
      </c>
      <c r="J27" s="66" t="s">
        <v>152</v>
      </c>
      <c r="K27" s="66" t="s">
        <v>152</v>
      </c>
      <c r="L27" s="66" t="s">
        <v>152</v>
      </c>
      <c r="M27" s="66" t="s">
        <v>152</v>
      </c>
      <c r="N27" s="66" t="s">
        <v>152</v>
      </c>
      <c r="O27" s="66" t="s">
        <v>152</v>
      </c>
      <c r="P27" s="66">
        <v>1077</v>
      </c>
      <c r="Q27" s="66">
        <v>370</v>
      </c>
      <c r="R27" s="295" t="s">
        <v>152</v>
      </c>
    </row>
    <row r="28" spans="1:21" s="63" customFormat="1" ht="15.6" x14ac:dyDescent="0.3">
      <c r="A28" s="75" t="s">
        <v>31</v>
      </c>
      <c r="B28" s="170" t="s">
        <v>152</v>
      </c>
      <c r="C28" s="67" t="s">
        <v>152</v>
      </c>
      <c r="D28" s="66" t="s">
        <v>152</v>
      </c>
      <c r="E28" s="66" t="s">
        <v>152</v>
      </c>
      <c r="F28" s="66" t="s">
        <v>152</v>
      </c>
      <c r="G28" s="67" t="s">
        <v>152</v>
      </c>
      <c r="H28" s="66" t="s">
        <v>152</v>
      </c>
      <c r="I28" s="66" t="s">
        <v>152</v>
      </c>
      <c r="J28" s="66" t="s">
        <v>152</v>
      </c>
      <c r="K28" s="66" t="s">
        <v>152</v>
      </c>
      <c r="L28" s="66" t="s">
        <v>152</v>
      </c>
      <c r="M28" s="66" t="s">
        <v>152</v>
      </c>
      <c r="N28" s="66" t="s">
        <v>152</v>
      </c>
      <c r="O28" s="66" t="s">
        <v>152</v>
      </c>
      <c r="P28" s="66">
        <v>1471</v>
      </c>
      <c r="Q28" s="66">
        <v>356</v>
      </c>
      <c r="R28" s="295" t="s">
        <v>152</v>
      </c>
    </row>
    <row r="29" spans="1:21" s="63" customFormat="1" ht="15.6" x14ac:dyDescent="0.3">
      <c r="A29" s="75" t="s">
        <v>32</v>
      </c>
      <c r="B29" s="170" t="s">
        <v>152</v>
      </c>
      <c r="C29" s="67" t="s">
        <v>152</v>
      </c>
      <c r="D29" s="66" t="s">
        <v>152</v>
      </c>
      <c r="E29" s="66" t="s">
        <v>152</v>
      </c>
      <c r="F29" s="66" t="s">
        <v>152</v>
      </c>
      <c r="G29" s="67" t="s">
        <v>152</v>
      </c>
      <c r="H29" s="66" t="s">
        <v>152</v>
      </c>
      <c r="I29" s="66" t="s">
        <v>152</v>
      </c>
      <c r="J29" s="66" t="s">
        <v>152</v>
      </c>
      <c r="K29" s="66" t="s">
        <v>152</v>
      </c>
      <c r="L29" s="66" t="s">
        <v>152</v>
      </c>
      <c r="M29" s="66" t="s">
        <v>152</v>
      </c>
      <c r="N29" s="66" t="s">
        <v>152</v>
      </c>
      <c r="O29" s="66" t="s">
        <v>152</v>
      </c>
      <c r="P29" s="66">
        <v>956</v>
      </c>
      <c r="Q29" s="66">
        <v>202</v>
      </c>
      <c r="R29" s="295" t="s">
        <v>152</v>
      </c>
    </row>
    <row r="30" spans="1:21" s="63" customFormat="1" ht="15.6" x14ac:dyDescent="0.3">
      <c r="A30" s="75" t="s">
        <v>33</v>
      </c>
      <c r="B30" s="170" t="s">
        <v>152</v>
      </c>
      <c r="C30" s="67" t="s">
        <v>152</v>
      </c>
      <c r="D30" s="66" t="s">
        <v>152</v>
      </c>
      <c r="E30" s="66" t="s">
        <v>152</v>
      </c>
      <c r="F30" s="66" t="s">
        <v>152</v>
      </c>
      <c r="G30" s="67" t="s">
        <v>152</v>
      </c>
      <c r="H30" s="66" t="s">
        <v>152</v>
      </c>
      <c r="I30" s="66" t="s">
        <v>152</v>
      </c>
      <c r="J30" s="66" t="s">
        <v>152</v>
      </c>
      <c r="K30" s="66" t="s">
        <v>152</v>
      </c>
      <c r="L30" s="66" t="s">
        <v>152</v>
      </c>
      <c r="M30" s="66" t="s">
        <v>152</v>
      </c>
      <c r="N30" s="66" t="s">
        <v>152</v>
      </c>
      <c r="O30" s="66" t="s">
        <v>152</v>
      </c>
      <c r="P30" s="66">
        <v>389</v>
      </c>
      <c r="Q30" s="66">
        <v>598</v>
      </c>
      <c r="R30" s="295" t="s">
        <v>152</v>
      </c>
    </row>
    <row r="31" spans="1:21" s="63" customFormat="1" ht="15.6" x14ac:dyDescent="0.3">
      <c r="A31" s="75" t="s">
        <v>34</v>
      </c>
      <c r="B31" s="170" t="s">
        <v>152</v>
      </c>
      <c r="C31" s="67" t="s">
        <v>152</v>
      </c>
      <c r="D31" s="66" t="s">
        <v>152</v>
      </c>
      <c r="E31" s="66" t="s">
        <v>152</v>
      </c>
      <c r="F31" s="66" t="s">
        <v>152</v>
      </c>
      <c r="G31" s="67" t="s">
        <v>152</v>
      </c>
      <c r="H31" s="66" t="s">
        <v>152</v>
      </c>
      <c r="I31" s="66" t="s">
        <v>152</v>
      </c>
      <c r="J31" s="66" t="s">
        <v>152</v>
      </c>
      <c r="K31" s="66" t="s">
        <v>152</v>
      </c>
      <c r="L31" s="66" t="s">
        <v>152</v>
      </c>
      <c r="M31" s="66" t="s">
        <v>152</v>
      </c>
      <c r="N31" s="66" t="s">
        <v>152</v>
      </c>
      <c r="O31" s="68" t="s">
        <v>152</v>
      </c>
      <c r="P31" s="66">
        <v>492</v>
      </c>
      <c r="Q31" s="66">
        <v>263</v>
      </c>
      <c r="R31" s="295" t="s">
        <v>152</v>
      </c>
    </row>
    <row r="32" spans="1:21" s="63" customFormat="1" ht="16.2" thickBot="1" x14ac:dyDescent="0.35">
      <c r="A32" s="88" t="s">
        <v>36</v>
      </c>
      <c r="B32" s="87" t="s">
        <v>152</v>
      </c>
      <c r="C32" s="72" t="s">
        <v>152</v>
      </c>
      <c r="D32" s="72" t="s">
        <v>152</v>
      </c>
      <c r="E32" s="72" t="s">
        <v>152</v>
      </c>
      <c r="F32" s="72" t="s">
        <v>152</v>
      </c>
      <c r="G32" s="72" t="s">
        <v>152</v>
      </c>
      <c r="H32" s="71" t="s">
        <v>152</v>
      </c>
      <c r="I32" s="71" t="s">
        <v>152</v>
      </c>
      <c r="J32" s="71" t="s">
        <v>152</v>
      </c>
      <c r="K32" s="71" t="s">
        <v>152</v>
      </c>
      <c r="L32" s="71" t="s">
        <v>152</v>
      </c>
      <c r="M32" s="71" t="s">
        <v>152</v>
      </c>
      <c r="N32" s="71" t="s">
        <v>152</v>
      </c>
      <c r="O32" s="71" t="s">
        <v>152</v>
      </c>
      <c r="P32" s="71">
        <v>62</v>
      </c>
      <c r="Q32" s="71">
        <v>93</v>
      </c>
      <c r="R32" s="292" t="s">
        <v>152</v>
      </c>
    </row>
    <row r="33" spans="1:20" s="63" customFormat="1" ht="16.2" thickTop="1" x14ac:dyDescent="0.3">
      <c r="A33" s="89" t="s">
        <v>37</v>
      </c>
      <c r="B33" s="90" t="s">
        <v>152</v>
      </c>
      <c r="C33" s="73" t="s">
        <v>152</v>
      </c>
      <c r="D33" s="73" t="s">
        <v>152</v>
      </c>
      <c r="E33" s="73" t="s">
        <v>152</v>
      </c>
      <c r="F33" s="73" t="s">
        <v>152</v>
      </c>
      <c r="G33" s="73" t="s">
        <v>152</v>
      </c>
      <c r="H33" s="73" t="s">
        <v>152</v>
      </c>
      <c r="I33" s="73" t="s">
        <v>152</v>
      </c>
      <c r="J33" s="73" t="s">
        <v>152</v>
      </c>
      <c r="K33" s="73" t="s">
        <v>152</v>
      </c>
      <c r="L33" s="73" t="s">
        <v>152</v>
      </c>
      <c r="M33" s="73" t="s">
        <v>152</v>
      </c>
      <c r="N33" s="73" t="s">
        <v>152</v>
      </c>
      <c r="O33" s="73" t="s">
        <v>152</v>
      </c>
      <c r="P33" s="273">
        <f t="shared" ref="P33:R33" si="1">SUM(P21:P32)</f>
        <v>6496</v>
      </c>
      <c r="Q33" s="273">
        <f t="shared" si="1"/>
        <v>3996</v>
      </c>
      <c r="R33" s="288">
        <f t="shared" si="1"/>
        <v>1558</v>
      </c>
    </row>
    <row r="34" spans="1:20" s="113" customFormat="1" ht="6.6" x14ac:dyDescent="0.3">
      <c r="A34" s="387"/>
      <c r="B34" s="387"/>
      <c r="C34" s="387"/>
      <c r="D34" s="387"/>
      <c r="E34" s="387"/>
      <c r="F34" s="387"/>
      <c r="G34" s="387"/>
      <c r="H34" s="387"/>
      <c r="I34" s="387"/>
      <c r="J34" s="387"/>
      <c r="K34" s="387"/>
      <c r="L34" s="387"/>
      <c r="M34" s="387"/>
      <c r="N34" s="387"/>
      <c r="O34" s="387"/>
      <c r="P34" s="387"/>
      <c r="Q34" s="387"/>
      <c r="R34" s="387"/>
    </row>
    <row r="35" spans="1:20" s="106" customFormat="1" ht="18" x14ac:dyDescent="0.3">
      <c r="A35" s="385" t="s">
        <v>170</v>
      </c>
      <c r="B35" s="385"/>
      <c r="C35" s="385"/>
      <c r="D35" s="385"/>
      <c r="E35" s="385"/>
      <c r="F35" s="385"/>
      <c r="G35" s="385"/>
      <c r="H35" s="385"/>
      <c r="I35" s="385"/>
      <c r="J35" s="385"/>
      <c r="K35" s="385"/>
      <c r="L35" s="385"/>
      <c r="M35" s="385"/>
      <c r="N35" s="385"/>
      <c r="O35" s="385"/>
      <c r="P35" s="385"/>
      <c r="Q35" s="385"/>
      <c r="R35" s="385"/>
      <c r="S35" s="385"/>
      <c r="T35" s="385"/>
    </row>
    <row r="36" spans="1:20" s="63" customFormat="1" ht="15.6" x14ac:dyDescent="0.3">
      <c r="A36" s="77" t="s">
        <v>23</v>
      </c>
      <c r="B36" s="91">
        <v>2004</v>
      </c>
      <c r="C36" s="64">
        <v>2005</v>
      </c>
      <c r="D36" s="64">
        <v>2006</v>
      </c>
      <c r="E36" s="64">
        <v>2007</v>
      </c>
      <c r="F36" s="64">
        <v>2008</v>
      </c>
      <c r="G36" s="64">
        <v>2009</v>
      </c>
      <c r="H36" s="64">
        <v>2010</v>
      </c>
      <c r="I36" s="64">
        <v>2011</v>
      </c>
      <c r="J36" s="65">
        <v>2012</v>
      </c>
      <c r="K36" s="65">
        <v>2013</v>
      </c>
      <c r="L36" s="65">
        <v>2014</v>
      </c>
      <c r="M36" s="65">
        <v>2015</v>
      </c>
      <c r="N36" s="65">
        <v>2016</v>
      </c>
      <c r="O36" s="65">
        <v>2017</v>
      </c>
      <c r="P36" s="65">
        <v>2018</v>
      </c>
      <c r="Q36" s="65">
        <v>2019</v>
      </c>
      <c r="R36" s="49">
        <v>2020</v>
      </c>
    </row>
    <row r="37" spans="1:20" s="63" customFormat="1" ht="15.6" x14ac:dyDescent="0.3">
      <c r="A37" s="76" t="s">
        <v>24</v>
      </c>
      <c r="B37" s="108" t="s">
        <v>152</v>
      </c>
      <c r="C37" s="107" t="s">
        <v>152</v>
      </c>
      <c r="D37" s="83" t="s">
        <v>152</v>
      </c>
      <c r="E37" s="83" t="s">
        <v>152</v>
      </c>
      <c r="F37" s="83" t="s">
        <v>152</v>
      </c>
      <c r="G37" s="107" t="s">
        <v>152</v>
      </c>
      <c r="H37" s="83" t="s">
        <v>152</v>
      </c>
      <c r="I37" s="83" t="s">
        <v>152</v>
      </c>
      <c r="J37" s="83" t="s">
        <v>152</v>
      </c>
      <c r="K37" s="83" t="s">
        <v>152</v>
      </c>
      <c r="L37" s="83" t="s">
        <v>152</v>
      </c>
      <c r="M37" s="83" t="s">
        <v>152</v>
      </c>
      <c r="N37" s="83" t="s">
        <v>152</v>
      </c>
      <c r="O37" s="83" t="s">
        <v>152</v>
      </c>
      <c r="P37" s="271">
        <v>0</v>
      </c>
      <c r="Q37" s="271">
        <v>0</v>
      </c>
      <c r="R37" s="286">
        <v>0</v>
      </c>
    </row>
    <row r="38" spans="1:20" s="63" customFormat="1" ht="15.6" x14ac:dyDescent="0.3">
      <c r="A38" s="75" t="s">
        <v>25</v>
      </c>
      <c r="B38" s="170" t="s">
        <v>152</v>
      </c>
      <c r="C38" s="67" t="s">
        <v>152</v>
      </c>
      <c r="D38" s="66" t="s">
        <v>152</v>
      </c>
      <c r="E38" s="66" t="s">
        <v>152</v>
      </c>
      <c r="F38" s="66" t="s">
        <v>152</v>
      </c>
      <c r="G38" s="67" t="s">
        <v>152</v>
      </c>
      <c r="H38" s="66" t="s">
        <v>152</v>
      </c>
      <c r="I38" s="66" t="s">
        <v>152</v>
      </c>
      <c r="J38" s="68" t="s">
        <v>152</v>
      </c>
      <c r="K38" s="66" t="s">
        <v>152</v>
      </c>
      <c r="L38" s="66" t="s">
        <v>152</v>
      </c>
      <c r="M38" s="66" t="s">
        <v>152</v>
      </c>
      <c r="N38" s="66" t="s">
        <v>152</v>
      </c>
      <c r="O38" s="66" t="s">
        <v>152</v>
      </c>
      <c r="P38" s="66">
        <v>0</v>
      </c>
      <c r="Q38" s="66">
        <v>0</v>
      </c>
      <c r="R38" s="287">
        <v>0</v>
      </c>
    </row>
    <row r="39" spans="1:20" s="63" customFormat="1" ht="15.6" x14ac:dyDescent="0.3">
      <c r="A39" s="75" t="s">
        <v>26</v>
      </c>
      <c r="B39" s="170" t="s">
        <v>152</v>
      </c>
      <c r="C39" s="67" t="s">
        <v>152</v>
      </c>
      <c r="D39" s="66" t="s">
        <v>152</v>
      </c>
      <c r="E39" s="66" t="s">
        <v>152</v>
      </c>
      <c r="F39" s="66" t="s">
        <v>152</v>
      </c>
      <c r="G39" s="67" t="s">
        <v>152</v>
      </c>
      <c r="H39" s="66" t="s">
        <v>152</v>
      </c>
      <c r="I39" s="66" t="s">
        <v>152</v>
      </c>
      <c r="J39" s="66" t="s">
        <v>152</v>
      </c>
      <c r="K39" s="66" t="s">
        <v>152</v>
      </c>
      <c r="L39" s="66" t="s">
        <v>152</v>
      </c>
      <c r="M39" s="66" t="s">
        <v>152</v>
      </c>
      <c r="N39" s="66" t="s">
        <v>152</v>
      </c>
      <c r="O39" s="66" t="s">
        <v>152</v>
      </c>
      <c r="P39" s="66">
        <v>0</v>
      </c>
      <c r="Q39" s="66">
        <v>0</v>
      </c>
      <c r="R39" s="287">
        <v>0</v>
      </c>
    </row>
    <row r="40" spans="1:20" s="63" customFormat="1" ht="15.6" x14ac:dyDescent="0.3">
      <c r="A40" s="75" t="s">
        <v>27</v>
      </c>
      <c r="B40" s="170" t="s">
        <v>152</v>
      </c>
      <c r="C40" s="67" t="s">
        <v>152</v>
      </c>
      <c r="D40" s="66" t="s">
        <v>152</v>
      </c>
      <c r="E40" s="66" t="s">
        <v>152</v>
      </c>
      <c r="F40" s="66" t="s">
        <v>152</v>
      </c>
      <c r="G40" s="67" t="s">
        <v>152</v>
      </c>
      <c r="H40" s="66" t="s">
        <v>152</v>
      </c>
      <c r="I40" s="66" t="s">
        <v>152</v>
      </c>
      <c r="J40" s="66" t="s">
        <v>152</v>
      </c>
      <c r="K40" s="66" t="s">
        <v>152</v>
      </c>
      <c r="L40" s="66" t="s">
        <v>152</v>
      </c>
      <c r="M40" s="66" t="s">
        <v>152</v>
      </c>
      <c r="N40" s="66" t="s">
        <v>152</v>
      </c>
      <c r="O40" s="66" t="s">
        <v>152</v>
      </c>
      <c r="P40" s="66">
        <v>0</v>
      </c>
      <c r="Q40" s="66">
        <v>0</v>
      </c>
      <c r="R40" s="287">
        <v>0</v>
      </c>
    </row>
    <row r="41" spans="1:20" s="63" customFormat="1" ht="15.6" x14ac:dyDescent="0.3">
      <c r="A41" s="75" t="s">
        <v>28</v>
      </c>
      <c r="B41" s="170" t="s">
        <v>152</v>
      </c>
      <c r="C41" s="67" t="s">
        <v>152</v>
      </c>
      <c r="D41" s="66" t="s">
        <v>152</v>
      </c>
      <c r="E41" s="66" t="s">
        <v>152</v>
      </c>
      <c r="F41" s="66" t="s">
        <v>152</v>
      </c>
      <c r="G41" s="67" t="s">
        <v>152</v>
      </c>
      <c r="H41" s="66" t="s">
        <v>152</v>
      </c>
      <c r="I41" s="66" t="s">
        <v>152</v>
      </c>
      <c r="J41" s="66" t="s">
        <v>152</v>
      </c>
      <c r="K41" s="66" t="s">
        <v>152</v>
      </c>
      <c r="L41" s="66" t="s">
        <v>152</v>
      </c>
      <c r="M41" s="66" t="s">
        <v>152</v>
      </c>
      <c r="N41" s="66" t="s">
        <v>152</v>
      </c>
      <c r="O41" s="66" t="s">
        <v>152</v>
      </c>
      <c r="P41" s="66">
        <v>0</v>
      </c>
      <c r="Q41" s="66">
        <v>0</v>
      </c>
      <c r="R41" s="287">
        <v>0</v>
      </c>
    </row>
    <row r="42" spans="1:20" s="63" customFormat="1" ht="15.6" x14ac:dyDescent="0.3">
      <c r="A42" s="75" t="s">
        <v>29</v>
      </c>
      <c r="B42" s="170" t="s">
        <v>152</v>
      </c>
      <c r="C42" s="67" t="s">
        <v>152</v>
      </c>
      <c r="D42" s="66" t="s">
        <v>152</v>
      </c>
      <c r="E42" s="66" t="s">
        <v>152</v>
      </c>
      <c r="F42" s="66" t="s">
        <v>152</v>
      </c>
      <c r="G42" s="67" t="s">
        <v>152</v>
      </c>
      <c r="H42" s="66" t="s">
        <v>152</v>
      </c>
      <c r="I42" s="66" t="s">
        <v>152</v>
      </c>
      <c r="J42" s="66" t="s">
        <v>152</v>
      </c>
      <c r="K42" s="66" t="s">
        <v>152</v>
      </c>
      <c r="L42" s="66" t="s">
        <v>152</v>
      </c>
      <c r="M42" s="66" t="s">
        <v>152</v>
      </c>
      <c r="N42" s="66" t="s">
        <v>152</v>
      </c>
      <c r="O42" s="66" t="s">
        <v>152</v>
      </c>
      <c r="P42" s="66">
        <v>0</v>
      </c>
      <c r="Q42" s="66">
        <v>0</v>
      </c>
      <c r="R42" s="287">
        <v>0</v>
      </c>
    </row>
    <row r="43" spans="1:20" s="63" customFormat="1" ht="15.6" x14ac:dyDescent="0.3">
      <c r="A43" s="75" t="s">
        <v>30</v>
      </c>
      <c r="B43" s="170" t="s">
        <v>152</v>
      </c>
      <c r="C43" s="67" t="s">
        <v>152</v>
      </c>
      <c r="D43" s="66" t="s">
        <v>152</v>
      </c>
      <c r="E43" s="66" t="s">
        <v>152</v>
      </c>
      <c r="F43" s="66" t="s">
        <v>152</v>
      </c>
      <c r="G43" s="67" t="s">
        <v>152</v>
      </c>
      <c r="H43" s="66" t="s">
        <v>152</v>
      </c>
      <c r="I43" s="66" t="s">
        <v>152</v>
      </c>
      <c r="J43" s="66" t="s">
        <v>152</v>
      </c>
      <c r="K43" s="66" t="s">
        <v>152</v>
      </c>
      <c r="L43" s="66" t="s">
        <v>152</v>
      </c>
      <c r="M43" s="66" t="s">
        <v>152</v>
      </c>
      <c r="N43" s="66" t="s">
        <v>152</v>
      </c>
      <c r="O43" s="66" t="s">
        <v>152</v>
      </c>
      <c r="P43" s="66">
        <v>0</v>
      </c>
      <c r="Q43" s="66">
        <v>0</v>
      </c>
      <c r="R43" s="295" t="s">
        <v>152</v>
      </c>
    </row>
    <row r="44" spans="1:20" s="63" customFormat="1" ht="15.6" x14ac:dyDescent="0.3">
      <c r="A44" s="75" t="s">
        <v>31</v>
      </c>
      <c r="B44" s="170" t="s">
        <v>152</v>
      </c>
      <c r="C44" s="67" t="s">
        <v>152</v>
      </c>
      <c r="D44" s="66" t="s">
        <v>152</v>
      </c>
      <c r="E44" s="66" t="s">
        <v>152</v>
      </c>
      <c r="F44" s="66" t="s">
        <v>152</v>
      </c>
      <c r="G44" s="67" t="s">
        <v>152</v>
      </c>
      <c r="H44" s="66" t="s">
        <v>152</v>
      </c>
      <c r="I44" s="66" t="s">
        <v>152</v>
      </c>
      <c r="J44" s="66" t="s">
        <v>152</v>
      </c>
      <c r="K44" s="66" t="s">
        <v>152</v>
      </c>
      <c r="L44" s="66" t="s">
        <v>152</v>
      </c>
      <c r="M44" s="66" t="s">
        <v>152</v>
      </c>
      <c r="N44" s="66" t="s">
        <v>152</v>
      </c>
      <c r="O44" s="66" t="s">
        <v>152</v>
      </c>
      <c r="P44" s="66">
        <v>0</v>
      </c>
      <c r="Q44" s="66">
        <v>0</v>
      </c>
      <c r="R44" s="295" t="s">
        <v>152</v>
      </c>
    </row>
    <row r="45" spans="1:20" s="63" customFormat="1" ht="15.6" x14ac:dyDescent="0.3">
      <c r="A45" s="75" t="s">
        <v>32</v>
      </c>
      <c r="B45" s="170" t="s">
        <v>152</v>
      </c>
      <c r="C45" s="67" t="s">
        <v>152</v>
      </c>
      <c r="D45" s="66" t="s">
        <v>152</v>
      </c>
      <c r="E45" s="66" t="s">
        <v>152</v>
      </c>
      <c r="F45" s="66" t="s">
        <v>152</v>
      </c>
      <c r="G45" s="67" t="s">
        <v>152</v>
      </c>
      <c r="H45" s="66" t="s">
        <v>152</v>
      </c>
      <c r="I45" s="66" t="s">
        <v>152</v>
      </c>
      <c r="J45" s="66" t="s">
        <v>152</v>
      </c>
      <c r="K45" s="66" t="s">
        <v>152</v>
      </c>
      <c r="L45" s="66" t="s">
        <v>152</v>
      </c>
      <c r="M45" s="66" t="s">
        <v>152</v>
      </c>
      <c r="N45" s="66" t="s">
        <v>152</v>
      </c>
      <c r="O45" s="66" t="s">
        <v>152</v>
      </c>
      <c r="P45" s="66">
        <v>0</v>
      </c>
      <c r="Q45" s="66">
        <v>0</v>
      </c>
      <c r="R45" s="295" t="s">
        <v>152</v>
      </c>
    </row>
    <row r="46" spans="1:20" s="63" customFormat="1" ht="15.6" x14ac:dyDescent="0.3">
      <c r="A46" s="75" t="s">
        <v>33</v>
      </c>
      <c r="B46" s="170" t="s">
        <v>152</v>
      </c>
      <c r="C46" s="67" t="s">
        <v>152</v>
      </c>
      <c r="D46" s="66" t="s">
        <v>152</v>
      </c>
      <c r="E46" s="66" t="s">
        <v>152</v>
      </c>
      <c r="F46" s="66" t="s">
        <v>152</v>
      </c>
      <c r="G46" s="67" t="s">
        <v>152</v>
      </c>
      <c r="H46" s="66" t="s">
        <v>152</v>
      </c>
      <c r="I46" s="66" t="s">
        <v>152</v>
      </c>
      <c r="J46" s="66" t="s">
        <v>152</v>
      </c>
      <c r="K46" s="66" t="s">
        <v>152</v>
      </c>
      <c r="L46" s="66" t="s">
        <v>152</v>
      </c>
      <c r="M46" s="66" t="s">
        <v>152</v>
      </c>
      <c r="N46" s="66" t="s">
        <v>152</v>
      </c>
      <c r="O46" s="66" t="s">
        <v>152</v>
      </c>
      <c r="P46" s="66">
        <v>0</v>
      </c>
      <c r="Q46" s="66">
        <v>0</v>
      </c>
      <c r="R46" s="295" t="s">
        <v>152</v>
      </c>
    </row>
    <row r="47" spans="1:20" s="63" customFormat="1" ht="15.6" x14ac:dyDescent="0.3">
      <c r="A47" s="75" t="s">
        <v>34</v>
      </c>
      <c r="B47" s="170" t="s">
        <v>152</v>
      </c>
      <c r="C47" s="67" t="s">
        <v>152</v>
      </c>
      <c r="D47" s="66" t="s">
        <v>152</v>
      </c>
      <c r="E47" s="66" t="s">
        <v>152</v>
      </c>
      <c r="F47" s="66" t="s">
        <v>152</v>
      </c>
      <c r="G47" s="67" t="s">
        <v>152</v>
      </c>
      <c r="H47" s="66" t="s">
        <v>152</v>
      </c>
      <c r="I47" s="66" t="s">
        <v>152</v>
      </c>
      <c r="J47" s="66" t="s">
        <v>152</v>
      </c>
      <c r="K47" s="66" t="s">
        <v>152</v>
      </c>
      <c r="L47" s="66" t="s">
        <v>152</v>
      </c>
      <c r="M47" s="66" t="s">
        <v>152</v>
      </c>
      <c r="N47" s="66" t="s">
        <v>152</v>
      </c>
      <c r="O47" s="68" t="s">
        <v>152</v>
      </c>
      <c r="P47" s="66">
        <v>0</v>
      </c>
      <c r="Q47" s="66">
        <v>0</v>
      </c>
      <c r="R47" s="295" t="s">
        <v>152</v>
      </c>
    </row>
    <row r="48" spans="1:20" s="63" customFormat="1" ht="16.2" thickBot="1" x14ac:dyDescent="0.35">
      <c r="A48" s="88" t="s">
        <v>36</v>
      </c>
      <c r="B48" s="87" t="s">
        <v>152</v>
      </c>
      <c r="C48" s="72" t="s">
        <v>152</v>
      </c>
      <c r="D48" s="72" t="s">
        <v>152</v>
      </c>
      <c r="E48" s="72" t="s">
        <v>152</v>
      </c>
      <c r="F48" s="72" t="s">
        <v>152</v>
      </c>
      <c r="G48" s="72" t="s">
        <v>152</v>
      </c>
      <c r="H48" s="71" t="s">
        <v>152</v>
      </c>
      <c r="I48" s="71" t="s">
        <v>152</v>
      </c>
      <c r="J48" s="93" t="s">
        <v>152</v>
      </c>
      <c r="K48" s="71" t="s">
        <v>152</v>
      </c>
      <c r="L48" s="71" t="s">
        <v>152</v>
      </c>
      <c r="M48" s="71" t="s">
        <v>152</v>
      </c>
      <c r="N48" s="71" t="s">
        <v>152</v>
      </c>
      <c r="O48" s="71" t="s">
        <v>152</v>
      </c>
      <c r="P48" s="71">
        <v>0</v>
      </c>
      <c r="Q48" s="71">
        <v>0</v>
      </c>
      <c r="R48" s="292" t="s">
        <v>152</v>
      </c>
    </row>
    <row r="49" spans="1:20" s="63" customFormat="1" ht="16.2" thickTop="1" x14ac:dyDescent="0.3">
      <c r="A49" s="89" t="s">
        <v>37</v>
      </c>
      <c r="B49" s="90" t="s">
        <v>152</v>
      </c>
      <c r="C49" s="73" t="s">
        <v>152</v>
      </c>
      <c r="D49" s="73" t="s">
        <v>152</v>
      </c>
      <c r="E49" s="73" t="s">
        <v>152</v>
      </c>
      <c r="F49" s="73" t="s">
        <v>152</v>
      </c>
      <c r="G49" s="73" t="s">
        <v>152</v>
      </c>
      <c r="H49" s="73" t="s">
        <v>152</v>
      </c>
      <c r="I49" s="73" t="s">
        <v>152</v>
      </c>
      <c r="J49" s="73" t="s">
        <v>152</v>
      </c>
      <c r="K49" s="73" t="s">
        <v>152</v>
      </c>
      <c r="L49" s="73" t="s">
        <v>152</v>
      </c>
      <c r="M49" s="73" t="s">
        <v>152</v>
      </c>
      <c r="N49" s="73" t="s">
        <v>152</v>
      </c>
      <c r="O49" s="73" t="s">
        <v>152</v>
      </c>
      <c r="P49" s="273">
        <f t="shared" ref="P49:R49" si="2">SUM(P37:P48)</f>
        <v>0</v>
      </c>
      <c r="Q49" s="273">
        <f t="shared" si="2"/>
        <v>0</v>
      </c>
      <c r="R49" s="288">
        <f t="shared" si="2"/>
        <v>0</v>
      </c>
    </row>
    <row r="50" spans="1:20" s="113" customFormat="1" ht="6.6" x14ac:dyDescent="0.3">
      <c r="A50" s="387"/>
      <c r="B50" s="387"/>
      <c r="C50" s="387"/>
      <c r="D50" s="387"/>
      <c r="E50" s="387"/>
      <c r="F50" s="387"/>
      <c r="G50" s="387"/>
      <c r="H50" s="387"/>
      <c r="I50" s="387"/>
      <c r="J50" s="387"/>
      <c r="K50" s="387"/>
      <c r="L50" s="387"/>
      <c r="M50" s="387"/>
      <c r="N50" s="387"/>
      <c r="O50" s="387"/>
      <c r="P50" s="387"/>
      <c r="Q50" s="387"/>
      <c r="R50" s="387"/>
    </row>
    <row r="51" spans="1:20" s="111" customFormat="1" ht="13.8" x14ac:dyDescent="0.3">
      <c r="A51" s="373" t="s">
        <v>175</v>
      </c>
      <c r="B51" s="373"/>
      <c r="C51" s="373"/>
      <c r="D51" s="373"/>
      <c r="E51" s="373"/>
      <c r="F51" s="373"/>
      <c r="G51" s="373"/>
      <c r="H51" s="373"/>
      <c r="I51" s="373"/>
      <c r="J51" s="373"/>
      <c r="K51" s="373"/>
      <c r="L51" s="373"/>
      <c r="M51" s="373"/>
      <c r="N51" s="373"/>
      <c r="O51" s="373"/>
      <c r="P51" s="373"/>
      <c r="Q51" s="373"/>
      <c r="R51" s="373"/>
    </row>
    <row r="52" spans="1:20" s="111" customFormat="1" ht="13.8" x14ac:dyDescent="0.3">
      <c r="A52" s="384" t="str">
        <f>'Local SUT'!A60</f>
        <v>Source:  Minnesota Department of Revenue, Tax Research Division, February 2021</v>
      </c>
      <c r="B52" s="384"/>
      <c r="C52" s="384"/>
      <c r="D52" s="384"/>
      <c r="E52" s="384"/>
      <c r="F52" s="384"/>
      <c r="G52" s="384"/>
      <c r="H52" s="384"/>
      <c r="I52" s="384"/>
      <c r="J52" s="384"/>
      <c r="K52" s="384"/>
      <c r="L52" s="384"/>
      <c r="M52" s="384"/>
      <c r="N52" s="384"/>
      <c r="O52" s="384"/>
      <c r="P52" s="384"/>
      <c r="Q52" s="384"/>
      <c r="R52" s="384"/>
      <c r="S52" s="384"/>
      <c r="T52" s="300"/>
    </row>
    <row r="53" spans="1:20" s="111" customFormat="1" ht="13.8" x14ac:dyDescent="0.3">
      <c r="A53" s="379" t="s">
        <v>151</v>
      </c>
      <c r="B53" s="379"/>
      <c r="C53" s="379"/>
      <c r="D53" s="379"/>
      <c r="E53" s="379"/>
      <c r="F53" s="379"/>
      <c r="G53" s="379"/>
      <c r="H53" s="379"/>
      <c r="I53" s="379"/>
      <c r="J53" s="379"/>
      <c r="K53" s="379"/>
      <c r="L53" s="379"/>
      <c r="M53" s="379"/>
      <c r="N53" s="379"/>
      <c r="O53" s="379"/>
      <c r="P53" s="379"/>
      <c r="Q53" s="379"/>
      <c r="R53" s="379"/>
    </row>
    <row r="54" spans="1:20" x14ac:dyDescent="0.3">
      <c r="R54" s="117"/>
    </row>
  </sheetData>
  <mergeCells count="11">
    <mergeCell ref="A3:U3"/>
    <mergeCell ref="A1:U1"/>
    <mergeCell ref="A2:R2"/>
    <mergeCell ref="A19:U19"/>
    <mergeCell ref="A18:R18"/>
    <mergeCell ref="A53:R53"/>
    <mergeCell ref="A34:R34"/>
    <mergeCell ref="A51:R51"/>
    <mergeCell ref="A35:T35"/>
    <mergeCell ref="A50:R50"/>
    <mergeCell ref="A52:S52"/>
  </mergeCells>
  <pageMargins left="0.5" right="0.5" top="0.75" bottom="0.75" header="0.3" footer="0.3"/>
  <pageSetup scale="86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2"/>
  <dimension ref="A1:R54"/>
  <sheetViews>
    <sheetView showGridLines="0" topLeftCell="C1" zoomScaleNormal="100" workbookViewId="0">
      <pane ySplit="1" topLeftCell="A2" activePane="bottomLeft" state="frozen"/>
      <selection pane="bottomLeft" sqref="A1:R1"/>
    </sheetView>
  </sheetViews>
  <sheetFormatPr defaultColWidth="12.5546875" defaultRowHeight="14.4" x14ac:dyDescent="0.3"/>
  <cols>
    <col min="1" max="1" width="12.5546875" style="114"/>
    <col min="2" max="17" width="13.5546875" style="74" customWidth="1"/>
    <col min="18" max="18" width="13.5546875" style="145" customWidth="1"/>
    <col min="19" max="16384" width="12.5546875" style="74"/>
  </cols>
  <sheetData>
    <row r="1" spans="1:18" s="112" customFormat="1" ht="21" x14ac:dyDescent="0.3">
      <c r="A1" s="380" t="s">
        <v>200</v>
      </c>
      <c r="B1" s="380"/>
      <c r="C1" s="380"/>
      <c r="D1" s="380"/>
      <c r="E1" s="380"/>
      <c r="F1" s="380"/>
      <c r="G1" s="380"/>
      <c r="H1" s="380"/>
      <c r="I1" s="380"/>
      <c r="J1" s="380"/>
      <c r="K1" s="380"/>
      <c r="L1" s="380"/>
      <c r="M1" s="380"/>
      <c r="N1" s="380"/>
      <c r="O1" s="380"/>
      <c r="P1" s="380"/>
      <c r="Q1" s="380"/>
      <c r="R1" s="380"/>
    </row>
    <row r="2" spans="1:18" s="106" customFormat="1" ht="18" x14ac:dyDescent="0.3">
      <c r="A2" s="381" t="str">
        <f>'Local SUT'!A2</f>
        <v>CY 2004-2020</v>
      </c>
      <c r="B2" s="381"/>
      <c r="C2" s="381"/>
      <c r="D2" s="381"/>
      <c r="E2" s="381"/>
      <c r="F2" s="381"/>
      <c r="G2" s="381"/>
      <c r="H2" s="381"/>
      <c r="I2" s="381"/>
      <c r="J2" s="381"/>
      <c r="K2" s="381"/>
      <c r="L2" s="381"/>
      <c r="M2" s="381"/>
      <c r="N2" s="381"/>
      <c r="O2" s="381"/>
      <c r="P2" s="381"/>
      <c r="Q2" s="381"/>
      <c r="R2" s="381"/>
    </row>
    <row r="3" spans="1:18" s="106" customFormat="1" ht="18" x14ac:dyDescent="0.3">
      <c r="A3" s="370" t="s">
        <v>95</v>
      </c>
      <c r="B3" s="370"/>
      <c r="C3" s="370"/>
      <c r="D3" s="370"/>
      <c r="E3" s="370"/>
      <c r="F3" s="370"/>
      <c r="G3" s="370"/>
      <c r="H3" s="370"/>
      <c r="I3" s="370"/>
      <c r="J3" s="370"/>
      <c r="K3" s="370"/>
      <c r="L3" s="370"/>
      <c r="M3" s="370"/>
      <c r="N3" s="370"/>
      <c r="O3" s="370"/>
      <c r="P3" s="370"/>
      <c r="Q3" s="370"/>
      <c r="R3" s="370"/>
    </row>
    <row r="4" spans="1:18" s="63" customFormat="1" ht="15.6" x14ac:dyDescent="0.3">
      <c r="A4" s="77" t="s">
        <v>23</v>
      </c>
      <c r="B4" s="91">
        <v>2004</v>
      </c>
      <c r="C4" s="64">
        <v>2005</v>
      </c>
      <c r="D4" s="64">
        <v>2006</v>
      </c>
      <c r="E4" s="64">
        <v>2007</v>
      </c>
      <c r="F4" s="64">
        <v>2008</v>
      </c>
      <c r="G4" s="64">
        <v>2009</v>
      </c>
      <c r="H4" s="64">
        <v>2010</v>
      </c>
      <c r="I4" s="64">
        <v>2011</v>
      </c>
      <c r="J4" s="65">
        <v>2012</v>
      </c>
      <c r="K4" s="65">
        <v>2013</v>
      </c>
      <c r="L4" s="65">
        <v>2014</v>
      </c>
      <c r="M4" s="65">
        <v>2015</v>
      </c>
      <c r="N4" s="65">
        <v>2016</v>
      </c>
      <c r="O4" s="65">
        <v>2017</v>
      </c>
      <c r="P4" s="65">
        <v>2018</v>
      </c>
      <c r="Q4" s="65">
        <v>2019</v>
      </c>
      <c r="R4" s="49">
        <v>2020</v>
      </c>
    </row>
    <row r="5" spans="1:18" s="63" customFormat="1" ht="15.6" x14ac:dyDescent="0.3">
      <c r="A5" s="76" t="s">
        <v>24</v>
      </c>
      <c r="B5" s="276">
        <v>89514.99</v>
      </c>
      <c r="C5" s="272">
        <v>100721</v>
      </c>
      <c r="D5" s="271">
        <v>104768</v>
      </c>
      <c r="E5" s="271">
        <v>110415.97</v>
      </c>
      <c r="F5" s="271">
        <v>102873.67</v>
      </c>
      <c r="G5" s="271">
        <v>91403</v>
      </c>
      <c r="H5" s="271">
        <v>97965</v>
      </c>
      <c r="I5" s="271">
        <v>101337</v>
      </c>
      <c r="J5" s="271">
        <v>109857</v>
      </c>
      <c r="K5" s="271">
        <v>108112</v>
      </c>
      <c r="L5" s="271">
        <v>185330</v>
      </c>
      <c r="M5" s="271">
        <v>200577</v>
      </c>
      <c r="N5" s="271">
        <v>239494</v>
      </c>
      <c r="O5" s="271">
        <v>271382</v>
      </c>
      <c r="P5" s="271">
        <v>247827</v>
      </c>
      <c r="Q5" s="271">
        <v>258279</v>
      </c>
      <c r="R5" s="286">
        <v>271499</v>
      </c>
    </row>
    <row r="6" spans="1:18" s="63" customFormat="1" ht="15.6" x14ac:dyDescent="0.3">
      <c r="A6" s="75" t="s">
        <v>25</v>
      </c>
      <c r="B6" s="178">
        <v>87277.37</v>
      </c>
      <c r="C6" s="67">
        <v>70042</v>
      </c>
      <c r="D6" s="66">
        <v>74564.08</v>
      </c>
      <c r="E6" s="66">
        <v>78772.5</v>
      </c>
      <c r="F6" s="66">
        <v>117377.28</v>
      </c>
      <c r="G6" s="66">
        <v>84313</v>
      </c>
      <c r="H6" s="66">
        <v>69694</v>
      </c>
      <c r="I6" s="66">
        <v>72373</v>
      </c>
      <c r="J6" s="66">
        <v>77413</v>
      </c>
      <c r="K6" s="66">
        <v>79958</v>
      </c>
      <c r="L6" s="66">
        <v>198653</v>
      </c>
      <c r="M6" s="66">
        <v>179173</v>
      </c>
      <c r="N6" s="66">
        <v>192010</v>
      </c>
      <c r="O6" s="66">
        <v>185799</v>
      </c>
      <c r="P6" s="66">
        <v>188665</v>
      </c>
      <c r="Q6" s="66">
        <v>202779</v>
      </c>
      <c r="R6" s="287">
        <v>212191</v>
      </c>
    </row>
    <row r="7" spans="1:18" s="63" customFormat="1" ht="15.6" x14ac:dyDescent="0.3">
      <c r="A7" s="75" t="s">
        <v>26</v>
      </c>
      <c r="B7" s="178">
        <v>67678.02</v>
      </c>
      <c r="C7" s="67">
        <v>71962.39</v>
      </c>
      <c r="D7" s="66">
        <v>65365.2</v>
      </c>
      <c r="E7" s="66">
        <v>72486</v>
      </c>
      <c r="F7" s="66">
        <v>72055.360000000001</v>
      </c>
      <c r="G7" s="66">
        <v>64562</v>
      </c>
      <c r="H7" s="66">
        <v>69508</v>
      </c>
      <c r="I7" s="66">
        <v>72838</v>
      </c>
      <c r="J7" s="66">
        <v>77337</v>
      </c>
      <c r="K7" s="66">
        <v>76366</v>
      </c>
      <c r="L7" s="66">
        <v>146968</v>
      </c>
      <c r="M7" s="66">
        <v>195583</v>
      </c>
      <c r="N7" s="66">
        <v>180703</v>
      </c>
      <c r="O7" s="66">
        <v>174098</v>
      </c>
      <c r="P7" s="66">
        <v>172167</v>
      </c>
      <c r="Q7" s="66">
        <v>180986</v>
      </c>
      <c r="R7" s="287">
        <v>205156</v>
      </c>
    </row>
    <row r="8" spans="1:18" s="63" customFormat="1" ht="15.6" x14ac:dyDescent="0.3">
      <c r="A8" s="75" t="s">
        <v>27</v>
      </c>
      <c r="B8" s="178">
        <v>76885</v>
      </c>
      <c r="C8" s="67">
        <v>79894</v>
      </c>
      <c r="D8" s="66">
        <v>81271</v>
      </c>
      <c r="E8" s="66">
        <v>88767.93</v>
      </c>
      <c r="F8" s="66">
        <v>79293.31</v>
      </c>
      <c r="G8" s="66">
        <v>84337</v>
      </c>
      <c r="H8" s="66">
        <v>84727</v>
      </c>
      <c r="I8" s="66">
        <v>66328</v>
      </c>
      <c r="J8" s="66">
        <v>92674</v>
      </c>
      <c r="K8" s="66">
        <v>89015</v>
      </c>
      <c r="L8" s="66">
        <v>172932</v>
      </c>
      <c r="M8" s="66">
        <v>198056</v>
      </c>
      <c r="N8" s="66">
        <v>210152</v>
      </c>
      <c r="O8" s="66">
        <v>214026</v>
      </c>
      <c r="P8" s="66">
        <v>219038</v>
      </c>
      <c r="Q8" s="66">
        <v>219932</v>
      </c>
      <c r="R8" s="287">
        <v>225094</v>
      </c>
    </row>
    <row r="9" spans="1:18" s="63" customFormat="1" ht="15.6" x14ac:dyDescent="0.3">
      <c r="A9" s="75" t="s">
        <v>28</v>
      </c>
      <c r="B9" s="178">
        <v>85754.16</v>
      </c>
      <c r="C9" s="67">
        <v>89520</v>
      </c>
      <c r="D9" s="66">
        <v>86781.19</v>
      </c>
      <c r="E9" s="66">
        <v>85734</v>
      </c>
      <c r="F9" s="66">
        <v>82498.210000000006</v>
      </c>
      <c r="G9" s="66">
        <v>84060</v>
      </c>
      <c r="H9" s="66">
        <v>87376</v>
      </c>
      <c r="I9" s="66">
        <v>99084</v>
      </c>
      <c r="J9" s="66">
        <v>92496</v>
      </c>
      <c r="K9" s="66">
        <v>163871</v>
      </c>
      <c r="L9" s="66">
        <v>181398</v>
      </c>
      <c r="M9" s="66">
        <v>197350</v>
      </c>
      <c r="N9" s="66">
        <v>208683</v>
      </c>
      <c r="O9" s="66">
        <v>230447</v>
      </c>
      <c r="P9" s="66">
        <v>215260</v>
      </c>
      <c r="Q9" s="66">
        <v>228003</v>
      </c>
      <c r="R9" s="287">
        <v>234036</v>
      </c>
    </row>
    <row r="10" spans="1:18" s="63" customFormat="1" ht="15.6" x14ac:dyDescent="0.3">
      <c r="A10" s="75" t="s">
        <v>29</v>
      </c>
      <c r="B10" s="178">
        <v>97632</v>
      </c>
      <c r="C10" s="67">
        <v>105550</v>
      </c>
      <c r="D10" s="66">
        <v>100533</v>
      </c>
      <c r="E10" s="66">
        <v>109135.31</v>
      </c>
      <c r="F10" s="66">
        <v>102267.77</v>
      </c>
      <c r="G10" s="66">
        <v>104743</v>
      </c>
      <c r="H10" s="66">
        <v>103150</v>
      </c>
      <c r="I10" s="66">
        <v>104036</v>
      </c>
      <c r="J10" s="66">
        <v>87328</v>
      </c>
      <c r="K10" s="66">
        <v>226420</v>
      </c>
      <c r="L10" s="66">
        <v>231253</v>
      </c>
      <c r="M10" s="66">
        <v>246442</v>
      </c>
      <c r="N10" s="66">
        <v>255985</v>
      </c>
      <c r="O10" s="66">
        <v>270133</v>
      </c>
      <c r="P10" s="66">
        <v>287632</v>
      </c>
      <c r="Q10" s="66">
        <v>281623</v>
      </c>
      <c r="R10" s="287">
        <v>326272</v>
      </c>
    </row>
    <row r="11" spans="1:18" s="63" customFormat="1" ht="15.6" x14ac:dyDescent="0.3">
      <c r="A11" s="75" t="s">
        <v>30</v>
      </c>
      <c r="B11" s="178">
        <v>71828.95</v>
      </c>
      <c r="C11" s="67">
        <v>65823.17</v>
      </c>
      <c r="D11" s="66">
        <v>91194</v>
      </c>
      <c r="E11" s="66">
        <v>100345</v>
      </c>
      <c r="F11" s="66">
        <v>87247.05</v>
      </c>
      <c r="G11" s="66">
        <v>77414</v>
      </c>
      <c r="H11" s="66">
        <v>99589</v>
      </c>
      <c r="I11" s="66">
        <v>104518</v>
      </c>
      <c r="J11" s="66">
        <v>119665</v>
      </c>
      <c r="K11" s="66">
        <v>180441</v>
      </c>
      <c r="L11" s="66">
        <v>236295</v>
      </c>
      <c r="M11" s="66">
        <v>195829</v>
      </c>
      <c r="N11" s="66">
        <v>201743</v>
      </c>
      <c r="O11" s="66">
        <v>228462</v>
      </c>
      <c r="P11" s="66">
        <v>227193</v>
      </c>
      <c r="Q11" s="66">
        <v>290751</v>
      </c>
      <c r="R11" s="291" t="s">
        <v>152</v>
      </c>
    </row>
    <row r="12" spans="1:18" s="63" customFormat="1" ht="15.6" x14ac:dyDescent="0.3">
      <c r="A12" s="75" t="s">
        <v>31</v>
      </c>
      <c r="B12" s="178">
        <v>125735.92</v>
      </c>
      <c r="C12" s="67">
        <v>133257.09</v>
      </c>
      <c r="D12" s="66">
        <v>113687.82</v>
      </c>
      <c r="E12" s="66">
        <v>113566.64</v>
      </c>
      <c r="F12" s="66">
        <v>94283.23</v>
      </c>
      <c r="G12" s="66">
        <v>126971</v>
      </c>
      <c r="H12" s="66">
        <v>108812</v>
      </c>
      <c r="I12" s="66">
        <v>106241</v>
      </c>
      <c r="J12" s="66">
        <v>132140</v>
      </c>
      <c r="K12" s="66">
        <v>278465</v>
      </c>
      <c r="L12" s="66">
        <v>244451</v>
      </c>
      <c r="M12" s="66">
        <v>312843</v>
      </c>
      <c r="N12" s="66">
        <v>317466</v>
      </c>
      <c r="O12" s="66">
        <v>318587</v>
      </c>
      <c r="P12" s="66">
        <v>327823</v>
      </c>
      <c r="Q12" s="66">
        <v>291099</v>
      </c>
      <c r="R12" s="295" t="s">
        <v>152</v>
      </c>
    </row>
    <row r="13" spans="1:18" s="63" customFormat="1" ht="15.6" x14ac:dyDescent="0.3">
      <c r="A13" s="75" t="s">
        <v>32</v>
      </c>
      <c r="B13" s="178">
        <v>104256</v>
      </c>
      <c r="C13" s="67">
        <v>101201.8</v>
      </c>
      <c r="D13" s="66">
        <v>105124.21</v>
      </c>
      <c r="E13" s="66">
        <v>104586.75</v>
      </c>
      <c r="F13" s="66">
        <v>79197.08</v>
      </c>
      <c r="G13" s="66">
        <v>78990</v>
      </c>
      <c r="H13" s="66">
        <v>100443</v>
      </c>
      <c r="I13" s="66">
        <v>100894</v>
      </c>
      <c r="J13" s="66">
        <v>108943</v>
      </c>
      <c r="K13" s="66">
        <v>233612</v>
      </c>
      <c r="L13" s="66">
        <v>235635</v>
      </c>
      <c r="M13" s="66">
        <v>245076</v>
      </c>
      <c r="N13" s="66">
        <v>269249</v>
      </c>
      <c r="O13" s="66">
        <v>276060</v>
      </c>
      <c r="P13" s="66">
        <v>269836</v>
      </c>
      <c r="Q13" s="66">
        <v>296522</v>
      </c>
      <c r="R13" s="295" t="s">
        <v>152</v>
      </c>
    </row>
    <row r="14" spans="1:18" s="63" customFormat="1" ht="15.6" x14ac:dyDescent="0.3">
      <c r="A14" s="75" t="s">
        <v>33</v>
      </c>
      <c r="B14" s="178">
        <v>92348.5</v>
      </c>
      <c r="C14" s="67">
        <v>104085</v>
      </c>
      <c r="D14" s="66">
        <v>103622.5</v>
      </c>
      <c r="E14" s="66">
        <v>97929.22</v>
      </c>
      <c r="F14" s="66">
        <v>83221.459999999992</v>
      </c>
      <c r="G14" s="66">
        <v>117732</v>
      </c>
      <c r="H14" s="66">
        <v>99087</v>
      </c>
      <c r="I14" s="66">
        <v>102868</v>
      </c>
      <c r="J14" s="66">
        <v>102557</v>
      </c>
      <c r="K14" s="66">
        <v>208124</v>
      </c>
      <c r="L14" s="66">
        <v>213583</v>
      </c>
      <c r="M14" s="66">
        <v>240017</v>
      </c>
      <c r="N14" s="66">
        <v>259734</v>
      </c>
      <c r="O14" s="66">
        <v>241939</v>
      </c>
      <c r="P14" s="66">
        <v>255238</v>
      </c>
      <c r="Q14" s="66">
        <v>268030</v>
      </c>
      <c r="R14" s="295" t="s">
        <v>152</v>
      </c>
    </row>
    <row r="15" spans="1:18" s="63" customFormat="1" ht="15.6" x14ac:dyDescent="0.3">
      <c r="A15" s="75" t="s">
        <v>34</v>
      </c>
      <c r="B15" s="178">
        <v>93154.93</v>
      </c>
      <c r="C15" s="67">
        <v>96565</v>
      </c>
      <c r="D15" s="66">
        <v>94754</v>
      </c>
      <c r="E15" s="66">
        <v>95808.43</v>
      </c>
      <c r="F15" s="66" t="s">
        <v>35</v>
      </c>
      <c r="G15" s="66">
        <v>90974</v>
      </c>
      <c r="H15" s="66">
        <v>97516</v>
      </c>
      <c r="I15" s="66">
        <v>106450</v>
      </c>
      <c r="J15" s="66">
        <v>100214</v>
      </c>
      <c r="K15" s="66">
        <v>210517</v>
      </c>
      <c r="L15" s="66">
        <v>224797</v>
      </c>
      <c r="M15" s="66">
        <v>241682</v>
      </c>
      <c r="N15" s="66">
        <v>254276</v>
      </c>
      <c r="O15" s="66">
        <v>242205</v>
      </c>
      <c r="P15" s="66">
        <v>258076</v>
      </c>
      <c r="Q15" s="66">
        <v>276087</v>
      </c>
      <c r="R15" s="295" t="s">
        <v>152</v>
      </c>
    </row>
    <row r="16" spans="1:18" s="63" customFormat="1" ht="16.2" thickBot="1" x14ac:dyDescent="0.35">
      <c r="A16" s="88" t="s">
        <v>36</v>
      </c>
      <c r="B16" s="179">
        <v>86343.56</v>
      </c>
      <c r="C16" s="72">
        <v>90035</v>
      </c>
      <c r="D16" s="72">
        <v>92109</v>
      </c>
      <c r="E16" s="72">
        <v>96530</v>
      </c>
      <c r="F16" s="72">
        <v>137664</v>
      </c>
      <c r="G16" s="71">
        <v>88347</v>
      </c>
      <c r="H16" s="71">
        <v>90464</v>
      </c>
      <c r="I16" s="71">
        <v>95824</v>
      </c>
      <c r="J16" s="71">
        <v>100268</v>
      </c>
      <c r="K16" s="71">
        <v>198507</v>
      </c>
      <c r="L16" s="71">
        <v>213444</v>
      </c>
      <c r="M16" s="71">
        <v>217950</v>
      </c>
      <c r="N16" s="71">
        <v>241689</v>
      </c>
      <c r="O16" s="71">
        <v>226969</v>
      </c>
      <c r="P16" s="71">
        <v>247516</v>
      </c>
      <c r="Q16" s="71">
        <v>260975</v>
      </c>
      <c r="R16" s="292" t="s">
        <v>152</v>
      </c>
    </row>
    <row r="17" spans="1:18" s="63" customFormat="1" ht="16.2" thickTop="1" x14ac:dyDescent="0.3">
      <c r="A17" s="89" t="s">
        <v>37</v>
      </c>
      <c r="B17" s="277">
        <f>SUM(B5:B16)</f>
        <v>1078409.4000000001</v>
      </c>
      <c r="C17" s="273">
        <f t="shared" ref="C17:I17" si="0">SUM(C5:C16)</f>
        <v>1108656.4500000002</v>
      </c>
      <c r="D17" s="273">
        <f t="shared" si="0"/>
        <v>1113774</v>
      </c>
      <c r="E17" s="273">
        <f t="shared" si="0"/>
        <v>1154077.75</v>
      </c>
      <c r="F17" s="273">
        <f t="shared" si="0"/>
        <v>1037978.4199999999</v>
      </c>
      <c r="G17" s="273">
        <f t="shared" si="0"/>
        <v>1093846</v>
      </c>
      <c r="H17" s="273">
        <f t="shared" si="0"/>
        <v>1108331</v>
      </c>
      <c r="I17" s="273">
        <f t="shared" si="0"/>
        <v>1132791</v>
      </c>
      <c r="J17" s="273">
        <f t="shared" ref="J17:P17" si="1">SUM(J5:J16)</f>
        <v>1200892</v>
      </c>
      <c r="K17" s="273">
        <f t="shared" si="1"/>
        <v>2053408</v>
      </c>
      <c r="L17" s="273">
        <f t="shared" si="1"/>
        <v>2484739</v>
      </c>
      <c r="M17" s="273">
        <f t="shared" si="1"/>
        <v>2670578</v>
      </c>
      <c r="N17" s="273">
        <f t="shared" si="1"/>
        <v>2831184</v>
      </c>
      <c r="O17" s="273">
        <f t="shared" si="1"/>
        <v>2880107</v>
      </c>
      <c r="P17" s="273">
        <f t="shared" si="1"/>
        <v>2916271</v>
      </c>
      <c r="Q17" s="273">
        <f t="shared" ref="Q17:R17" si="2">SUM(Q5:Q16)</f>
        <v>3055066</v>
      </c>
      <c r="R17" s="288">
        <f t="shared" si="2"/>
        <v>1474248</v>
      </c>
    </row>
    <row r="18" spans="1:18" s="113" customFormat="1" ht="6.6" x14ac:dyDescent="0.3">
      <c r="A18" s="371" t="s">
        <v>174</v>
      </c>
      <c r="B18" s="371"/>
      <c r="C18" s="371"/>
      <c r="D18" s="371"/>
      <c r="E18" s="371"/>
      <c r="F18" s="371"/>
      <c r="G18" s="371"/>
      <c r="H18" s="371"/>
      <c r="I18" s="371"/>
      <c r="J18" s="371"/>
      <c r="K18" s="371"/>
      <c r="L18" s="371"/>
      <c r="M18" s="371"/>
      <c r="N18" s="371"/>
      <c r="O18" s="371"/>
      <c r="P18" s="371"/>
      <c r="Q18" s="371"/>
      <c r="R18" s="371"/>
    </row>
    <row r="19" spans="1:18" s="106" customFormat="1" ht="18" x14ac:dyDescent="0.3">
      <c r="A19" s="370" t="s">
        <v>96</v>
      </c>
      <c r="B19" s="370"/>
      <c r="C19" s="370"/>
      <c r="D19" s="370"/>
      <c r="E19" s="370"/>
      <c r="F19" s="370"/>
      <c r="G19" s="370"/>
      <c r="H19" s="370"/>
      <c r="I19" s="370"/>
      <c r="J19" s="370"/>
      <c r="K19" s="370"/>
      <c r="L19" s="370"/>
      <c r="M19" s="370"/>
      <c r="N19" s="370"/>
      <c r="O19" s="370"/>
      <c r="P19" s="370"/>
      <c r="Q19" s="370"/>
      <c r="R19" s="370"/>
    </row>
    <row r="20" spans="1:18" s="63" customFormat="1" ht="15.6" x14ac:dyDescent="0.3">
      <c r="A20" s="77" t="s">
        <v>23</v>
      </c>
      <c r="B20" s="91">
        <v>2004</v>
      </c>
      <c r="C20" s="64">
        <v>2005</v>
      </c>
      <c r="D20" s="64">
        <v>2006</v>
      </c>
      <c r="E20" s="64">
        <v>2007</v>
      </c>
      <c r="F20" s="64">
        <v>2008</v>
      </c>
      <c r="G20" s="64">
        <v>2009</v>
      </c>
      <c r="H20" s="64">
        <v>2010</v>
      </c>
      <c r="I20" s="64">
        <v>2011</v>
      </c>
      <c r="J20" s="65">
        <v>2012</v>
      </c>
      <c r="K20" s="65">
        <v>2013</v>
      </c>
      <c r="L20" s="65">
        <v>2014</v>
      </c>
      <c r="M20" s="65">
        <v>2015</v>
      </c>
      <c r="N20" s="65">
        <v>2016</v>
      </c>
      <c r="O20" s="65">
        <v>2017</v>
      </c>
      <c r="P20" s="65">
        <v>2018</v>
      </c>
      <c r="Q20" s="65">
        <v>2019</v>
      </c>
      <c r="R20" s="49">
        <v>2020</v>
      </c>
    </row>
    <row r="21" spans="1:18" s="63" customFormat="1" ht="15.6" x14ac:dyDescent="0.3">
      <c r="A21" s="76" t="s">
        <v>24</v>
      </c>
      <c r="B21" s="278">
        <v>1491.59</v>
      </c>
      <c r="C21" s="272">
        <v>2875</v>
      </c>
      <c r="D21" s="271">
        <v>2322.7399999999998</v>
      </c>
      <c r="E21" s="271">
        <v>3556.5</v>
      </c>
      <c r="F21" s="271">
        <v>3108.4</v>
      </c>
      <c r="G21" s="271">
        <v>4829</v>
      </c>
      <c r="H21" s="271">
        <v>2939</v>
      </c>
      <c r="I21" s="271">
        <v>4461</v>
      </c>
      <c r="J21" s="271">
        <v>3040</v>
      </c>
      <c r="K21" s="271">
        <v>3130</v>
      </c>
      <c r="L21" s="271">
        <v>4143</v>
      </c>
      <c r="M21" s="271">
        <v>6445</v>
      </c>
      <c r="N21" s="271">
        <v>11529</v>
      </c>
      <c r="O21" s="271">
        <v>11215</v>
      </c>
      <c r="P21" s="271">
        <v>7015</v>
      </c>
      <c r="Q21" s="271">
        <v>5660</v>
      </c>
      <c r="R21" s="286">
        <v>7147</v>
      </c>
    </row>
    <row r="22" spans="1:18" s="63" customFormat="1" ht="15.6" x14ac:dyDescent="0.3">
      <c r="A22" s="75" t="s">
        <v>25</v>
      </c>
      <c r="B22" s="170">
        <v>1027</v>
      </c>
      <c r="C22" s="67">
        <v>1204</v>
      </c>
      <c r="D22" s="66">
        <v>1894</v>
      </c>
      <c r="E22" s="66">
        <v>3420.4</v>
      </c>
      <c r="F22" s="66">
        <v>2361.12</v>
      </c>
      <c r="G22" s="66">
        <v>1946</v>
      </c>
      <c r="H22" s="66">
        <v>1853</v>
      </c>
      <c r="I22" s="66">
        <v>3306</v>
      </c>
      <c r="J22" s="66">
        <v>3146</v>
      </c>
      <c r="K22" s="66">
        <v>1476</v>
      </c>
      <c r="L22" s="66">
        <v>2628</v>
      </c>
      <c r="M22" s="66">
        <v>3412</v>
      </c>
      <c r="N22" s="66">
        <v>10383</v>
      </c>
      <c r="O22" s="66">
        <v>4628</v>
      </c>
      <c r="P22" s="66">
        <v>4678</v>
      </c>
      <c r="Q22" s="66">
        <v>4370</v>
      </c>
      <c r="R22" s="287">
        <v>5153</v>
      </c>
    </row>
    <row r="23" spans="1:18" s="63" customFormat="1" ht="15.6" x14ac:dyDescent="0.3">
      <c r="A23" s="75" t="s">
        <v>26</v>
      </c>
      <c r="B23" s="170">
        <v>2196</v>
      </c>
      <c r="C23" s="67">
        <v>3552.3</v>
      </c>
      <c r="D23" s="66">
        <v>1101</v>
      </c>
      <c r="E23" s="66">
        <v>4069.3</v>
      </c>
      <c r="F23" s="66">
        <v>25692</v>
      </c>
      <c r="G23" s="66">
        <v>1630</v>
      </c>
      <c r="H23" s="66">
        <v>1326</v>
      </c>
      <c r="I23" s="66">
        <v>2981</v>
      </c>
      <c r="J23" s="66">
        <v>933</v>
      </c>
      <c r="K23" s="66">
        <v>2058</v>
      </c>
      <c r="L23" s="66">
        <v>3207</v>
      </c>
      <c r="M23" s="66">
        <v>3098</v>
      </c>
      <c r="N23" s="66">
        <v>100070</v>
      </c>
      <c r="O23" s="66">
        <v>3812</v>
      </c>
      <c r="P23" s="66">
        <v>36248</v>
      </c>
      <c r="Q23" s="66">
        <v>5483</v>
      </c>
      <c r="R23" s="287">
        <v>8556</v>
      </c>
    </row>
    <row r="24" spans="1:18" s="63" customFormat="1" ht="15.6" x14ac:dyDescent="0.3">
      <c r="A24" s="75" t="s">
        <v>27</v>
      </c>
      <c r="B24" s="170">
        <v>2009</v>
      </c>
      <c r="C24" s="67">
        <v>1967</v>
      </c>
      <c r="D24" s="66">
        <v>2628.72</v>
      </c>
      <c r="E24" s="66">
        <v>1425</v>
      </c>
      <c r="F24" s="66">
        <v>1602.28</v>
      </c>
      <c r="G24" s="66">
        <v>6188</v>
      </c>
      <c r="H24" s="66">
        <v>497</v>
      </c>
      <c r="I24" s="66">
        <v>2482</v>
      </c>
      <c r="J24" s="66">
        <v>1633</v>
      </c>
      <c r="K24" s="66">
        <v>1207</v>
      </c>
      <c r="L24" s="66">
        <v>5578</v>
      </c>
      <c r="M24" s="66">
        <v>4955</v>
      </c>
      <c r="N24" s="66">
        <v>7184</v>
      </c>
      <c r="O24" s="66">
        <v>9458</v>
      </c>
      <c r="P24" s="66">
        <v>5371</v>
      </c>
      <c r="Q24" s="66">
        <v>8266</v>
      </c>
      <c r="R24" s="287">
        <v>7184</v>
      </c>
    </row>
    <row r="25" spans="1:18" s="63" customFormat="1" ht="15.6" x14ac:dyDescent="0.3">
      <c r="A25" s="75" t="s">
        <v>28</v>
      </c>
      <c r="B25" s="170">
        <v>1390.2</v>
      </c>
      <c r="C25" s="67">
        <v>2296</v>
      </c>
      <c r="D25" s="66">
        <v>1277.6099999999999</v>
      </c>
      <c r="E25" s="66">
        <v>1220.8</v>
      </c>
      <c r="F25" s="66">
        <v>20240</v>
      </c>
      <c r="G25" s="66">
        <v>3196</v>
      </c>
      <c r="H25" s="66">
        <v>1519</v>
      </c>
      <c r="I25" s="66">
        <v>2480</v>
      </c>
      <c r="J25" s="66">
        <v>968</v>
      </c>
      <c r="K25" s="66">
        <v>2447</v>
      </c>
      <c r="L25" s="66">
        <v>3423</v>
      </c>
      <c r="M25" s="66">
        <v>3370</v>
      </c>
      <c r="N25" s="66">
        <v>6488</v>
      </c>
      <c r="O25" s="66">
        <v>5486</v>
      </c>
      <c r="P25" s="66">
        <v>3637</v>
      </c>
      <c r="Q25" s="66">
        <v>4218</v>
      </c>
      <c r="R25" s="287">
        <v>4341</v>
      </c>
    </row>
    <row r="26" spans="1:18" s="63" customFormat="1" ht="15.6" x14ac:dyDescent="0.3">
      <c r="A26" s="75" t="s">
        <v>29</v>
      </c>
      <c r="B26" s="170">
        <v>1541.8</v>
      </c>
      <c r="C26" s="67">
        <v>3428</v>
      </c>
      <c r="D26" s="66">
        <v>1231.83</v>
      </c>
      <c r="E26" s="66">
        <v>5207.66</v>
      </c>
      <c r="F26" s="66">
        <v>1656.36</v>
      </c>
      <c r="G26" s="66">
        <v>2291</v>
      </c>
      <c r="H26" s="66">
        <v>1427</v>
      </c>
      <c r="I26" s="66">
        <v>3514</v>
      </c>
      <c r="J26" s="66">
        <v>1586</v>
      </c>
      <c r="K26" s="66">
        <v>3067</v>
      </c>
      <c r="L26" s="66">
        <v>2848</v>
      </c>
      <c r="M26" s="66">
        <v>5166</v>
      </c>
      <c r="N26" s="66">
        <v>11025</v>
      </c>
      <c r="O26" s="66">
        <v>5518</v>
      </c>
      <c r="P26" s="66">
        <v>3479</v>
      </c>
      <c r="Q26" s="66">
        <v>4332</v>
      </c>
      <c r="R26" s="287">
        <v>11040</v>
      </c>
    </row>
    <row r="27" spans="1:18" s="63" customFormat="1" ht="15.6" x14ac:dyDescent="0.3">
      <c r="A27" s="75" t="s">
        <v>30</v>
      </c>
      <c r="B27" s="170">
        <v>3053.37</v>
      </c>
      <c r="C27" s="67">
        <v>3020</v>
      </c>
      <c r="D27" s="66">
        <v>1541</v>
      </c>
      <c r="E27" s="66">
        <v>3158.92</v>
      </c>
      <c r="F27" s="66">
        <v>1758.21</v>
      </c>
      <c r="G27" s="66">
        <v>1664</v>
      </c>
      <c r="H27" s="66">
        <v>2174</v>
      </c>
      <c r="I27" s="66">
        <v>2463</v>
      </c>
      <c r="J27" s="66">
        <v>1435</v>
      </c>
      <c r="K27" s="66">
        <v>4204</v>
      </c>
      <c r="L27" s="66">
        <v>8067</v>
      </c>
      <c r="M27" s="66">
        <v>5975</v>
      </c>
      <c r="N27" s="66">
        <v>9696</v>
      </c>
      <c r="O27" s="66">
        <v>5912</v>
      </c>
      <c r="P27" s="66">
        <v>7802</v>
      </c>
      <c r="Q27" s="66">
        <v>7517</v>
      </c>
      <c r="R27" s="295" t="s">
        <v>152</v>
      </c>
    </row>
    <row r="28" spans="1:18" s="63" customFormat="1" ht="15.6" x14ac:dyDescent="0.3">
      <c r="A28" s="75" t="s">
        <v>31</v>
      </c>
      <c r="B28" s="170">
        <v>1803</v>
      </c>
      <c r="C28" s="67">
        <v>6056</v>
      </c>
      <c r="D28" s="66">
        <v>1943.11</v>
      </c>
      <c r="E28" s="66">
        <v>4289.18</v>
      </c>
      <c r="F28" s="66">
        <v>3453.79</v>
      </c>
      <c r="G28" s="66">
        <v>2164</v>
      </c>
      <c r="H28" s="66">
        <v>2575</v>
      </c>
      <c r="I28" s="66">
        <v>1428</v>
      </c>
      <c r="J28" s="66">
        <v>1314</v>
      </c>
      <c r="K28" s="66">
        <v>3716</v>
      </c>
      <c r="L28" s="66">
        <v>2666</v>
      </c>
      <c r="M28" s="66">
        <v>6656</v>
      </c>
      <c r="N28" s="66">
        <v>7197</v>
      </c>
      <c r="O28" s="66">
        <v>6184</v>
      </c>
      <c r="P28" s="66">
        <v>5987</v>
      </c>
      <c r="Q28" s="66">
        <v>6615</v>
      </c>
      <c r="R28" s="295" t="s">
        <v>152</v>
      </c>
    </row>
    <row r="29" spans="1:18" s="63" customFormat="1" ht="15.6" x14ac:dyDescent="0.3">
      <c r="A29" s="75" t="s">
        <v>32</v>
      </c>
      <c r="B29" s="170">
        <v>1573</v>
      </c>
      <c r="C29" s="67">
        <v>8942.41</v>
      </c>
      <c r="D29" s="66">
        <v>1786.09</v>
      </c>
      <c r="E29" s="66">
        <v>5047.2</v>
      </c>
      <c r="F29" s="66">
        <v>2874</v>
      </c>
      <c r="G29" s="66">
        <v>1835</v>
      </c>
      <c r="H29" s="66">
        <v>2983</v>
      </c>
      <c r="I29" s="66">
        <v>2354</v>
      </c>
      <c r="J29" s="66">
        <v>1792</v>
      </c>
      <c r="K29" s="66">
        <v>3235</v>
      </c>
      <c r="L29" s="66">
        <v>1465</v>
      </c>
      <c r="M29" s="66">
        <v>6850</v>
      </c>
      <c r="N29" s="66">
        <v>7358</v>
      </c>
      <c r="O29" s="66">
        <v>5672</v>
      </c>
      <c r="P29" s="66">
        <v>5107</v>
      </c>
      <c r="Q29" s="66">
        <v>3527</v>
      </c>
      <c r="R29" s="295" t="s">
        <v>152</v>
      </c>
    </row>
    <row r="30" spans="1:18" s="63" customFormat="1" ht="15.6" x14ac:dyDescent="0.3">
      <c r="A30" s="75" t="s">
        <v>33</v>
      </c>
      <c r="B30" s="170">
        <v>2239</v>
      </c>
      <c r="C30" s="67">
        <v>2888.77</v>
      </c>
      <c r="D30" s="66">
        <v>3971</v>
      </c>
      <c r="E30" s="66">
        <v>2374</v>
      </c>
      <c r="F30" s="66">
        <v>3889.45</v>
      </c>
      <c r="G30" s="66">
        <v>3228</v>
      </c>
      <c r="H30" s="66">
        <v>3535</v>
      </c>
      <c r="I30" s="66">
        <v>2408</v>
      </c>
      <c r="J30" s="66">
        <v>1812</v>
      </c>
      <c r="K30" s="66">
        <v>4108</v>
      </c>
      <c r="L30" s="66">
        <v>6632</v>
      </c>
      <c r="M30" s="66">
        <v>11146</v>
      </c>
      <c r="N30" s="66">
        <v>5724</v>
      </c>
      <c r="O30" s="66">
        <v>13253</v>
      </c>
      <c r="P30" s="66">
        <v>13152</v>
      </c>
      <c r="Q30" s="66">
        <v>3814</v>
      </c>
      <c r="R30" s="295" t="s">
        <v>152</v>
      </c>
    </row>
    <row r="31" spans="1:18" s="63" customFormat="1" ht="15.6" x14ac:dyDescent="0.3">
      <c r="A31" s="75" t="s">
        <v>34</v>
      </c>
      <c r="B31" s="170">
        <v>1902.19</v>
      </c>
      <c r="C31" s="67">
        <v>1902</v>
      </c>
      <c r="D31" s="66">
        <v>2346.83</v>
      </c>
      <c r="E31" s="66">
        <v>2722.03</v>
      </c>
      <c r="F31" s="66" t="s">
        <v>35</v>
      </c>
      <c r="G31" s="66">
        <v>2249</v>
      </c>
      <c r="H31" s="66">
        <v>2671</v>
      </c>
      <c r="I31" s="66">
        <v>6835</v>
      </c>
      <c r="J31" s="66">
        <v>2305</v>
      </c>
      <c r="K31" s="66">
        <v>3206</v>
      </c>
      <c r="L31" s="66">
        <v>3303</v>
      </c>
      <c r="M31" s="66">
        <v>9819</v>
      </c>
      <c r="N31" s="66">
        <v>8258</v>
      </c>
      <c r="O31" s="66">
        <v>9020</v>
      </c>
      <c r="P31" s="66">
        <v>4020</v>
      </c>
      <c r="Q31" s="66">
        <v>5749</v>
      </c>
      <c r="R31" s="295" t="s">
        <v>152</v>
      </c>
    </row>
    <row r="32" spans="1:18" s="63" customFormat="1" ht="16.2" thickBot="1" x14ac:dyDescent="0.35">
      <c r="A32" s="88" t="s">
        <v>36</v>
      </c>
      <c r="B32" s="87">
        <v>1129</v>
      </c>
      <c r="C32" s="72">
        <v>6881.02</v>
      </c>
      <c r="D32" s="72">
        <v>1860.5</v>
      </c>
      <c r="E32" s="72">
        <v>2468.37</v>
      </c>
      <c r="F32" s="72">
        <v>5091</v>
      </c>
      <c r="G32" s="71">
        <v>2157</v>
      </c>
      <c r="H32" s="71">
        <v>2286</v>
      </c>
      <c r="I32" s="71">
        <v>2429</v>
      </c>
      <c r="J32" s="71">
        <v>3578</v>
      </c>
      <c r="K32" s="71">
        <v>4296</v>
      </c>
      <c r="L32" s="71">
        <v>7682</v>
      </c>
      <c r="M32" s="71">
        <v>4803</v>
      </c>
      <c r="N32" s="71">
        <v>7101</v>
      </c>
      <c r="O32" s="71">
        <v>5019</v>
      </c>
      <c r="P32" s="71">
        <v>19974</v>
      </c>
      <c r="Q32" s="71">
        <v>2488</v>
      </c>
      <c r="R32" s="292" t="s">
        <v>152</v>
      </c>
    </row>
    <row r="33" spans="1:18" s="63" customFormat="1" ht="16.2" thickTop="1" x14ac:dyDescent="0.3">
      <c r="A33" s="89" t="s">
        <v>37</v>
      </c>
      <c r="B33" s="277">
        <f>SUM(B21:B32)</f>
        <v>21355.149999999998</v>
      </c>
      <c r="C33" s="273">
        <f t="shared" ref="C33:I33" si="3">SUM(C21:C32)</f>
        <v>45012.5</v>
      </c>
      <c r="D33" s="273">
        <f t="shared" si="3"/>
        <v>23904.43</v>
      </c>
      <c r="E33" s="273">
        <f t="shared" si="3"/>
        <v>38959.360000000008</v>
      </c>
      <c r="F33" s="273">
        <f t="shared" si="3"/>
        <v>71726.61</v>
      </c>
      <c r="G33" s="273">
        <f t="shared" si="3"/>
        <v>33377</v>
      </c>
      <c r="H33" s="273">
        <f t="shared" si="3"/>
        <v>25785</v>
      </c>
      <c r="I33" s="273">
        <f t="shared" si="3"/>
        <v>37141</v>
      </c>
      <c r="J33" s="273">
        <f t="shared" ref="J33:P33" si="4">SUM(J21:J32)</f>
        <v>23542</v>
      </c>
      <c r="K33" s="273">
        <f t="shared" si="4"/>
        <v>36150</v>
      </c>
      <c r="L33" s="273">
        <f t="shared" si="4"/>
        <v>51642</v>
      </c>
      <c r="M33" s="273">
        <f t="shared" si="4"/>
        <v>71695</v>
      </c>
      <c r="N33" s="273">
        <f t="shared" si="4"/>
        <v>192013</v>
      </c>
      <c r="O33" s="273">
        <f t="shared" si="4"/>
        <v>85177</v>
      </c>
      <c r="P33" s="273">
        <f t="shared" si="4"/>
        <v>116470</v>
      </c>
      <c r="Q33" s="273">
        <f t="shared" ref="Q33:R33" si="5">SUM(Q21:Q32)</f>
        <v>62039</v>
      </c>
      <c r="R33" s="288">
        <f t="shared" si="5"/>
        <v>43421</v>
      </c>
    </row>
    <row r="34" spans="1:18" s="113" customFormat="1" ht="6.6" x14ac:dyDescent="0.3">
      <c r="A34" s="371" t="s">
        <v>174</v>
      </c>
      <c r="B34" s="371"/>
      <c r="C34" s="371"/>
      <c r="D34" s="371"/>
      <c r="E34" s="371"/>
      <c r="F34" s="371"/>
      <c r="G34" s="371"/>
      <c r="H34" s="371"/>
      <c r="I34" s="371"/>
      <c r="J34" s="371"/>
      <c r="K34" s="371"/>
      <c r="L34" s="371"/>
      <c r="M34" s="371"/>
      <c r="N34" s="371"/>
      <c r="O34" s="371"/>
      <c r="P34" s="371"/>
      <c r="Q34" s="371"/>
      <c r="R34" s="371"/>
    </row>
    <row r="35" spans="1:18" s="106" customFormat="1" ht="18" x14ac:dyDescent="0.3">
      <c r="A35" s="370" t="s">
        <v>115</v>
      </c>
      <c r="B35" s="370"/>
      <c r="C35" s="370"/>
      <c r="D35" s="370"/>
      <c r="E35" s="370"/>
      <c r="F35" s="370"/>
      <c r="G35" s="370"/>
      <c r="H35" s="370"/>
      <c r="I35" s="370"/>
      <c r="J35" s="370"/>
      <c r="K35" s="370"/>
      <c r="L35" s="370"/>
      <c r="M35" s="370"/>
      <c r="N35" s="370"/>
      <c r="O35" s="370"/>
      <c r="P35" s="370"/>
      <c r="Q35" s="370"/>
      <c r="R35" s="370"/>
    </row>
    <row r="36" spans="1:18" s="63" customFormat="1" ht="15.6" x14ac:dyDescent="0.3">
      <c r="A36" s="77" t="s">
        <v>23</v>
      </c>
      <c r="B36" s="91">
        <v>2004</v>
      </c>
      <c r="C36" s="64">
        <v>2005</v>
      </c>
      <c r="D36" s="64">
        <v>2006</v>
      </c>
      <c r="E36" s="64">
        <v>2007</v>
      </c>
      <c r="F36" s="64">
        <v>2008</v>
      </c>
      <c r="G36" s="64">
        <v>2009</v>
      </c>
      <c r="H36" s="64">
        <v>2010</v>
      </c>
      <c r="I36" s="64">
        <v>2011</v>
      </c>
      <c r="J36" s="65">
        <v>2012</v>
      </c>
      <c r="K36" s="65">
        <v>2013</v>
      </c>
      <c r="L36" s="65">
        <v>2014</v>
      </c>
      <c r="M36" s="65">
        <v>2015</v>
      </c>
      <c r="N36" s="65">
        <v>2016</v>
      </c>
      <c r="O36" s="65">
        <v>2017</v>
      </c>
      <c r="P36" s="65">
        <v>2018</v>
      </c>
      <c r="Q36" s="65">
        <v>2019</v>
      </c>
      <c r="R36" s="49">
        <v>2020</v>
      </c>
    </row>
    <row r="37" spans="1:18" s="63" customFormat="1" ht="15.6" x14ac:dyDescent="0.3">
      <c r="A37" s="76" t="s">
        <v>24</v>
      </c>
      <c r="B37" s="108" t="s">
        <v>152</v>
      </c>
      <c r="C37" s="107" t="s">
        <v>152</v>
      </c>
      <c r="D37" s="83" t="s">
        <v>152</v>
      </c>
      <c r="E37" s="83" t="s">
        <v>152</v>
      </c>
      <c r="F37" s="83" t="s">
        <v>152</v>
      </c>
      <c r="G37" s="271">
        <v>0</v>
      </c>
      <c r="H37" s="271">
        <v>0</v>
      </c>
      <c r="I37" s="271">
        <v>0</v>
      </c>
      <c r="J37" s="271">
        <v>0</v>
      </c>
      <c r="K37" s="271">
        <v>0</v>
      </c>
      <c r="L37" s="271">
        <v>0</v>
      </c>
      <c r="M37" s="271">
        <v>0</v>
      </c>
      <c r="N37" s="271">
        <v>0</v>
      </c>
      <c r="O37" s="271">
        <v>0</v>
      </c>
      <c r="P37" s="271">
        <v>-263</v>
      </c>
      <c r="Q37" s="271">
        <v>-1</v>
      </c>
      <c r="R37" s="286">
        <v>0</v>
      </c>
    </row>
    <row r="38" spans="1:18" s="63" customFormat="1" ht="15.6" x14ac:dyDescent="0.3">
      <c r="A38" s="75" t="s">
        <v>25</v>
      </c>
      <c r="B38" s="170" t="s">
        <v>152</v>
      </c>
      <c r="C38" s="67" t="s">
        <v>152</v>
      </c>
      <c r="D38" s="66" t="s">
        <v>152</v>
      </c>
      <c r="E38" s="66" t="s">
        <v>152</v>
      </c>
      <c r="F38" s="66" t="s">
        <v>152</v>
      </c>
      <c r="G38" s="66">
        <v>0</v>
      </c>
      <c r="H38" s="66">
        <v>-83</v>
      </c>
      <c r="I38" s="66">
        <v>0</v>
      </c>
      <c r="J38" s="66">
        <v>-1</v>
      </c>
      <c r="K38" s="66">
        <v>0</v>
      </c>
      <c r="L38" s="66">
        <v>0</v>
      </c>
      <c r="M38" s="66">
        <v>0</v>
      </c>
      <c r="N38" s="66">
        <v>-64</v>
      </c>
      <c r="O38" s="66">
        <v>0</v>
      </c>
      <c r="P38" s="66">
        <v>-25</v>
      </c>
      <c r="Q38" s="66">
        <v>0</v>
      </c>
      <c r="R38" s="287">
        <v>0</v>
      </c>
    </row>
    <row r="39" spans="1:18" s="63" customFormat="1" ht="15.6" x14ac:dyDescent="0.3">
      <c r="A39" s="75" t="s">
        <v>26</v>
      </c>
      <c r="B39" s="170" t="s">
        <v>152</v>
      </c>
      <c r="C39" s="67" t="s">
        <v>152</v>
      </c>
      <c r="D39" s="66" t="s">
        <v>152</v>
      </c>
      <c r="E39" s="66" t="s">
        <v>152</v>
      </c>
      <c r="F39" s="66" t="s">
        <v>152</v>
      </c>
      <c r="G39" s="66">
        <v>-3</v>
      </c>
      <c r="H39" s="66">
        <v>0</v>
      </c>
      <c r="I39" s="66">
        <v>0</v>
      </c>
      <c r="J39" s="66">
        <v>-263</v>
      </c>
      <c r="K39" s="66">
        <v>0</v>
      </c>
      <c r="L39" s="66">
        <v>0</v>
      </c>
      <c r="M39" s="66">
        <v>-8</v>
      </c>
      <c r="N39" s="66">
        <v>-443</v>
      </c>
      <c r="O39" s="66">
        <v>0</v>
      </c>
      <c r="P39" s="66">
        <v>-20</v>
      </c>
      <c r="Q39" s="66">
        <v>-30</v>
      </c>
      <c r="R39" s="287">
        <v>0</v>
      </c>
    </row>
    <row r="40" spans="1:18" s="63" customFormat="1" ht="15.6" x14ac:dyDescent="0.3">
      <c r="A40" s="75" t="s">
        <v>27</v>
      </c>
      <c r="B40" s="170" t="s">
        <v>152</v>
      </c>
      <c r="C40" s="67" t="s">
        <v>152</v>
      </c>
      <c r="D40" s="66" t="s">
        <v>152</v>
      </c>
      <c r="E40" s="66" t="s">
        <v>152</v>
      </c>
      <c r="F40" s="66" t="s">
        <v>152</v>
      </c>
      <c r="G40" s="66">
        <v>0</v>
      </c>
      <c r="H40" s="66">
        <v>0</v>
      </c>
      <c r="I40" s="66">
        <v>0</v>
      </c>
      <c r="J40" s="66">
        <v>-102</v>
      </c>
      <c r="K40" s="66">
        <v>-383</v>
      </c>
      <c r="L40" s="66">
        <v>0</v>
      </c>
      <c r="M40" s="66">
        <v>0</v>
      </c>
      <c r="N40" s="66">
        <v>-16</v>
      </c>
      <c r="O40" s="66">
        <v>-49</v>
      </c>
      <c r="P40" s="66">
        <v>-154</v>
      </c>
      <c r="Q40" s="66">
        <v>-63</v>
      </c>
      <c r="R40" s="287">
        <v>-1702</v>
      </c>
    </row>
    <row r="41" spans="1:18" s="63" customFormat="1" ht="15.6" x14ac:dyDescent="0.3">
      <c r="A41" s="75" t="s">
        <v>28</v>
      </c>
      <c r="B41" s="170" t="s">
        <v>152</v>
      </c>
      <c r="C41" s="67" t="s">
        <v>152</v>
      </c>
      <c r="D41" s="66" t="s">
        <v>152</v>
      </c>
      <c r="E41" s="66" t="s">
        <v>152</v>
      </c>
      <c r="F41" s="66" t="s">
        <v>152</v>
      </c>
      <c r="G41" s="66">
        <v>0</v>
      </c>
      <c r="H41" s="66">
        <v>0</v>
      </c>
      <c r="I41" s="66">
        <v>0</v>
      </c>
      <c r="J41" s="66">
        <v>0</v>
      </c>
      <c r="K41" s="66">
        <v>-1213</v>
      </c>
      <c r="L41" s="66">
        <v>0</v>
      </c>
      <c r="M41" s="66">
        <v>-70</v>
      </c>
      <c r="N41" s="66">
        <v>0</v>
      </c>
      <c r="O41" s="66">
        <v>8</v>
      </c>
      <c r="P41" s="66">
        <v>0</v>
      </c>
      <c r="Q41" s="66">
        <v>0</v>
      </c>
      <c r="R41" s="287">
        <v>-227</v>
      </c>
    </row>
    <row r="42" spans="1:18" s="63" customFormat="1" ht="15.6" x14ac:dyDescent="0.3">
      <c r="A42" s="75" t="s">
        <v>29</v>
      </c>
      <c r="B42" s="170" t="s">
        <v>152</v>
      </c>
      <c r="C42" s="67" t="s">
        <v>152</v>
      </c>
      <c r="D42" s="66" t="s">
        <v>152</v>
      </c>
      <c r="E42" s="66" t="s">
        <v>152</v>
      </c>
      <c r="F42" s="66" t="s">
        <v>152</v>
      </c>
      <c r="G42" s="66">
        <v>0</v>
      </c>
      <c r="H42" s="66">
        <v>0</v>
      </c>
      <c r="I42" s="66">
        <v>0</v>
      </c>
      <c r="J42" s="66">
        <v>0</v>
      </c>
      <c r="K42" s="66">
        <v>0</v>
      </c>
      <c r="L42" s="66">
        <v>0</v>
      </c>
      <c r="M42" s="66">
        <v>-75</v>
      </c>
      <c r="N42" s="66">
        <v>0</v>
      </c>
      <c r="O42" s="66">
        <v>0</v>
      </c>
      <c r="P42" s="66">
        <v>-1147</v>
      </c>
      <c r="Q42" s="66">
        <v>0</v>
      </c>
      <c r="R42" s="287">
        <v>0</v>
      </c>
    </row>
    <row r="43" spans="1:18" s="63" customFormat="1" ht="15.6" x14ac:dyDescent="0.3">
      <c r="A43" s="75" t="s">
        <v>30</v>
      </c>
      <c r="B43" s="170" t="s">
        <v>152</v>
      </c>
      <c r="C43" s="67" t="s">
        <v>152</v>
      </c>
      <c r="D43" s="66" t="s">
        <v>152</v>
      </c>
      <c r="E43" s="66" t="s">
        <v>152</v>
      </c>
      <c r="F43" s="66" t="s">
        <v>152</v>
      </c>
      <c r="G43" s="66">
        <v>0</v>
      </c>
      <c r="H43" s="66">
        <v>0</v>
      </c>
      <c r="I43" s="66">
        <v>-72</v>
      </c>
      <c r="J43" s="66">
        <v>-258</v>
      </c>
      <c r="K43" s="66">
        <v>0</v>
      </c>
      <c r="L43" s="66">
        <v>-3254</v>
      </c>
      <c r="M43" s="66">
        <v>0</v>
      </c>
      <c r="N43" s="66">
        <v>-812</v>
      </c>
      <c r="O43" s="66">
        <v>-10</v>
      </c>
      <c r="P43" s="66">
        <v>0</v>
      </c>
      <c r="Q43" s="66">
        <v>-3</v>
      </c>
      <c r="R43" s="295" t="s">
        <v>152</v>
      </c>
    </row>
    <row r="44" spans="1:18" s="63" customFormat="1" ht="15.6" x14ac:dyDescent="0.3">
      <c r="A44" s="75" t="s">
        <v>31</v>
      </c>
      <c r="B44" s="170" t="s">
        <v>152</v>
      </c>
      <c r="C44" s="67" t="s">
        <v>152</v>
      </c>
      <c r="D44" s="66" t="s">
        <v>152</v>
      </c>
      <c r="E44" s="66" t="s">
        <v>152</v>
      </c>
      <c r="F44" s="66" t="s">
        <v>152</v>
      </c>
      <c r="G44" s="66">
        <v>0</v>
      </c>
      <c r="H44" s="66">
        <v>0</v>
      </c>
      <c r="I44" s="66">
        <v>-537</v>
      </c>
      <c r="J44" s="66">
        <v>0</v>
      </c>
      <c r="K44" s="66">
        <v>-68</v>
      </c>
      <c r="L44" s="66">
        <v>-9</v>
      </c>
      <c r="M44" s="66">
        <v>-1</v>
      </c>
      <c r="N44" s="66">
        <v>0</v>
      </c>
      <c r="O44" s="66">
        <v>0</v>
      </c>
      <c r="P44" s="66">
        <v>0</v>
      </c>
      <c r="Q44" s="66">
        <v>-1</v>
      </c>
      <c r="R44" s="295" t="s">
        <v>152</v>
      </c>
    </row>
    <row r="45" spans="1:18" s="63" customFormat="1" ht="15.6" x14ac:dyDescent="0.3">
      <c r="A45" s="75" t="s">
        <v>32</v>
      </c>
      <c r="B45" s="170" t="s">
        <v>152</v>
      </c>
      <c r="C45" s="67" t="s">
        <v>152</v>
      </c>
      <c r="D45" s="66" t="s">
        <v>152</v>
      </c>
      <c r="E45" s="66" t="s">
        <v>152</v>
      </c>
      <c r="F45" s="66" t="s">
        <v>152</v>
      </c>
      <c r="G45" s="66">
        <v>0</v>
      </c>
      <c r="H45" s="66">
        <v>0</v>
      </c>
      <c r="I45" s="66">
        <v>-1</v>
      </c>
      <c r="J45" s="66">
        <v>0</v>
      </c>
      <c r="K45" s="66">
        <v>-1046</v>
      </c>
      <c r="L45" s="66">
        <v>-490</v>
      </c>
      <c r="M45" s="66">
        <v>0</v>
      </c>
      <c r="N45" s="66">
        <v>0</v>
      </c>
      <c r="O45" s="66">
        <v>-124</v>
      </c>
      <c r="P45" s="66">
        <v>0</v>
      </c>
      <c r="Q45" s="66">
        <v>0</v>
      </c>
      <c r="R45" s="295" t="s">
        <v>152</v>
      </c>
    </row>
    <row r="46" spans="1:18" s="63" customFormat="1" ht="15.6" x14ac:dyDescent="0.3">
      <c r="A46" s="75" t="s">
        <v>33</v>
      </c>
      <c r="B46" s="170" t="s">
        <v>152</v>
      </c>
      <c r="C46" s="67" t="s">
        <v>152</v>
      </c>
      <c r="D46" s="66" t="s">
        <v>152</v>
      </c>
      <c r="E46" s="66" t="s">
        <v>152</v>
      </c>
      <c r="F46" s="66" t="s">
        <v>152</v>
      </c>
      <c r="G46" s="66">
        <v>-24802</v>
      </c>
      <c r="H46" s="66">
        <v>0</v>
      </c>
      <c r="I46" s="66">
        <v>-1</v>
      </c>
      <c r="J46" s="66">
        <v>0</v>
      </c>
      <c r="K46" s="66">
        <v>-302</v>
      </c>
      <c r="L46" s="66">
        <v>-71</v>
      </c>
      <c r="M46" s="66">
        <v>0</v>
      </c>
      <c r="N46" s="66">
        <v>0</v>
      </c>
      <c r="O46" s="66">
        <v>0</v>
      </c>
      <c r="P46" s="66">
        <v>0</v>
      </c>
      <c r="Q46" s="66">
        <v>0</v>
      </c>
      <c r="R46" s="295" t="s">
        <v>152</v>
      </c>
    </row>
    <row r="47" spans="1:18" s="63" customFormat="1" ht="15.6" x14ac:dyDescent="0.3">
      <c r="A47" s="75" t="s">
        <v>34</v>
      </c>
      <c r="B47" s="170" t="s">
        <v>152</v>
      </c>
      <c r="C47" s="67" t="s">
        <v>152</v>
      </c>
      <c r="D47" s="66" t="s">
        <v>152</v>
      </c>
      <c r="E47" s="66" t="s">
        <v>152</v>
      </c>
      <c r="F47" s="66" t="s">
        <v>152</v>
      </c>
      <c r="G47" s="66">
        <v>-9</v>
      </c>
      <c r="H47" s="66">
        <v>0</v>
      </c>
      <c r="I47" s="66">
        <v>0</v>
      </c>
      <c r="J47" s="66">
        <v>-72</v>
      </c>
      <c r="K47" s="66">
        <v>0</v>
      </c>
      <c r="L47" s="66">
        <v>0</v>
      </c>
      <c r="M47" s="66">
        <v>-151</v>
      </c>
      <c r="N47" s="66">
        <v>0</v>
      </c>
      <c r="O47" s="66">
        <v>0</v>
      </c>
      <c r="P47" s="66">
        <v>0</v>
      </c>
      <c r="Q47" s="66">
        <v>0</v>
      </c>
      <c r="R47" s="295" t="s">
        <v>152</v>
      </c>
    </row>
    <row r="48" spans="1:18" s="63" customFormat="1" ht="16.2" thickBot="1" x14ac:dyDescent="0.35">
      <c r="A48" s="88" t="s">
        <v>36</v>
      </c>
      <c r="B48" s="87" t="s">
        <v>152</v>
      </c>
      <c r="C48" s="72" t="s">
        <v>152</v>
      </c>
      <c r="D48" s="72" t="s">
        <v>152</v>
      </c>
      <c r="E48" s="72" t="s">
        <v>152</v>
      </c>
      <c r="F48" s="274">
        <v>0</v>
      </c>
      <c r="G48" s="71">
        <v>0</v>
      </c>
      <c r="H48" s="71">
        <v>0</v>
      </c>
      <c r="I48" s="71">
        <v>0</v>
      </c>
      <c r="J48" s="71">
        <v>0</v>
      </c>
      <c r="K48" s="71">
        <v>-10</v>
      </c>
      <c r="L48" s="71">
        <v>0</v>
      </c>
      <c r="M48" s="71">
        <v>0</v>
      </c>
      <c r="N48" s="71">
        <v>-15445</v>
      </c>
      <c r="O48" s="71">
        <v>-2</v>
      </c>
      <c r="P48" s="71">
        <v>0</v>
      </c>
      <c r="Q48" s="71">
        <v>0</v>
      </c>
      <c r="R48" s="292" t="s">
        <v>152</v>
      </c>
    </row>
    <row r="49" spans="1:18" s="63" customFormat="1" ht="16.2" thickTop="1" x14ac:dyDescent="0.3">
      <c r="A49" s="89" t="s">
        <v>37</v>
      </c>
      <c r="B49" s="90" t="s">
        <v>152</v>
      </c>
      <c r="C49" s="73" t="s">
        <v>152</v>
      </c>
      <c r="D49" s="73" t="s">
        <v>152</v>
      </c>
      <c r="E49" s="73" t="s">
        <v>152</v>
      </c>
      <c r="F49" s="273">
        <f t="shared" ref="F49:P49" si="6">SUM(F37:F48)</f>
        <v>0</v>
      </c>
      <c r="G49" s="273">
        <f t="shared" si="6"/>
        <v>-24814</v>
      </c>
      <c r="H49" s="273">
        <f t="shared" si="6"/>
        <v>-83</v>
      </c>
      <c r="I49" s="273">
        <f t="shared" si="6"/>
        <v>-611</v>
      </c>
      <c r="J49" s="273">
        <f t="shared" si="6"/>
        <v>-696</v>
      </c>
      <c r="K49" s="273">
        <f t="shared" si="6"/>
        <v>-3022</v>
      </c>
      <c r="L49" s="273">
        <f t="shared" si="6"/>
        <v>-3824</v>
      </c>
      <c r="M49" s="273">
        <f t="shared" si="6"/>
        <v>-305</v>
      </c>
      <c r="N49" s="273">
        <f t="shared" si="6"/>
        <v>-16780</v>
      </c>
      <c r="O49" s="273">
        <f t="shared" si="6"/>
        <v>-177</v>
      </c>
      <c r="P49" s="273">
        <f t="shared" si="6"/>
        <v>-1609</v>
      </c>
      <c r="Q49" s="273">
        <f t="shared" ref="Q49:R49" si="7">SUM(Q37:Q48)</f>
        <v>-98</v>
      </c>
      <c r="R49" s="288">
        <f t="shared" si="7"/>
        <v>-1929</v>
      </c>
    </row>
    <row r="50" spans="1:18" s="113" customFormat="1" ht="6.6" x14ac:dyDescent="0.3">
      <c r="A50" s="371" t="s">
        <v>174</v>
      </c>
      <c r="B50" s="371"/>
      <c r="C50" s="371"/>
      <c r="D50" s="371"/>
      <c r="E50" s="371"/>
      <c r="F50" s="371"/>
      <c r="G50" s="371"/>
      <c r="H50" s="371"/>
      <c r="I50" s="371"/>
      <c r="J50" s="371"/>
      <c r="K50" s="371"/>
      <c r="L50" s="371"/>
      <c r="M50" s="371"/>
      <c r="N50" s="371"/>
      <c r="O50" s="371"/>
      <c r="P50" s="371"/>
      <c r="Q50" s="371"/>
      <c r="R50" s="371"/>
    </row>
    <row r="51" spans="1:18" s="111" customFormat="1" ht="13.8" x14ac:dyDescent="0.3">
      <c r="A51" s="382" t="s">
        <v>39</v>
      </c>
      <c r="B51" s="382"/>
      <c r="C51" s="382"/>
      <c r="D51" s="382"/>
      <c r="E51" s="382"/>
      <c r="F51" s="382"/>
      <c r="G51" s="382"/>
      <c r="H51" s="382"/>
      <c r="I51" s="382"/>
      <c r="J51" s="382"/>
      <c r="K51" s="382"/>
      <c r="L51" s="382"/>
      <c r="M51" s="382"/>
      <c r="N51" s="382"/>
      <c r="O51" s="382"/>
      <c r="P51" s="382"/>
      <c r="Q51" s="382"/>
      <c r="R51" s="382"/>
    </row>
    <row r="52" spans="1:18" s="111" customFormat="1" ht="13.8" x14ac:dyDescent="0.3">
      <c r="A52" s="384" t="str">
        <f>'Local SUT'!A60</f>
        <v>Source:  Minnesota Department of Revenue, Tax Research Division, February 2021</v>
      </c>
      <c r="B52" s="384"/>
      <c r="C52" s="384"/>
      <c r="D52" s="384"/>
      <c r="E52" s="384"/>
      <c r="F52" s="384"/>
      <c r="G52" s="384"/>
      <c r="H52" s="384"/>
      <c r="I52" s="384"/>
      <c r="J52" s="384"/>
      <c r="K52" s="384"/>
      <c r="L52" s="384"/>
      <c r="M52" s="384"/>
      <c r="N52" s="384"/>
      <c r="O52" s="384"/>
      <c r="P52" s="384"/>
      <c r="Q52" s="384"/>
      <c r="R52" s="384"/>
    </row>
    <row r="53" spans="1:18" s="111" customFormat="1" ht="13.8" x14ac:dyDescent="0.3">
      <c r="A53" s="379" t="s">
        <v>151</v>
      </c>
      <c r="B53" s="379"/>
      <c r="C53" s="379"/>
      <c r="D53" s="379"/>
      <c r="E53" s="379"/>
      <c r="F53" s="379"/>
      <c r="G53" s="379"/>
      <c r="H53" s="379"/>
      <c r="I53" s="379"/>
      <c r="J53" s="379"/>
      <c r="K53" s="379"/>
      <c r="L53" s="379"/>
      <c r="M53" s="379"/>
      <c r="N53" s="379"/>
      <c r="O53" s="379"/>
      <c r="P53" s="379"/>
      <c r="Q53" s="379"/>
      <c r="R53" s="379"/>
    </row>
    <row r="54" spans="1:18" x14ac:dyDescent="0.3">
      <c r="R54" s="117"/>
    </row>
  </sheetData>
  <mergeCells count="11">
    <mergeCell ref="A53:R53"/>
    <mergeCell ref="A34:R34"/>
    <mergeCell ref="A35:R35"/>
    <mergeCell ref="A50:R50"/>
    <mergeCell ref="A51:R51"/>
    <mergeCell ref="A52:R52"/>
    <mergeCell ref="A1:R1"/>
    <mergeCell ref="A2:R2"/>
    <mergeCell ref="A3:R3"/>
    <mergeCell ref="A18:R18"/>
    <mergeCell ref="A19:R19"/>
  </mergeCells>
  <pageMargins left="0" right="0" top="0.75" bottom="0.75" header="0.3" footer="0.3"/>
  <pageSetup scale="63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3"/>
  <dimension ref="A1:R54"/>
  <sheetViews>
    <sheetView showGridLines="0" zoomScaleNormal="100" workbookViewId="0">
      <pane ySplit="1" topLeftCell="A2" activePane="bottomLeft" state="frozen"/>
      <selection pane="bottomLeft" sqref="A1:R1"/>
    </sheetView>
  </sheetViews>
  <sheetFormatPr defaultColWidth="12.5546875" defaultRowHeight="14.4" x14ac:dyDescent="0.3"/>
  <cols>
    <col min="1" max="1" width="12.5546875" style="114"/>
    <col min="2" max="9" width="13.5546875" style="74" hidden="1" customWidth="1"/>
    <col min="10" max="17" width="13.5546875" style="74" customWidth="1"/>
    <col min="18" max="18" width="13.5546875" style="145" customWidth="1"/>
    <col min="19" max="16384" width="12.5546875" style="74"/>
  </cols>
  <sheetData>
    <row r="1" spans="1:18" s="112" customFormat="1" ht="21" x14ac:dyDescent="0.3">
      <c r="A1" s="380" t="s">
        <v>201</v>
      </c>
      <c r="B1" s="380"/>
      <c r="C1" s="380"/>
      <c r="D1" s="380"/>
      <c r="E1" s="380"/>
      <c r="F1" s="380"/>
      <c r="G1" s="380"/>
      <c r="H1" s="380"/>
      <c r="I1" s="380"/>
      <c r="J1" s="380"/>
      <c r="K1" s="380"/>
      <c r="L1" s="380"/>
      <c r="M1" s="380"/>
      <c r="N1" s="380"/>
      <c r="O1" s="380"/>
      <c r="P1" s="380"/>
      <c r="Q1" s="380"/>
      <c r="R1" s="380"/>
    </row>
    <row r="2" spans="1:18" s="106" customFormat="1" ht="18" x14ac:dyDescent="0.3">
      <c r="A2" s="381" t="str">
        <f>'Local SUT'!A2</f>
        <v>CY 2004-2020</v>
      </c>
      <c r="B2" s="381"/>
      <c r="C2" s="381"/>
      <c r="D2" s="381"/>
      <c r="E2" s="381"/>
      <c r="F2" s="381"/>
      <c r="G2" s="381"/>
      <c r="H2" s="381"/>
      <c r="I2" s="381"/>
      <c r="J2" s="381"/>
      <c r="K2" s="381"/>
      <c r="L2" s="381"/>
      <c r="M2" s="381"/>
      <c r="N2" s="381"/>
      <c r="O2" s="381"/>
      <c r="P2" s="381"/>
      <c r="Q2" s="381"/>
      <c r="R2" s="381"/>
    </row>
    <row r="3" spans="1:18" s="106" customFormat="1" ht="18" x14ac:dyDescent="0.3">
      <c r="A3" s="370" t="s">
        <v>102</v>
      </c>
      <c r="B3" s="370"/>
      <c r="C3" s="370"/>
      <c r="D3" s="370"/>
      <c r="E3" s="370"/>
      <c r="F3" s="370"/>
      <c r="G3" s="370"/>
      <c r="H3" s="370"/>
      <c r="I3" s="370"/>
      <c r="J3" s="370"/>
      <c r="K3" s="370"/>
      <c r="L3" s="370"/>
      <c r="M3" s="370"/>
      <c r="N3" s="370"/>
      <c r="O3" s="370"/>
      <c r="P3" s="370"/>
      <c r="Q3" s="370"/>
      <c r="R3" s="370"/>
    </row>
    <row r="4" spans="1:18" s="63" customFormat="1" ht="15.6" x14ac:dyDescent="0.3">
      <c r="A4" s="77" t="s">
        <v>23</v>
      </c>
      <c r="B4" s="91">
        <v>2004</v>
      </c>
      <c r="C4" s="64">
        <v>2005</v>
      </c>
      <c r="D4" s="64">
        <v>2006</v>
      </c>
      <c r="E4" s="64">
        <v>2007</v>
      </c>
      <c r="F4" s="64">
        <v>2008</v>
      </c>
      <c r="G4" s="64">
        <v>2009</v>
      </c>
      <c r="H4" s="64">
        <v>2010</v>
      </c>
      <c r="I4" s="64">
        <v>2011</v>
      </c>
      <c r="J4" s="65">
        <v>2012</v>
      </c>
      <c r="K4" s="65">
        <v>2013</v>
      </c>
      <c r="L4" s="65">
        <v>2014</v>
      </c>
      <c r="M4" s="65">
        <v>2015</v>
      </c>
      <c r="N4" s="65">
        <v>2016</v>
      </c>
      <c r="O4" s="65">
        <v>2017</v>
      </c>
      <c r="P4" s="65">
        <v>2018</v>
      </c>
      <c r="Q4" s="65">
        <v>2019</v>
      </c>
      <c r="R4" s="49">
        <v>2020</v>
      </c>
    </row>
    <row r="5" spans="1:18" s="63" customFormat="1" ht="15.6" x14ac:dyDescent="0.3">
      <c r="A5" s="175" t="s">
        <v>24</v>
      </c>
      <c r="B5" s="108" t="s">
        <v>152</v>
      </c>
      <c r="C5" s="107" t="s">
        <v>152</v>
      </c>
      <c r="D5" s="107" t="s">
        <v>152</v>
      </c>
      <c r="E5" s="107" t="s">
        <v>152</v>
      </c>
      <c r="F5" s="107" t="s">
        <v>152</v>
      </c>
      <c r="G5" s="107" t="s">
        <v>152</v>
      </c>
      <c r="H5" s="107" t="s">
        <v>152</v>
      </c>
      <c r="I5" s="107" t="s">
        <v>152</v>
      </c>
      <c r="J5" s="83" t="s">
        <v>152</v>
      </c>
      <c r="K5" s="271">
        <v>112044</v>
      </c>
      <c r="L5" s="271">
        <v>108702</v>
      </c>
      <c r="M5" s="271">
        <v>114414</v>
      </c>
      <c r="N5" s="271">
        <v>123973</v>
      </c>
      <c r="O5" s="271">
        <v>128919</v>
      </c>
      <c r="P5" s="271">
        <v>131404</v>
      </c>
      <c r="Q5" s="271">
        <v>132547</v>
      </c>
      <c r="R5" s="286">
        <v>132797</v>
      </c>
    </row>
    <row r="6" spans="1:18" s="63" customFormat="1" ht="15.6" x14ac:dyDescent="0.3">
      <c r="A6" s="176" t="s">
        <v>25</v>
      </c>
      <c r="B6" s="170" t="s">
        <v>152</v>
      </c>
      <c r="C6" s="67" t="s">
        <v>152</v>
      </c>
      <c r="D6" s="67" t="s">
        <v>152</v>
      </c>
      <c r="E6" s="67" t="s">
        <v>152</v>
      </c>
      <c r="F6" s="67" t="s">
        <v>152</v>
      </c>
      <c r="G6" s="67" t="s">
        <v>152</v>
      </c>
      <c r="H6" s="67" t="s">
        <v>152</v>
      </c>
      <c r="I6" s="67" t="s">
        <v>152</v>
      </c>
      <c r="J6" s="68">
        <v>72944</v>
      </c>
      <c r="K6" s="66">
        <v>86084</v>
      </c>
      <c r="L6" s="66">
        <v>97875</v>
      </c>
      <c r="M6" s="66">
        <v>94735</v>
      </c>
      <c r="N6" s="66">
        <v>87852</v>
      </c>
      <c r="O6" s="66">
        <v>90965</v>
      </c>
      <c r="P6" s="66">
        <v>95248</v>
      </c>
      <c r="Q6" s="66">
        <v>99926</v>
      </c>
      <c r="R6" s="287">
        <v>104054</v>
      </c>
    </row>
    <row r="7" spans="1:18" s="63" customFormat="1" ht="15.6" x14ac:dyDescent="0.3">
      <c r="A7" s="176" t="s">
        <v>26</v>
      </c>
      <c r="B7" s="170" t="s">
        <v>152</v>
      </c>
      <c r="C7" s="67" t="s">
        <v>152</v>
      </c>
      <c r="D7" s="67" t="s">
        <v>152</v>
      </c>
      <c r="E7" s="67" t="s">
        <v>152</v>
      </c>
      <c r="F7" s="67" t="s">
        <v>152</v>
      </c>
      <c r="G7" s="67" t="s">
        <v>152</v>
      </c>
      <c r="H7" s="67" t="s">
        <v>152</v>
      </c>
      <c r="I7" s="67" t="s">
        <v>152</v>
      </c>
      <c r="J7" s="66">
        <v>80547</v>
      </c>
      <c r="K7" s="66">
        <v>76905</v>
      </c>
      <c r="L7" s="66">
        <v>78061</v>
      </c>
      <c r="M7" s="66">
        <v>94263</v>
      </c>
      <c r="N7" s="66">
        <v>85793</v>
      </c>
      <c r="O7" s="66">
        <v>87738</v>
      </c>
      <c r="P7" s="66">
        <v>91199</v>
      </c>
      <c r="Q7" s="66">
        <v>90607</v>
      </c>
      <c r="R7" s="287">
        <v>107595</v>
      </c>
    </row>
    <row r="8" spans="1:18" s="63" customFormat="1" ht="15.6" x14ac:dyDescent="0.3">
      <c r="A8" s="176" t="s">
        <v>27</v>
      </c>
      <c r="B8" s="170" t="s">
        <v>152</v>
      </c>
      <c r="C8" s="67" t="s">
        <v>152</v>
      </c>
      <c r="D8" s="67" t="s">
        <v>152</v>
      </c>
      <c r="E8" s="67" t="s">
        <v>152</v>
      </c>
      <c r="F8" s="67" t="s">
        <v>152</v>
      </c>
      <c r="G8" s="67" t="s">
        <v>152</v>
      </c>
      <c r="H8" s="67" t="s">
        <v>152</v>
      </c>
      <c r="I8" s="67" t="s">
        <v>152</v>
      </c>
      <c r="J8" s="66">
        <v>94315</v>
      </c>
      <c r="K8" s="66">
        <v>88885</v>
      </c>
      <c r="L8" s="66">
        <v>96461</v>
      </c>
      <c r="M8" s="66">
        <v>100802</v>
      </c>
      <c r="N8" s="66">
        <v>106983</v>
      </c>
      <c r="O8" s="66">
        <v>101641</v>
      </c>
      <c r="P8" s="66">
        <v>112644</v>
      </c>
      <c r="Q8" s="66">
        <v>112763</v>
      </c>
      <c r="R8" s="287">
        <v>112495</v>
      </c>
    </row>
    <row r="9" spans="1:18" s="63" customFormat="1" ht="15.6" x14ac:dyDescent="0.3">
      <c r="A9" s="176" t="s">
        <v>28</v>
      </c>
      <c r="B9" s="170" t="s">
        <v>152</v>
      </c>
      <c r="C9" s="67" t="s">
        <v>152</v>
      </c>
      <c r="D9" s="67" t="s">
        <v>152</v>
      </c>
      <c r="E9" s="67" t="s">
        <v>152</v>
      </c>
      <c r="F9" s="67" t="s">
        <v>152</v>
      </c>
      <c r="G9" s="67" t="s">
        <v>152</v>
      </c>
      <c r="H9" s="67" t="s">
        <v>152</v>
      </c>
      <c r="I9" s="67" t="s">
        <v>152</v>
      </c>
      <c r="J9" s="66">
        <v>87101</v>
      </c>
      <c r="K9" s="66">
        <v>87692</v>
      </c>
      <c r="L9" s="66">
        <v>93587</v>
      </c>
      <c r="M9" s="66">
        <v>103622</v>
      </c>
      <c r="N9" s="66">
        <v>104502</v>
      </c>
      <c r="O9" s="66">
        <v>104801</v>
      </c>
      <c r="P9" s="66">
        <v>112675</v>
      </c>
      <c r="Q9" s="66">
        <v>117035</v>
      </c>
      <c r="R9" s="287">
        <v>125253</v>
      </c>
    </row>
    <row r="10" spans="1:18" s="63" customFormat="1" ht="15.6" x14ac:dyDescent="0.3">
      <c r="A10" s="176" t="s">
        <v>29</v>
      </c>
      <c r="B10" s="170" t="s">
        <v>152</v>
      </c>
      <c r="C10" s="67" t="s">
        <v>152</v>
      </c>
      <c r="D10" s="67" t="s">
        <v>152</v>
      </c>
      <c r="E10" s="67" t="s">
        <v>152</v>
      </c>
      <c r="F10" s="67" t="s">
        <v>152</v>
      </c>
      <c r="G10" s="67" t="s">
        <v>152</v>
      </c>
      <c r="H10" s="67" t="s">
        <v>152</v>
      </c>
      <c r="I10" s="67" t="s">
        <v>152</v>
      </c>
      <c r="J10" s="66">
        <v>79969</v>
      </c>
      <c r="K10" s="66">
        <v>103059</v>
      </c>
      <c r="L10" s="66">
        <v>105288</v>
      </c>
      <c r="M10" s="66">
        <v>111476</v>
      </c>
      <c r="N10" s="66">
        <v>112087</v>
      </c>
      <c r="O10" s="66">
        <v>122016</v>
      </c>
      <c r="P10" s="66">
        <v>127148</v>
      </c>
      <c r="Q10" s="66">
        <v>127044</v>
      </c>
      <c r="R10" s="287">
        <v>142430</v>
      </c>
    </row>
    <row r="11" spans="1:18" s="63" customFormat="1" ht="15.6" x14ac:dyDescent="0.3">
      <c r="A11" s="176" t="s">
        <v>30</v>
      </c>
      <c r="B11" s="170" t="s">
        <v>152</v>
      </c>
      <c r="C11" s="67" t="s">
        <v>152</v>
      </c>
      <c r="D11" s="67" t="s">
        <v>152</v>
      </c>
      <c r="E11" s="67" t="s">
        <v>152</v>
      </c>
      <c r="F11" s="67" t="s">
        <v>152</v>
      </c>
      <c r="G11" s="67" t="s">
        <v>152</v>
      </c>
      <c r="H11" s="67" t="s">
        <v>152</v>
      </c>
      <c r="I11" s="67" t="s">
        <v>152</v>
      </c>
      <c r="J11" s="66">
        <v>97328</v>
      </c>
      <c r="K11" s="66">
        <v>79032</v>
      </c>
      <c r="L11" s="66">
        <v>103581</v>
      </c>
      <c r="M11" s="66">
        <v>105878</v>
      </c>
      <c r="N11" s="66">
        <v>91465</v>
      </c>
      <c r="O11" s="66">
        <v>109240</v>
      </c>
      <c r="P11" s="66">
        <v>105523</v>
      </c>
      <c r="Q11" s="66">
        <v>121876</v>
      </c>
      <c r="R11" s="291" t="s">
        <v>152</v>
      </c>
    </row>
    <row r="12" spans="1:18" s="63" customFormat="1" ht="15.6" x14ac:dyDescent="0.3">
      <c r="A12" s="176" t="s">
        <v>31</v>
      </c>
      <c r="B12" s="170" t="s">
        <v>152</v>
      </c>
      <c r="C12" s="67" t="s">
        <v>152</v>
      </c>
      <c r="D12" s="67" t="s">
        <v>152</v>
      </c>
      <c r="E12" s="67" t="s">
        <v>152</v>
      </c>
      <c r="F12" s="67" t="s">
        <v>152</v>
      </c>
      <c r="G12" s="67" t="s">
        <v>152</v>
      </c>
      <c r="H12" s="67" t="s">
        <v>152</v>
      </c>
      <c r="I12" s="67" t="s">
        <v>152</v>
      </c>
      <c r="J12" s="66">
        <v>110900</v>
      </c>
      <c r="K12" s="66">
        <v>110338</v>
      </c>
      <c r="L12" s="66">
        <v>107243</v>
      </c>
      <c r="M12" s="66">
        <v>134540</v>
      </c>
      <c r="N12" s="66">
        <v>130936</v>
      </c>
      <c r="O12" s="66">
        <v>141849</v>
      </c>
      <c r="P12" s="66">
        <v>146391</v>
      </c>
      <c r="Q12" s="66">
        <v>131987</v>
      </c>
      <c r="R12" s="295" t="s">
        <v>152</v>
      </c>
    </row>
    <row r="13" spans="1:18" s="63" customFormat="1" ht="15.6" x14ac:dyDescent="0.3">
      <c r="A13" s="176" t="s">
        <v>32</v>
      </c>
      <c r="B13" s="170" t="s">
        <v>152</v>
      </c>
      <c r="C13" s="67" t="s">
        <v>152</v>
      </c>
      <c r="D13" s="67" t="s">
        <v>152</v>
      </c>
      <c r="E13" s="67" t="s">
        <v>152</v>
      </c>
      <c r="F13" s="67" t="s">
        <v>152</v>
      </c>
      <c r="G13" s="67" t="s">
        <v>152</v>
      </c>
      <c r="H13" s="67" t="s">
        <v>152</v>
      </c>
      <c r="I13" s="67" t="s">
        <v>152</v>
      </c>
      <c r="J13" s="66">
        <v>98142</v>
      </c>
      <c r="K13" s="66">
        <v>102958</v>
      </c>
      <c r="L13" s="66">
        <v>104041</v>
      </c>
      <c r="M13" s="66">
        <v>105546</v>
      </c>
      <c r="N13" s="66">
        <v>111107</v>
      </c>
      <c r="O13" s="66">
        <v>118511</v>
      </c>
      <c r="P13" s="66">
        <v>124536</v>
      </c>
      <c r="Q13" s="66">
        <v>126172</v>
      </c>
      <c r="R13" s="295" t="s">
        <v>152</v>
      </c>
    </row>
    <row r="14" spans="1:18" s="63" customFormat="1" ht="15.6" x14ac:dyDescent="0.3">
      <c r="A14" s="176" t="s">
        <v>33</v>
      </c>
      <c r="B14" s="170" t="s">
        <v>152</v>
      </c>
      <c r="C14" s="67" t="s">
        <v>152</v>
      </c>
      <c r="D14" s="67" t="s">
        <v>152</v>
      </c>
      <c r="E14" s="67" t="s">
        <v>152</v>
      </c>
      <c r="F14" s="67" t="s">
        <v>152</v>
      </c>
      <c r="G14" s="67" t="s">
        <v>152</v>
      </c>
      <c r="H14" s="67" t="s">
        <v>152</v>
      </c>
      <c r="I14" s="67" t="s">
        <v>152</v>
      </c>
      <c r="J14" s="66">
        <v>88465</v>
      </c>
      <c r="K14" s="66">
        <v>101025</v>
      </c>
      <c r="L14" s="66">
        <v>107124</v>
      </c>
      <c r="M14" s="66">
        <v>107817</v>
      </c>
      <c r="N14" s="66">
        <v>109358</v>
      </c>
      <c r="O14" s="66">
        <v>120337</v>
      </c>
      <c r="P14" s="66">
        <v>115892</v>
      </c>
      <c r="Q14" s="66">
        <v>125622</v>
      </c>
      <c r="R14" s="295" t="s">
        <v>152</v>
      </c>
    </row>
    <row r="15" spans="1:18" s="63" customFormat="1" ht="15.6" x14ac:dyDescent="0.3">
      <c r="A15" s="176" t="s">
        <v>34</v>
      </c>
      <c r="B15" s="170" t="s">
        <v>152</v>
      </c>
      <c r="C15" s="67" t="s">
        <v>152</v>
      </c>
      <c r="D15" s="67" t="s">
        <v>152</v>
      </c>
      <c r="E15" s="67" t="s">
        <v>152</v>
      </c>
      <c r="F15" s="67" t="s">
        <v>152</v>
      </c>
      <c r="G15" s="67" t="s">
        <v>152</v>
      </c>
      <c r="H15" s="67" t="s">
        <v>152</v>
      </c>
      <c r="I15" s="67" t="s">
        <v>152</v>
      </c>
      <c r="J15" s="66">
        <v>89529</v>
      </c>
      <c r="K15" s="66">
        <v>90882</v>
      </c>
      <c r="L15" s="66">
        <v>94203</v>
      </c>
      <c r="M15" s="66">
        <v>99389</v>
      </c>
      <c r="N15" s="66">
        <v>102804</v>
      </c>
      <c r="O15" s="66">
        <v>108745</v>
      </c>
      <c r="P15" s="66">
        <v>119461</v>
      </c>
      <c r="Q15" s="66">
        <v>121990</v>
      </c>
      <c r="R15" s="295" t="s">
        <v>152</v>
      </c>
    </row>
    <row r="16" spans="1:18" s="63" customFormat="1" ht="16.2" thickBot="1" x14ac:dyDescent="0.35">
      <c r="A16" s="177" t="s">
        <v>36</v>
      </c>
      <c r="B16" s="87" t="s">
        <v>152</v>
      </c>
      <c r="C16" s="72" t="s">
        <v>152</v>
      </c>
      <c r="D16" s="72" t="s">
        <v>152</v>
      </c>
      <c r="E16" s="72" t="s">
        <v>152</v>
      </c>
      <c r="F16" s="72" t="s">
        <v>152</v>
      </c>
      <c r="G16" s="72" t="s">
        <v>152</v>
      </c>
      <c r="H16" s="72" t="s">
        <v>152</v>
      </c>
      <c r="I16" s="72" t="s">
        <v>152</v>
      </c>
      <c r="J16" s="71">
        <v>103968</v>
      </c>
      <c r="K16" s="71">
        <v>106010</v>
      </c>
      <c r="L16" s="71">
        <v>106465</v>
      </c>
      <c r="M16" s="71">
        <v>104378</v>
      </c>
      <c r="N16" s="71">
        <v>112891</v>
      </c>
      <c r="O16" s="71">
        <v>115803</v>
      </c>
      <c r="P16" s="71">
        <v>124702</v>
      </c>
      <c r="Q16" s="71">
        <v>121963</v>
      </c>
      <c r="R16" s="292" t="s">
        <v>152</v>
      </c>
    </row>
    <row r="17" spans="1:18" s="63" customFormat="1" ht="16.2" thickTop="1" x14ac:dyDescent="0.3">
      <c r="A17" s="89" t="s">
        <v>37</v>
      </c>
      <c r="B17" s="90" t="s">
        <v>152</v>
      </c>
      <c r="C17" s="73" t="s">
        <v>152</v>
      </c>
      <c r="D17" s="73" t="s">
        <v>152</v>
      </c>
      <c r="E17" s="73" t="s">
        <v>152</v>
      </c>
      <c r="F17" s="73" t="s">
        <v>152</v>
      </c>
      <c r="G17" s="73" t="s">
        <v>152</v>
      </c>
      <c r="H17" s="73" t="s">
        <v>152</v>
      </c>
      <c r="I17" s="73" t="s">
        <v>152</v>
      </c>
      <c r="J17" s="273">
        <f t="shared" ref="J17:P17" si="0">SUM(J5:J16)</f>
        <v>1003208</v>
      </c>
      <c r="K17" s="273">
        <f t="shared" si="0"/>
        <v>1144914</v>
      </c>
      <c r="L17" s="273">
        <f t="shared" si="0"/>
        <v>1202631</v>
      </c>
      <c r="M17" s="273">
        <f t="shared" si="0"/>
        <v>1276860</v>
      </c>
      <c r="N17" s="273">
        <f t="shared" si="0"/>
        <v>1279751</v>
      </c>
      <c r="O17" s="273">
        <f t="shared" si="0"/>
        <v>1350565</v>
      </c>
      <c r="P17" s="273">
        <f t="shared" si="0"/>
        <v>1406823</v>
      </c>
      <c r="Q17" s="273">
        <f t="shared" ref="Q17:R17" si="1">SUM(Q5:Q16)</f>
        <v>1429532</v>
      </c>
      <c r="R17" s="288">
        <f t="shared" si="1"/>
        <v>724624</v>
      </c>
    </row>
    <row r="18" spans="1:18" s="113" customFormat="1" ht="6.6" x14ac:dyDescent="0.3">
      <c r="A18" s="371" t="s">
        <v>174</v>
      </c>
      <c r="B18" s="371"/>
      <c r="C18" s="371"/>
      <c r="D18" s="371"/>
      <c r="E18" s="371"/>
      <c r="F18" s="371"/>
      <c r="G18" s="371"/>
      <c r="H18" s="371"/>
      <c r="I18" s="371"/>
      <c r="J18" s="371"/>
      <c r="K18" s="371"/>
      <c r="L18" s="371"/>
      <c r="M18" s="371"/>
      <c r="N18" s="371"/>
      <c r="O18" s="371"/>
      <c r="P18" s="371"/>
      <c r="Q18" s="371"/>
      <c r="R18" s="371"/>
    </row>
    <row r="19" spans="1:18" s="106" customFormat="1" ht="18" x14ac:dyDescent="0.3">
      <c r="A19" s="370" t="s">
        <v>103</v>
      </c>
      <c r="B19" s="370"/>
      <c r="C19" s="370"/>
      <c r="D19" s="370"/>
      <c r="E19" s="370"/>
      <c r="F19" s="370"/>
      <c r="G19" s="370"/>
      <c r="H19" s="370"/>
      <c r="I19" s="370"/>
      <c r="J19" s="370"/>
      <c r="K19" s="370"/>
      <c r="L19" s="370"/>
      <c r="M19" s="370"/>
      <c r="N19" s="370"/>
      <c r="O19" s="370"/>
      <c r="P19" s="370"/>
      <c r="Q19" s="370"/>
      <c r="R19" s="370"/>
    </row>
    <row r="20" spans="1:18" s="63" customFormat="1" ht="15.6" x14ac:dyDescent="0.3">
      <c r="A20" s="77" t="s">
        <v>23</v>
      </c>
      <c r="B20" s="91">
        <v>2004</v>
      </c>
      <c r="C20" s="64">
        <v>2005</v>
      </c>
      <c r="D20" s="64">
        <v>2006</v>
      </c>
      <c r="E20" s="64">
        <v>2007</v>
      </c>
      <c r="F20" s="64">
        <v>2008</v>
      </c>
      <c r="G20" s="64">
        <v>2009</v>
      </c>
      <c r="H20" s="64">
        <v>2010</v>
      </c>
      <c r="I20" s="64">
        <v>2011</v>
      </c>
      <c r="J20" s="65">
        <v>2012</v>
      </c>
      <c r="K20" s="65">
        <v>2013</v>
      </c>
      <c r="L20" s="65">
        <v>2014</v>
      </c>
      <c r="M20" s="65">
        <v>2015</v>
      </c>
      <c r="N20" s="65">
        <v>2016</v>
      </c>
      <c r="O20" s="65">
        <v>2017</v>
      </c>
      <c r="P20" s="65">
        <v>2018</v>
      </c>
      <c r="Q20" s="65">
        <v>2019</v>
      </c>
      <c r="R20" s="49">
        <v>2020</v>
      </c>
    </row>
    <row r="21" spans="1:18" s="63" customFormat="1" ht="15.6" x14ac:dyDescent="0.3">
      <c r="A21" s="175" t="s">
        <v>24</v>
      </c>
      <c r="B21" s="108" t="s">
        <v>152</v>
      </c>
      <c r="C21" s="107" t="s">
        <v>152</v>
      </c>
      <c r="D21" s="107" t="s">
        <v>152</v>
      </c>
      <c r="E21" s="107" t="s">
        <v>152</v>
      </c>
      <c r="F21" s="107" t="s">
        <v>152</v>
      </c>
      <c r="G21" s="107" t="s">
        <v>152</v>
      </c>
      <c r="H21" s="107" t="s">
        <v>152</v>
      </c>
      <c r="I21" s="107" t="s">
        <v>152</v>
      </c>
      <c r="J21" s="83" t="s">
        <v>152</v>
      </c>
      <c r="K21" s="271">
        <v>23003</v>
      </c>
      <c r="L21" s="271">
        <v>23128</v>
      </c>
      <c r="M21" s="271">
        <v>32515</v>
      </c>
      <c r="N21" s="271">
        <v>8576</v>
      </c>
      <c r="O21" s="271">
        <v>7944</v>
      </c>
      <c r="P21" s="271">
        <v>6346</v>
      </c>
      <c r="Q21" s="271">
        <v>7827</v>
      </c>
      <c r="R21" s="286">
        <v>11610</v>
      </c>
    </row>
    <row r="22" spans="1:18" s="63" customFormat="1" ht="15.6" x14ac:dyDescent="0.3">
      <c r="A22" s="176" t="s">
        <v>25</v>
      </c>
      <c r="B22" s="170" t="s">
        <v>152</v>
      </c>
      <c r="C22" s="67" t="s">
        <v>152</v>
      </c>
      <c r="D22" s="67" t="s">
        <v>152</v>
      </c>
      <c r="E22" s="67" t="s">
        <v>152</v>
      </c>
      <c r="F22" s="67" t="s">
        <v>152</v>
      </c>
      <c r="G22" s="67" t="s">
        <v>152</v>
      </c>
      <c r="H22" s="67" t="s">
        <v>152</v>
      </c>
      <c r="I22" s="67" t="s">
        <v>152</v>
      </c>
      <c r="J22" s="275">
        <v>13422</v>
      </c>
      <c r="K22" s="66">
        <v>18178</v>
      </c>
      <c r="L22" s="66">
        <v>21751</v>
      </c>
      <c r="M22" s="66">
        <v>23300</v>
      </c>
      <c r="N22" s="66">
        <v>5278</v>
      </c>
      <c r="O22" s="66">
        <v>7371</v>
      </c>
      <c r="P22" s="66">
        <v>2140</v>
      </c>
      <c r="Q22" s="66">
        <v>11679</v>
      </c>
      <c r="R22" s="287">
        <v>5308</v>
      </c>
    </row>
    <row r="23" spans="1:18" s="63" customFormat="1" ht="15.6" x14ac:dyDescent="0.3">
      <c r="A23" s="176" t="s">
        <v>26</v>
      </c>
      <c r="B23" s="170" t="s">
        <v>152</v>
      </c>
      <c r="C23" s="67" t="s">
        <v>152</v>
      </c>
      <c r="D23" s="67" t="s">
        <v>152</v>
      </c>
      <c r="E23" s="67" t="s">
        <v>152</v>
      </c>
      <c r="F23" s="67" t="s">
        <v>152</v>
      </c>
      <c r="G23" s="67" t="s">
        <v>152</v>
      </c>
      <c r="H23" s="67" t="s">
        <v>152</v>
      </c>
      <c r="I23" s="67" t="s">
        <v>152</v>
      </c>
      <c r="J23" s="66">
        <v>15076</v>
      </c>
      <c r="K23" s="66">
        <v>23640</v>
      </c>
      <c r="L23" s="66">
        <v>23785</v>
      </c>
      <c r="M23" s="66">
        <v>12250</v>
      </c>
      <c r="N23" s="66">
        <v>5137</v>
      </c>
      <c r="O23" s="66">
        <v>7243</v>
      </c>
      <c r="P23" s="66">
        <v>7039</v>
      </c>
      <c r="Q23" s="66">
        <v>-779</v>
      </c>
      <c r="R23" s="287">
        <v>7336</v>
      </c>
    </row>
    <row r="24" spans="1:18" s="63" customFormat="1" ht="15.6" x14ac:dyDescent="0.3">
      <c r="A24" s="176" t="s">
        <v>27</v>
      </c>
      <c r="B24" s="170" t="s">
        <v>152</v>
      </c>
      <c r="C24" s="67" t="s">
        <v>152</v>
      </c>
      <c r="D24" s="67" t="s">
        <v>152</v>
      </c>
      <c r="E24" s="67" t="s">
        <v>152</v>
      </c>
      <c r="F24" s="67" t="s">
        <v>152</v>
      </c>
      <c r="G24" s="67" t="s">
        <v>152</v>
      </c>
      <c r="H24" s="67" t="s">
        <v>152</v>
      </c>
      <c r="I24" s="67" t="s">
        <v>152</v>
      </c>
      <c r="J24" s="66">
        <v>16318</v>
      </c>
      <c r="K24" s="66">
        <v>23594</v>
      </c>
      <c r="L24" s="66">
        <v>26072</v>
      </c>
      <c r="M24" s="66">
        <v>14249</v>
      </c>
      <c r="N24" s="66">
        <v>7045</v>
      </c>
      <c r="O24" s="66">
        <v>10797</v>
      </c>
      <c r="P24" s="66">
        <v>8463</v>
      </c>
      <c r="Q24" s="66">
        <v>10366</v>
      </c>
      <c r="R24" s="287">
        <v>8246</v>
      </c>
    </row>
    <row r="25" spans="1:18" s="63" customFormat="1" ht="15.6" x14ac:dyDescent="0.3">
      <c r="A25" s="176" t="s">
        <v>28</v>
      </c>
      <c r="B25" s="170" t="s">
        <v>152</v>
      </c>
      <c r="C25" s="67" t="s">
        <v>152</v>
      </c>
      <c r="D25" s="67" t="s">
        <v>152</v>
      </c>
      <c r="E25" s="67" t="s">
        <v>152</v>
      </c>
      <c r="F25" s="67" t="s">
        <v>152</v>
      </c>
      <c r="G25" s="67" t="s">
        <v>152</v>
      </c>
      <c r="H25" s="67" t="s">
        <v>152</v>
      </c>
      <c r="I25" s="67" t="s">
        <v>152</v>
      </c>
      <c r="J25" s="66">
        <v>18007</v>
      </c>
      <c r="K25" s="66">
        <v>24885</v>
      </c>
      <c r="L25" s="66">
        <v>24290</v>
      </c>
      <c r="M25" s="66">
        <v>21899</v>
      </c>
      <c r="N25" s="66">
        <v>4867</v>
      </c>
      <c r="O25" s="66">
        <v>11587</v>
      </c>
      <c r="P25" s="66">
        <v>7880</v>
      </c>
      <c r="Q25" s="66">
        <v>20298</v>
      </c>
      <c r="R25" s="287">
        <v>12294</v>
      </c>
    </row>
    <row r="26" spans="1:18" s="63" customFormat="1" ht="15.6" x14ac:dyDescent="0.3">
      <c r="A26" s="176" t="s">
        <v>29</v>
      </c>
      <c r="B26" s="170" t="s">
        <v>152</v>
      </c>
      <c r="C26" s="67" t="s">
        <v>152</v>
      </c>
      <c r="D26" s="67" t="s">
        <v>152</v>
      </c>
      <c r="E26" s="67" t="s">
        <v>152</v>
      </c>
      <c r="F26" s="67" t="s">
        <v>152</v>
      </c>
      <c r="G26" s="67" t="s">
        <v>152</v>
      </c>
      <c r="H26" s="67" t="s">
        <v>152</v>
      </c>
      <c r="I26" s="67" t="s">
        <v>152</v>
      </c>
      <c r="J26" s="66">
        <v>21005</v>
      </c>
      <c r="K26" s="66">
        <v>20799</v>
      </c>
      <c r="L26" s="66">
        <v>18843</v>
      </c>
      <c r="M26" s="66">
        <v>18227</v>
      </c>
      <c r="N26" s="66">
        <v>6331</v>
      </c>
      <c r="O26" s="66">
        <v>14042</v>
      </c>
      <c r="P26" s="66">
        <v>8665</v>
      </c>
      <c r="Q26" s="66">
        <v>7076</v>
      </c>
      <c r="R26" s="287">
        <v>3028</v>
      </c>
    </row>
    <row r="27" spans="1:18" s="63" customFormat="1" ht="15.6" x14ac:dyDescent="0.3">
      <c r="A27" s="176" t="s">
        <v>30</v>
      </c>
      <c r="B27" s="170" t="s">
        <v>152</v>
      </c>
      <c r="C27" s="67" t="s">
        <v>152</v>
      </c>
      <c r="D27" s="67" t="s">
        <v>152</v>
      </c>
      <c r="E27" s="67" t="s">
        <v>152</v>
      </c>
      <c r="F27" s="67" t="s">
        <v>152</v>
      </c>
      <c r="G27" s="67" t="s">
        <v>152</v>
      </c>
      <c r="H27" s="67" t="s">
        <v>152</v>
      </c>
      <c r="I27" s="67" t="s">
        <v>152</v>
      </c>
      <c r="J27" s="66">
        <v>2013</v>
      </c>
      <c r="K27" s="66">
        <v>2297</v>
      </c>
      <c r="L27" s="66">
        <v>4365</v>
      </c>
      <c r="M27" s="66">
        <v>4800</v>
      </c>
      <c r="N27" s="66">
        <v>7862</v>
      </c>
      <c r="O27" s="66">
        <v>15805</v>
      </c>
      <c r="P27" s="66">
        <v>7693</v>
      </c>
      <c r="Q27" s="66">
        <v>12106</v>
      </c>
      <c r="R27" s="295" t="s">
        <v>152</v>
      </c>
    </row>
    <row r="28" spans="1:18" s="63" customFormat="1" ht="15.6" x14ac:dyDescent="0.3">
      <c r="A28" s="176" t="s">
        <v>31</v>
      </c>
      <c r="B28" s="170" t="s">
        <v>152</v>
      </c>
      <c r="C28" s="67" t="s">
        <v>152</v>
      </c>
      <c r="D28" s="67" t="s">
        <v>152</v>
      </c>
      <c r="E28" s="67" t="s">
        <v>152</v>
      </c>
      <c r="F28" s="67" t="s">
        <v>152</v>
      </c>
      <c r="G28" s="67" t="s">
        <v>152</v>
      </c>
      <c r="H28" s="67" t="s">
        <v>152</v>
      </c>
      <c r="I28" s="67" t="s">
        <v>152</v>
      </c>
      <c r="J28" s="66">
        <v>26809</v>
      </c>
      <c r="K28" s="66">
        <v>54861</v>
      </c>
      <c r="L28" s="66">
        <v>32720</v>
      </c>
      <c r="M28" s="66">
        <v>23790</v>
      </c>
      <c r="N28" s="66">
        <v>5818</v>
      </c>
      <c r="O28" s="66">
        <v>5955</v>
      </c>
      <c r="P28" s="66">
        <v>7819</v>
      </c>
      <c r="Q28" s="66">
        <v>6933</v>
      </c>
      <c r="R28" s="295" t="s">
        <v>152</v>
      </c>
    </row>
    <row r="29" spans="1:18" s="63" customFormat="1" ht="15.6" x14ac:dyDescent="0.3">
      <c r="A29" s="176" t="s">
        <v>32</v>
      </c>
      <c r="B29" s="170" t="s">
        <v>152</v>
      </c>
      <c r="C29" s="67" t="s">
        <v>152</v>
      </c>
      <c r="D29" s="67" t="s">
        <v>152</v>
      </c>
      <c r="E29" s="67" t="s">
        <v>152</v>
      </c>
      <c r="F29" s="67" t="s">
        <v>152</v>
      </c>
      <c r="G29" s="67" t="s">
        <v>152</v>
      </c>
      <c r="H29" s="67" t="s">
        <v>152</v>
      </c>
      <c r="I29" s="67" t="s">
        <v>152</v>
      </c>
      <c r="J29" s="66">
        <v>13230</v>
      </c>
      <c r="K29" s="66">
        <v>18573</v>
      </c>
      <c r="L29" s="66">
        <v>18158</v>
      </c>
      <c r="M29" s="66">
        <v>5500</v>
      </c>
      <c r="N29" s="66">
        <v>6233</v>
      </c>
      <c r="O29" s="66">
        <v>7966</v>
      </c>
      <c r="P29" s="66">
        <v>6515</v>
      </c>
      <c r="Q29" s="66">
        <v>7310</v>
      </c>
      <c r="R29" s="295" t="s">
        <v>152</v>
      </c>
    </row>
    <row r="30" spans="1:18" s="63" customFormat="1" ht="15.6" x14ac:dyDescent="0.3">
      <c r="A30" s="176" t="s">
        <v>33</v>
      </c>
      <c r="B30" s="170" t="s">
        <v>152</v>
      </c>
      <c r="C30" s="67" t="s">
        <v>152</v>
      </c>
      <c r="D30" s="67" t="s">
        <v>152</v>
      </c>
      <c r="E30" s="67" t="s">
        <v>152</v>
      </c>
      <c r="F30" s="67" t="s">
        <v>152</v>
      </c>
      <c r="G30" s="67" t="s">
        <v>152</v>
      </c>
      <c r="H30" s="67" t="s">
        <v>152</v>
      </c>
      <c r="I30" s="67" t="s">
        <v>152</v>
      </c>
      <c r="J30" s="66">
        <v>15415</v>
      </c>
      <c r="K30" s="66">
        <v>26128</v>
      </c>
      <c r="L30" s="66">
        <v>16459</v>
      </c>
      <c r="M30" s="66">
        <v>6355</v>
      </c>
      <c r="N30" s="66">
        <v>7080</v>
      </c>
      <c r="O30" s="66">
        <v>6540</v>
      </c>
      <c r="P30" s="66">
        <v>14347</v>
      </c>
      <c r="Q30" s="66">
        <v>10731</v>
      </c>
      <c r="R30" s="295" t="s">
        <v>152</v>
      </c>
    </row>
    <row r="31" spans="1:18" s="63" customFormat="1" ht="15.6" x14ac:dyDescent="0.3">
      <c r="A31" s="176" t="s">
        <v>34</v>
      </c>
      <c r="B31" s="170" t="s">
        <v>152</v>
      </c>
      <c r="C31" s="67" t="s">
        <v>152</v>
      </c>
      <c r="D31" s="67" t="s">
        <v>152</v>
      </c>
      <c r="E31" s="67" t="s">
        <v>152</v>
      </c>
      <c r="F31" s="67" t="s">
        <v>152</v>
      </c>
      <c r="G31" s="67" t="s">
        <v>152</v>
      </c>
      <c r="H31" s="67" t="s">
        <v>152</v>
      </c>
      <c r="I31" s="67" t="s">
        <v>152</v>
      </c>
      <c r="J31" s="66">
        <v>31553</v>
      </c>
      <c r="K31" s="66">
        <v>32306</v>
      </c>
      <c r="L31" s="66">
        <v>28876</v>
      </c>
      <c r="M31" s="66">
        <v>4091</v>
      </c>
      <c r="N31" s="66">
        <v>8384</v>
      </c>
      <c r="O31" s="66">
        <v>10175</v>
      </c>
      <c r="P31" s="66">
        <v>1384</v>
      </c>
      <c r="Q31" s="66">
        <v>8525</v>
      </c>
      <c r="R31" s="295" t="s">
        <v>152</v>
      </c>
    </row>
    <row r="32" spans="1:18" s="63" customFormat="1" ht="16.2" thickBot="1" x14ac:dyDescent="0.35">
      <c r="A32" s="177" t="s">
        <v>36</v>
      </c>
      <c r="B32" s="87" t="s">
        <v>152</v>
      </c>
      <c r="C32" s="72" t="s">
        <v>152</v>
      </c>
      <c r="D32" s="72" t="s">
        <v>152</v>
      </c>
      <c r="E32" s="72" t="s">
        <v>152</v>
      </c>
      <c r="F32" s="72" t="s">
        <v>152</v>
      </c>
      <c r="G32" s="72" t="s">
        <v>152</v>
      </c>
      <c r="H32" s="72" t="s">
        <v>152</v>
      </c>
      <c r="I32" s="72" t="s">
        <v>152</v>
      </c>
      <c r="J32" s="71">
        <v>17500</v>
      </c>
      <c r="K32" s="71">
        <v>18991</v>
      </c>
      <c r="L32" s="71">
        <v>13112</v>
      </c>
      <c r="M32" s="71">
        <v>5041</v>
      </c>
      <c r="N32" s="71">
        <v>7203</v>
      </c>
      <c r="O32" s="71">
        <v>4768</v>
      </c>
      <c r="P32" s="71">
        <v>10932</v>
      </c>
      <c r="Q32" s="71">
        <v>10555</v>
      </c>
      <c r="R32" s="292" t="s">
        <v>152</v>
      </c>
    </row>
    <row r="33" spans="1:18" s="63" customFormat="1" ht="16.2" thickTop="1" x14ac:dyDescent="0.3">
      <c r="A33" s="89" t="s">
        <v>37</v>
      </c>
      <c r="B33" s="90" t="s">
        <v>152</v>
      </c>
      <c r="C33" s="73" t="s">
        <v>152</v>
      </c>
      <c r="D33" s="73" t="s">
        <v>152</v>
      </c>
      <c r="E33" s="73" t="s">
        <v>152</v>
      </c>
      <c r="F33" s="73" t="s">
        <v>152</v>
      </c>
      <c r="G33" s="73" t="s">
        <v>152</v>
      </c>
      <c r="H33" s="73" t="s">
        <v>152</v>
      </c>
      <c r="I33" s="73" t="s">
        <v>152</v>
      </c>
      <c r="J33" s="273">
        <f t="shared" ref="J33:P33" si="2">SUM(J21:J32)</f>
        <v>190348</v>
      </c>
      <c r="K33" s="273">
        <f t="shared" si="2"/>
        <v>287255</v>
      </c>
      <c r="L33" s="273">
        <f t="shared" si="2"/>
        <v>251559</v>
      </c>
      <c r="M33" s="273">
        <f t="shared" si="2"/>
        <v>172017</v>
      </c>
      <c r="N33" s="273">
        <f t="shared" si="2"/>
        <v>79814</v>
      </c>
      <c r="O33" s="273">
        <f t="shared" si="2"/>
        <v>110193</v>
      </c>
      <c r="P33" s="273">
        <f t="shared" si="2"/>
        <v>89223</v>
      </c>
      <c r="Q33" s="273">
        <f t="shared" ref="Q33:R33" si="3">SUM(Q21:Q32)</f>
        <v>112627</v>
      </c>
      <c r="R33" s="288">
        <f t="shared" si="3"/>
        <v>47822</v>
      </c>
    </row>
    <row r="34" spans="1:18" s="113" customFormat="1" ht="6.6" x14ac:dyDescent="0.3">
      <c r="A34" s="371" t="s">
        <v>174</v>
      </c>
      <c r="B34" s="371"/>
      <c r="C34" s="371"/>
      <c r="D34" s="371"/>
      <c r="E34" s="371"/>
      <c r="F34" s="371"/>
      <c r="G34" s="371"/>
      <c r="H34" s="371"/>
      <c r="I34" s="371"/>
      <c r="J34" s="371"/>
      <c r="K34" s="371"/>
      <c r="L34" s="371"/>
      <c r="M34" s="371"/>
      <c r="N34" s="371"/>
      <c r="O34" s="371"/>
      <c r="P34" s="371"/>
      <c r="Q34" s="371"/>
      <c r="R34" s="371"/>
    </row>
    <row r="35" spans="1:18" s="106" customFormat="1" ht="18" x14ac:dyDescent="0.3">
      <c r="A35" s="370" t="s">
        <v>116</v>
      </c>
      <c r="B35" s="370"/>
      <c r="C35" s="370"/>
      <c r="D35" s="370"/>
      <c r="E35" s="370"/>
      <c r="F35" s="370"/>
      <c r="G35" s="370"/>
      <c r="H35" s="370"/>
      <c r="I35" s="370"/>
      <c r="J35" s="370"/>
      <c r="K35" s="370"/>
      <c r="L35" s="370"/>
      <c r="M35" s="370"/>
      <c r="N35" s="370"/>
      <c r="O35" s="370"/>
      <c r="P35" s="370"/>
      <c r="Q35" s="370"/>
      <c r="R35" s="370"/>
    </row>
    <row r="36" spans="1:18" s="63" customFormat="1" ht="15.6" x14ac:dyDescent="0.3">
      <c r="A36" s="77" t="s">
        <v>23</v>
      </c>
      <c r="B36" s="91">
        <v>2004</v>
      </c>
      <c r="C36" s="64">
        <v>2005</v>
      </c>
      <c r="D36" s="64">
        <v>2006</v>
      </c>
      <c r="E36" s="64">
        <v>2007</v>
      </c>
      <c r="F36" s="64">
        <v>2008</v>
      </c>
      <c r="G36" s="64">
        <v>2009</v>
      </c>
      <c r="H36" s="64">
        <v>2010</v>
      </c>
      <c r="I36" s="64">
        <v>2011</v>
      </c>
      <c r="J36" s="65">
        <v>2012</v>
      </c>
      <c r="K36" s="65">
        <v>2013</v>
      </c>
      <c r="L36" s="65">
        <v>2014</v>
      </c>
      <c r="M36" s="65">
        <v>2015</v>
      </c>
      <c r="N36" s="65">
        <v>2016</v>
      </c>
      <c r="O36" s="65">
        <v>2017</v>
      </c>
      <c r="P36" s="65">
        <v>2018</v>
      </c>
      <c r="Q36" s="65">
        <v>2019</v>
      </c>
      <c r="R36" s="49">
        <v>2020</v>
      </c>
    </row>
    <row r="37" spans="1:18" s="63" customFormat="1" ht="15.6" x14ac:dyDescent="0.3">
      <c r="A37" s="175" t="s">
        <v>24</v>
      </c>
      <c r="B37" s="108" t="s">
        <v>152</v>
      </c>
      <c r="C37" s="107" t="s">
        <v>152</v>
      </c>
      <c r="D37" s="107" t="s">
        <v>152</v>
      </c>
      <c r="E37" s="107" t="s">
        <v>152</v>
      </c>
      <c r="F37" s="107" t="s">
        <v>152</v>
      </c>
      <c r="G37" s="107" t="s">
        <v>152</v>
      </c>
      <c r="H37" s="107" t="s">
        <v>152</v>
      </c>
      <c r="I37" s="107" t="s">
        <v>152</v>
      </c>
      <c r="J37" s="83" t="s">
        <v>152</v>
      </c>
      <c r="K37" s="271">
        <v>-3515</v>
      </c>
      <c r="L37" s="271">
        <v>-2895</v>
      </c>
      <c r="M37" s="271">
        <v>-14675</v>
      </c>
      <c r="N37" s="271">
        <v>-3157</v>
      </c>
      <c r="O37" s="271">
        <v>-12154</v>
      </c>
      <c r="P37" s="271">
        <v>-1</v>
      </c>
      <c r="Q37" s="271">
        <v>-15</v>
      </c>
      <c r="R37" s="286">
        <v>-1</v>
      </c>
    </row>
    <row r="38" spans="1:18" s="63" customFormat="1" ht="15.6" x14ac:dyDescent="0.3">
      <c r="A38" s="176" t="s">
        <v>25</v>
      </c>
      <c r="B38" s="170" t="s">
        <v>152</v>
      </c>
      <c r="C38" s="67" t="s">
        <v>152</v>
      </c>
      <c r="D38" s="67" t="s">
        <v>152</v>
      </c>
      <c r="E38" s="67" t="s">
        <v>152</v>
      </c>
      <c r="F38" s="67" t="s">
        <v>152</v>
      </c>
      <c r="G38" s="67" t="s">
        <v>152</v>
      </c>
      <c r="H38" s="67" t="s">
        <v>152</v>
      </c>
      <c r="I38" s="67" t="s">
        <v>152</v>
      </c>
      <c r="J38" s="275">
        <v>0</v>
      </c>
      <c r="K38" s="66">
        <v>-1757</v>
      </c>
      <c r="L38" s="66">
        <v>-1991</v>
      </c>
      <c r="M38" s="66">
        <v>-3115</v>
      </c>
      <c r="N38" s="66">
        <v>-17745</v>
      </c>
      <c r="O38" s="66">
        <v>0</v>
      </c>
      <c r="P38" s="66">
        <v>0</v>
      </c>
      <c r="Q38" s="66">
        <v>0</v>
      </c>
      <c r="R38" s="287">
        <v>-28</v>
      </c>
    </row>
    <row r="39" spans="1:18" s="63" customFormat="1" ht="15.6" x14ac:dyDescent="0.3">
      <c r="A39" s="176" t="s">
        <v>26</v>
      </c>
      <c r="B39" s="170" t="s">
        <v>152</v>
      </c>
      <c r="C39" s="67" t="s">
        <v>152</v>
      </c>
      <c r="D39" s="67" t="s">
        <v>152</v>
      </c>
      <c r="E39" s="67" t="s">
        <v>152</v>
      </c>
      <c r="F39" s="67" t="s">
        <v>152</v>
      </c>
      <c r="G39" s="67" t="s">
        <v>152</v>
      </c>
      <c r="H39" s="67" t="s">
        <v>152</v>
      </c>
      <c r="I39" s="67" t="s">
        <v>152</v>
      </c>
      <c r="J39" s="66">
        <v>0</v>
      </c>
      <c r="K39" s="66">
        <v>-2079</v>
      </c>
      <c r="L39" s="66">
        <v>-17196</v>
      </c>
      <c r="M39" s="66">
        <v>-2092</v>
      </c>
      <c r="N39" s="66">
        <v>-69630</v>
      </c>
      <c r="O39" s="66">
        <v>0</v>
      </c>
      <c r="P39" s="66">
        <v>-5602</v>
      </c>
      <c r="Q39" s="66">
        <v>-2950</v>
      </c>
      <c r="R39" s="287">
        <v>-9333</v>
      </c>
    </row>
    <row r="40" spans="1:18" s="63" customFormat="1" ht="15.6" x14ac:dyDescent="0.3">
      <c r="A40" s="176" t="s">
        <v>27</v>
      </c>
      <c r="B40" s="170" t="s">
        <v>152</v>
      </c>
      <c r="C40" s="67" t="s">
        <v>152</v>
      </c>
      <c r="D40" s="67" t="s">
        <v>152</v>
      </c>
      <c r="E40" s="67" t="s">
        <v>152</v>
      </c>
      <c r="F40" s="67" t="s">
        <v>152</v>
      </c>
      <c r="G40" s="67" t="s">
        <v>152</v>
      </c>
      <c r="H40" s="67" t="s">
        <v>152</v>
      </c>
      <c r="I40" s="67" t="s">
        <v>152</v>
      </c>
      <c r="J40" s="66">
        <v>0</v>
      </c>
      <c r="K40" s="66">
        <v>0</v>
      </c>
      <c r="L40" s="66">
        <v>0</v>
      </c>
      <c r="M40" s="66">
        <v>-699</v>
      </c>
      <c r="N40" s="66">
        <v>-16</v>
      </c>
      <c r="O40" s="66">
        <v>-387</v>
      </c>
      <c r="P40" s="66">
        <v>-159</v>
      </c>
      <c r="Q40" s="66">
        <v>-4</v>
      </c>
      <c r="R40" s="287">
        <v>1719</v>
      </c>
    </row>
    <row r="41" spans="1:18" s="63" customFormat="1" ht="15.6" x14ac:dyDescent="0.3">
      <c r="A41" s="176" t="s">
        <v>28</v>
      </c>
      <c r="B41" s="170" t="s">
        <v>152</v>
      </c>
      <c r="C41" s="67" t="s">
        <v>152</v>
      </c>
      <c r="D41" s="67" t="s">
        <v>152</v>
      </c>
      <c r="E41" s="67" t="s">
        <v>152</v>
      </c>
      <c r="F41" s="67" t="s">
        <v>152</v>
      </c>
      <c r="G41" s="67" t="s">
        <v>152</v>
      </c>
      <c r="H41" s="67" t="s">
        <v>152</v>
      </c>
      <c r="I41" s="67" t="s">
        <v>152</v>
      </c>
      <c r="J41" s="66">
        <v>0</v>
      </c>
      <c r="K41" s="66">
        <v>-712</v>
      </c>
      <c r="L41" s="66">
        <v>-1834</v>
      </c>
      <c r="M41" s="66">
        <v>-9163</v>
      </c>
      <c r="N41" s="66">
        <v>0</v>
      </c>
      <c r="O41" s="66">
        <v>-244</v>
      </c>
      <c r="P41" s="66">
        <v>-8681</v>
      </c>
      <c r="Q41" s="66">
        <v>0</v>
      </c>
      <c r="R41" s="287">
        <v>-77</v>
      </c>
    </row>
    <row r="42" spans="1:18" s="63" customFormat="1" ht="15.6" x14ac:dyDescent="0.3">
      <c r="A42" s="176" t="s">
        <v>29</v>
      </c>
      <c r="B42" s="170" t="s">
        <v>152</v>
      </c>
      <c r="C42" s="67" t="s">
        <v>152</v>
      </c>
      <c r="D42" s="67" t="s">
        <v>152</v>
      </c>
      <c r="E42" s="67" t="s">
        <v>152</v>
      </c>
      <c r="F42" s="67" t="s">
        <v>152</v>
      </c>
      <c r="G42" s="67" t="s">
        <v>152</v>
      </c>
      <c r="H42" s="67" t="s">
        <v>152</v>
      </c>
      <c r="I42" s="67" t="s">
        <v>152</v>
      </c>
      <c r="J42" s="66">
        <v>0</v>
      </c>
      <c r="K42" s="66">
        <v>-1268</v>
      </c>
      <c r="L42" s="66">
        <v>-1</v>
      </c>
      <c r="M42" s="66">
        <v>-64982</v>
      </c>
      <c r="N42" s="66">
        <v>-251</v>
      </c>
      <c r="O42" s="66">
        <v>-20689</v>
      </c>
      <c r="P42" s="66">
        <v>0</v>
      </c>
      <c r="Q42" s="66">
        <v>0</v>
      </c>
      <c r="R42" s="287">
        <v>-10409</v>
      </c>
    </row>
    <row r="43" spans="1:18" s="63" customFormat="1" ht="15.6" x14ac:dyDescent="0.3">
      <c r="A43" s="176" t="s">
        <v>30</v>
      </c>
      <c r="B43" s="170" t="s">
        <v>152</v>
      </c>
      <c r="C43" s="67" t="s">
        <v>152</v>
      </c>
      <c r="D43" s="67" t="s">
        <v>152</v>
      </c>
      <c r="E43" s="67" t="s">
        <v>152</v>
      </c>
      <c r="F43" s="67" t="s">
        <v>152</v>
      </c>
      <c r="G43" s="67" t="s">
        <v>152</v>
      </c>
      <c r="H43" s="67" t="s">
        <v>152</v>
      </c>
      <c r="I43" s="67" t="s">
        <v>152</v>
      </c>
      <c r="J43" s="66">
        <v>0</v>
      </c>
      <c r="K43" s="66">
        <v>-16812</v>
      </c>
      <c r="L43" s="66">
        <v>0</v>
      </c>
      <c r="M43" s="66">
        <v>-177</v>
      </c>
      <c r="N43" s="66">
        <v>-1325</v>
      </c>
      <c r="O43" s="66">
        <v>-1701</v>
      </c>
      <c r="P43" s="66">
        <v>0</v>
      </c>
      <c r="Q43" s="66">
        <v>0</v>
      </c>
      <c r="R43" s="295" t="s">
        <v>152</v>
      </c>
    </row>
    <row r="44" spans="1:18" s="63" customFormat="1" ht="15.6" x14ac:dyDescent="0.3">
      <c r="A44" s="176" t="s">
        <v>31</v>
      </c>
      <c r="B44" s="170" t="s">
        <v>152</v>
      </c>
      <c r="C44" s="67" t="s">
        <v>152</v>
      </c>
      <c r="D44" s="67" t="s">
        <v>152</v>
      </c>
      <c r="E44" s="67" t="s">
        <v>152</v>
      </c>
      <c r="F44" s="67" t="s">
        <v>152</v>
      </c>
      <c r="G44" s="67" t="s">
        <v>152</v>
      </c>
      <c r="H44" s="67" t="s">
        <v>152</v>
      </c>
      <c r="I44" s="67" t="s">
        <v>152</v>
      </c>
      <c r="J44" s="66">
        <v>-106</v>
      </c>
      <c r="K44" s="66">
        <v>-339</v>
      </c>
      <c r="L44" s="66">
        <v>-1</v>
      </c>
      <c r="M44" s="66">
        <v>-224</v>
      </c>
      <c r="N44" s="66">
        <v>-4</v>
      </c>
      <c r="O44" s="66">
        <v>-1407</v>
      </c>
      <c r="P44" s="66">
        <v>-167</v>
      </c>
      <c r="Q44" s="66">
        <v>-2411</v>
      </c>
      <c r="R44" s="295" t="s">
        <v>152</v>
      </c>
    </row>
    <row r="45" spans="1:18" s="63" customFormat="1" ht="15.6" x14ac:dyDescent="0.3">
      <c r="A45" s="176" t="s">
        <v>32</v>
      </c>
      <c r="B45" s="170" t="s">
        <v>152</v>
      </c>
      <c r="C45" s="67" t="s">
        <v>152</v>
      </c>
      <c r="D45" s="67" t="s">
        <v>152</v>
      </c>
      <c r="E45" s="67" t="s">
        <v>152</v>
      </c>
      <c r="F45" s="67" t="s">
        <v>152</v>
      </c>
      <c r="G45" s="67" t="s">
        <v>152</v>
      </c>
      <c r="H45" s="67" t="s">
        <v>152</v>
      </c>
      <c r="I45" s="67" t="s">
        <v>152</v>
      </c>
      <c r="J45" s="66">
        <v>-20386</v>
      </c>
      <c r="K45" s="66">
        <v>0</v>
      </c>
      <c r="L45" s="66">
        <v>-6552</v>
      </c>
      <c r="M45" s="66">
        <v>-134511</v>
      </c>
      <c r="N45" s="66">
        <v>-4893</v>
      </c>
      <c r="O45" s="66">
        <v>-58</v>
      </c>
      <c r="P45" s="66">
        <v>0</v>
      </c>
      <c r="Q45" s="66">
        <v>-171</v>
      </c>
      <c r="R45" s="295" t="s">
        <v>152</v>
      </c>
    </row>
    <row r="46" spans="1:18" s="63" customFormat="1" ht="15.6" x14ac:dyDescent="0.3">
      <c r="A46" s="176" t="s">
        <v>33</v>
      </c>
      <c r="B46" s="170" t="s">
        <v>152</v>
      </c>
      <c r="C46" s="67" t="s">
        <v>152</v>
      </c>
      <c r="D46" s="67" t="s">
        <v>152</v>
      </c>
      <c r="E46" s="67" t="s">
        <v>152</v>
      </c>
      <c r="F46" s="67" t="s">
        <v>152</v>
      </c>
      <c r="G46" s="67" t="s">
        <v>152</v>
      </c>
      <c r="H46" s="67" t="s">
        <v>152</v>
      </c>
      <c r="I46" s="67" t="s">
        <v>152</v>
      </c>
      <c r="J46" s="66">
        <v>-866</v>
      </c>
      <c r="K46" s="66">
        <v>-7345</v>
      </c>
      <c r="L46" s="66">
        <v>-104</v>
      </c>
      <c r="M46" s="66">
        <v>-2648</v>
      </c>
      <c r="N46" s="66">
        <v>-10</v>
      </c>
      <c r="O46" s="66">
        <v>-69</v>
      </c>
      <c r="P46" s="66">
        <v>-1</v>
      </c>
      <c r="Q46" s="66">
        <v>0</v>
      </c>
      <c r="R46" s="295" t="s">
        <v>152</v>
      </c>
    </row>
    <row r="47" spans="1:18" s="63" customFormat="1" ht="15.6" x14ac:dyDescent="0.3">
      <c r="A47" s="176" t="s">
        <v>34</v>
      </c>
      <c r="B47" s="170" t="s">
        <v>152</v>
      </c>
      <c r="C47" s="67" t="s">
        <v>152</v>
      </c>
      <c r="D47" s="67" t="s">
        <v>152</v>
      </c>
      <c r="E47" s="67" t="s">
        <v>152</v>
      </c>
      <c r="F47" s="67" t="s">
        <v>152</v>
      </c>
      <c r="G47" s="67" t="s">
        <v>152</v>
      </c>
      <c r="H47" s="67" t="s">
        <v>152</v>
      </c>
      <c r="I47" s="67" t="s">
        <v>152</v>
      </c>
      <c r="J47" s="66">
        <v>-97</v>
      </c>
      <c r="K47" s="66">
        <v>-35799</v>
      </c>
      <c r="L47" s="66">
        <v>-256</v>
      </c>
      <c r="M47" s="66">
        <v>-81</v>
      </c>
      <c r="N47" s="66">
        <v>0</v>
      </c>
      <c r="O47" s="66">
        <v>-11</v>
      </c>
      <c r="P47" s="66">
        <v>-275</v>
      </c>
      <c r="Q47" s="66">
        <v>-23</v>
      </c>
      <c r="R47" s="295" t="s">
        <v>152</v>
      </c>
    </row>
    <row r="48" spans="1:18" s="63" customFormat="1" ht="16.2" thickBot="1" x14ac:dyDescent="0.35">
      <c r="A48" s="177" t="s">
        <v>36</v>
      </c>
      <c r="B48" s="87" t="s">
        <v>152</v>
      </c>
      <c r="C48" s="72" t="s">
        <v>152</v>
      </c>
      <c r="D48" s="72" t="s">
        <v>152</v>
      </c>
      <c r="E48" s="72" t="s">
        <v>152</v>
      </c>
      <c r="F48" s="72" t="s">
        <v>152</v>
      </c>
      <c r="G48" s="72" t="s">
        <v>152</v>
      </c>
      <c r="H48" s="72" t="s">
        <v>152</v>
      </c>
      <c r="I48" s="72" t="s">
        <v>152</v>
      </c>
      <c r="J48" s="71">
        <v>-1</v>
      </c>
      <c r="K48" s="71">
        <v>-4256</v>
      </c>
      <c r="L48" s="71">
        <v>-122994</v>
      </c>
      <c r="M48" s="71">
        <v>-10</v>
      </c>
      <c r="N48" s="71">
        <v>-8</v>
      </c>
      <c r="O48" s="71">
        <v>-1</v>
      </c>
      <c r="P48" s="71">
        <v>-66</v>
      </c>
      <c r="Q48" s="71">
        <v>0</v>
      </c>
      <c r="R48" s="292" t="s">
        <v>152</v>
      </c>
    </row>
    <row r="49" spans="1:18" s="63" customFormat="1" ht="16.2" thickTop="1" x14ac:dyDescent="0.3">
      <c r="A49" s="89" t="s">
        <v>37</v>
      </c>
      <c r="B49" s="90" t="s">
        <v>152</v>
      </c>
      <c r="C49" s="73" t="s">
        <v>152</v>
      </c>
      <c r="D49" s="73" t="s">
        <v>152</v>
      </c>
      <c r="E49" s="73" t="s">
        <v>152</v>
      </c>
      <c r="F49" s="73" t="s">
        <v>152</v>
      </c>
      <c r="G49" s="73" t="s">
        <v>152</v>
      </c>
      <c r="H49" s="73" t="s">
        <v>152</v>
      </c>
      <c r="I49" s="73" t="s">
        <v>152</v>
      </c>
      <c r="J49" s="273">
        <f t="shared" ref="J49:P49" si="4">SUM(J37:J48)</f>
        <v>-21456</v>
      </c>
      <c r="K49" s="273">
        <f t="shared" si="4"/>
        <v>-73882</v>
      </c>
      <c r="L49" s="273">
        <f t="shared" si="4"/>
        <v>-153824</v>
      </c>
      <c r="M49" s="273">
        <f t="shared" si="4"/>
        <v>-232377</v>
      </c>
      <c r="N49" s="273">
        <f t="shared" si="4"/>
        <v>-97039</v>
      </c>
      <c r="O49" s="273">
        <f t="shared" si="4"/>
        <v>-36721</v>
      </c>
      <c r="P49" s="273">
        <f t="shared" si="4"/>
        <v>-14952</v>
      </c>
      <c r="Q49" s="273">
        <f t="shared" ref="Q49:R49" si="5">SUM(Q37:Q48)</f>
        <v>-5574</v>
      </c>
      <c r="R49" s="288">
        <f t="shared" si="5"/>
        <v>-18129</v>
      </c>
    </row>
    <row r="50" spans="1:18" s="113" customFormat="1" ht="6.6" x14ac:dyDescent="0.3">
      <c r="A50" s="371" t="s">
        <v>174</v>
      </c>
      <c r="B50" s="371"/>
      <c r="C50" s="371"/>
      <c r="D50" s="371"/>
      <c r="E50" s="371"/>
      <c r="F50" s="371"/>
      <c r="G50" s="371"/>
      <c r="H50" s="371"/>
      <c r="I50" s="371"/>
      <c r="J50" s="371"/>
      <c r="K50" s="371"/>
      <c r="L50" s="371"/>
      <c r="M50" s="371"/>
      <c r="N50" s="371"/>
      <c r="O50" s="371"/>
      <c r="P50" s="371"/>
      <c r="Q50" s="371"/>
      <c r="R50" s="371"/>
    </row>
    <row r="51" spans="1:18" s="111" customFormat="1" ht="13.8" x14ac:dyDescent="0.3">
      <c r="A51" s="373" t="s">
        <v>157</v>
      </c>
      <c r="B51" s="373"/>
      <c r="C51" s="373"/>
      <c r="D51" s="373"/>
      <c r="E51" s="373"/>
      <c r="F51" s="373"/>
      <c r="G51" s="373"/>
      <c r="H51" s="373"/>
      <c r="I51" s="373"/>
      <c r="J51" s="373"/>
      <c r="K51" s="373"/>
      <c r="L51" s="373"/>
      <c r="M51" s="373"/>
      <c r="N51" s="373"/>
      <c r="O51" s="373"/>
      <c r="P51" s="373"/>
      <c r="Q51" s="373"/>
      <c r="R51" s="373"/>
    </row>
    <row r="52" spans="1:18" s="111" customFormat="1" ht="13.8" x14ac:dyDescent="0.3">
      <c r="A52" s="384" t="str">
        <f>'Local SUT'!A60</f>
        <v>Source:  Minnesota Department of Revenue, Tax Research Division, February 2021</v>
      </c>
      <c r="B52" s="384"/>
      <c r="C52" s="384"/>
      <c r="D52" s="384"/>
      <c r="E52" s="384"/>
      <c r="F52" s="384"/>
      <c r="G52" s="384"/>
      <c r="H52" s="384"/>
      <c r="I52" s="384"/>
      <c r="J52" s="384"/>
      <c r="K52" s="384"/>
      <c r="L52" s="384"/>
      <c r="M52" s="384"/>
      <c r="N52" s="384"/>
      <c r="O52" s="384"/>
      <c r="P52" s="384"/>
      <c r="Q52" s="384"/>
      <c r="R52" s="384"/>
    </row>
    <row r="53" spans="1:18" s="111" customFormat="1" ht="13.8" x14ac:dyDescent="0.3">
      <c r="A53" s="379" t="s">
        <v>151</v>
      </c>
      <c r="B53" s="379"/>
      <c r="C53" s="379"/>
      <c r="D53" s="379"/>
      <c r="E53" s="379"/>
      <c r="F53" s="379"/>
      <c r="G53" s="379"/>
      <c r="H53" s="379"/>
      <c r="I53" s="379"/>
      <c r="J53" s="379"/>
      <c r="K53" s="379"/>
      <c r="L53" s="379"/>
      <c r="M53" s="379"/>
      <c r="N53" s="379"/>
      <c r="O53" s="379"/>
      <c r="P53" s="379"/>
      <c r="Q53" s="379"/>
      <c r="R53" s="379"/>
    </row>
    <row r="54" spans="1:18" x14ac:dyDescent="0.3">
      <c r="R54" s="117"/>
    </row>
  </sheetData>
  <mergeCells count="11">
    <mergeCell ref="A53:R53"/>
    <mergeCell ref="A34:R34"/>
    <mergeCell ref="A35:R35"/>
    <mergeCell ref="A50:R50"/>
    <mergeCell ref="A51:R51"/>
    <mergeCell ref="A52:R52"/>
    <mergeCell ref="A1:R1"/>
    <mergeCell ref="A2:R2"/>
    <mergeCell ref="A3:R3"/>
    <mergeCell ref="A18:R18"/>
    <mergeCell ref="A19:R19"/>
  </mergeCells>
  <pageMargins left="0.5" right="0" top="0.75" bottom="0.75" header="0.3" footer="0.3"/>
  <pageSetup scale="86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">
    <pageSetUpPr fitToPage="1"/>
  </sheetPr>
  <dimension ref="A1:R54"/>
  <sheetViews>
    <sheetView showGridLines="0" workbookViewId="0">
      <pane ySplit="1" topLeftCell="A2" activePane="bottomLeft" state="frozen"/>
      <selection pane="bottomLeft" sqref="A1:R1"/>
    </sheetView>
  </sheetViews>
  <sheetFormatPr defaultColWidth="12.5546875" defaultRowHeight="14.4" x14ac:dyDescent="0.3"/>
  <cols>
    <col min="1" max="1" width="12.5546875" style="180"/>
    <col min="2" max="9" width="13.5546875" style="173" hidden="1" customWidth="1"/>
    <col min="10" max="17" width="13.5546875" style="173" customWidth="1"/>
    <col min="18" max="18" width="13.5546875" style="145" customWidth="1"/>
    <col min="19" max="16384" width="12.5546875" style="173"/>
  </cols>
  <sheetData>
    <row r="1" spans="1:18" s="112" customFormat="1" ht="21" x14ac:dyDescent="0.3">
      <c r="A1" s="380" t="s">
        <v>202</v>
      </c>
      <c r="B1" s="380"/>
      <c r="C1" s="380"/>
      <c r="D1" s="380"/>
      <c r="E1" s="380"/>
      <c r="F1" s="380"/>
      <c r="G1" s="380"/>
      <c r="H1" s="380"/>
      <c r="I1" s="380"/>
      <c r="J1" s="380"/>
      <c r="K1" s="380"/>
      <c r="L1" s="380"/>
      <c r="M1" s="380"/>
      <c r="N1" s="380"/>
      <c r="O1" s="380"/>
      <c r="P1" s="380"/>
      <c r="Q1" s="380"/>
      <c r="R1" s="380"/>
    </row>
    <row r="2" spans="1:18" s="106" customFormat="1" ht="18" x14ac:dyDescent="0.3">
      <c r="A2" s="381" t="str">
        <f>'Local SUT'!A2</f>
        <v>CY 2004-2020</v>
      </c>
      <c r="B2" s="381"/>
      <c r="C2" s="381"/>
      <c r="D2" s="381"/>
      <c r="E2" s="381"/>
      <c r="F2" s="381"/>
      <c r="G2" s="381"/>
      <c r="H2" s="381"/>
      <c r="I2" s="381"/>
      <c r="J2" s="381"/>
      <c r="K2" s="381"/>
      <c r="L2" s="381"/>
      <c r="M2" s="381"/>
      <c r="N2" s="381"/>
      <c r="O2" s="381"/>
      <c r="P2" s="381"/>
      <c r="Q2" s="381"/>
      <c r="R2" s="381"/>
    </row>
    <row r="3" spans="1:18" s="106" customFormat="1" ht="18" x14ac:dyDescent="0.3">
      <c r="A3" s="370" t="s">
        <v>104</v>
      </c>
      <c r="B3" s="370"/>
      <c r="C3" s="370"/>
      <c r="D3" s="370"/>
      <c r="E3" s="370"/>
      <c r="F3" s="370"/>
      <c r="G3" s="370"/>
      <c r="H3" s="370"/>
      <c r="I3" s="370"/>
      <c r="J3" s="370"/>
      <c r="K3" s="370"/>
      <c r="L3" s="370"/>
      <c r="M3" s="370"/>
      <c r="N3" s="370"/>
      <c r="O3" s="370"/>
      <c r="P3" s="370"/>
      <c r="Q3" s="370"/>
      <c r="R3" s="370"/>
    </row>
    <row r="4" spans="1:18" s="63" customFormat="1" ht="15.6" x14ac:dyDescent="0.3">
      <c r="A4" s="77" t="s">
        <v>23</v>
      </c>
      <c r="B4" s="91">
        <v>2004</v>
      </c>
      <c r="C4" s="64">
        <v>2005</v>
      </c>
      <c r="D4" s="64">
        <v>2006</v>
      </c>
      <c r="E4" s="64">
        <v>2007</v>
      </c>
      <c r="F4" s="64">
        <v>2008</v>
      </c>
      <c r="G4" s="64">
        <v>2009</v>
      </c>
      <c r="H4" s="64">
        <v>2010</v>
      </c>
      <c r="I4" s="64">
        <v>2011</v>
      </c>
      <c r="J4" s="65">
        <v>2012</v>
      </c>
      <c r="K4" s="65">
        <v>2013</v>
      </c>
      <c r="L4" s="65">
        <v>2014</v>
      </c>
      <c r="M4" s="65">
        <v>2015</v>
      </c>
      <c r="N4" s="65">
        <v>2016</v>
      </c>
      <c r="O4" s="65">
        <v>2017</v>
      </c>
      <c r="P4" s="65">
        <v>2018</v>
      </c>
      <c r="Q4" s="65">
        <v>2019</v>
      </c>
      <c r="R4" s="49">
        <v>2020</v>
      </c>
    </row>
    <row r="5" spans="1:18" s="63" customFormat="1" ht="15.6" x14ac:dyDescent="0.3">
      <c r="A5" s="76" t="s">
        <v>24</v>
      </c>
      <c r="B5" s="108" t="s">
        <v>152</v>
      </c>
      <c r="C5" s="107" t="s">
        <v>152</v>
      </c>
      <c r="D5" s="107" t="s">
        <v>152</v>
      </c>
      <c r="E5" s="107" t="s">
        <v>152</v>
      </c>
      <c r="F5" s="107" t="s">
        <v>152</v>
      </c>
      <c r="G5" s="107" t="s">
        <v>152</v>
      </c>
      <c r="H5" s="107" t="s">
        <v>152</v>
      </c>
      <c r="I5" s="107" t="s">
        <v>152</v>
      </c>
      <c r="J5" s="83" t="s">
        <v>152</v>
      </c>
      <c r="K5" s="271">
        <v>4034</v>
      </c>
      <c r="L5" s="271">
        <v>14720</v>
      </c>
      <c r="M5" s="271">
        <v>4345</v>
      </c>
      <c r="N5" s="271">
        <v>3772</v>
      </c>
      <c r="O5" s="271">
        <v>4519</v>
      </c>
      <c r="P5" s="271">
        <v>4413</v>
      </c>
      <c r="Q5" s="271">
        <v>5017</v>
      </c>
      <c r="R5" s="286">
        <v>5317</v>
      </c>
    </row>
    <row r="6" spans="1:18" s="63" customFormat="1" ht="15.6" x14ac:dyDescent="0.3">
      <c r="A6" s="75" t="s">
        <v>25</v>
      </c>
      <c r="B6" s="170" t="s">
        <v>152</v>
      </c>
      <c r="C6" s="67" t="s">
        <v>152</v>
      </c>
      <c r="D6" s="67" t="s">
        <v>152</v>
      </c>
      <c r="E6" s="67" t="s">
        <v>152</v>
      </c>
      <c r="F6" s="67" t="s">
        <v>152</v>
      </c>
      <c r="G6" s="67" t="s">
        <v>152</v>
      </c>
      <c r="H6" s="67" t="s">
        <v>152</v>
      </c>
      <c r="I6" s="67" t="s">
        <v>152</v>
      </c>
      <c r="J6" s="275">
        <v>1642</v>
      </c>
      <c r="K6" s="284">
        <v>3215</v>
      </c>
      <c r="L6" s="284">
        <v>3728</v>
      </c>
      <c r="M6" s="284">
        <v>2683</v>
      </c>
      <c r="N6" s="284">
        <v>2419</v>
      </c>
      <c r="O6" s="284">
        <v>2389</v>
      </c>
      <c r="P6" s="284">
        <v>2369</v>
      </c>
      <c r="Q6" s="284">
        <v>2881</v>
      </c>
      <c r="R6" s="287">
        <v>2701</v>
      </c>
    </row>
    <row r="7" spans="1:18" s="63" customFormat="1" ht="15.6" x14ac:dyDescent="0.3">
      <c r="A7" s="75" t="s">
        <v>26</v>
      </c>
      <c r="B7" s="170" t="s">
        <v>152</v>
      </c>
      <c r="C7" s="67" t="s">
        <v>152</v>
      </c>
      <c r="D7" s="67" t="s">
        <v>152</v>
      </c>
      <c r="E7" s="67" t="s">
        <v>152</v>
      </c>
      <c r="F7" s="67" t="s">
        <v>152</v>
      </c>
      <c r="G7" s="67" t="s">
        <v>152</v>
      </c>
      <c r="H7" s="67" t="s">
        <v>152</v>
      </c>
      <c r="I7" s="67" t="s">
        <v>152</v>
      </c>
      <c r="J7" s="66">
        <v>2058</v>
      </c>
      <c r="K7" s="66">
        <v>1903</v>
      </c>
      <c r="L7" s="66">
        <v>1774</v>
      </c>
      <c r="M7" s="66">
        <v>2047</v>
      </c>
      <c r="N7" s="66">
        <v>2424</v>
      </c>
      <c r="O7" s="66">
        <v>1766</v>
      </c>
      <c r="P7" s="66">
        <v>2359</v>
      </c>
      <c r="Q7" s="66">
        <v>1966</v>
      </c>
      <c r="R7" s="287">
        <v>2424</v>
      </c>
    </row>
    <row r="8" spans="1:18" s="63" customFormat="1" ht="15.6" x14ac:dyDescent="0.3">
      <c r="A8" s="75" t="s">
        <v>27</v>
      </c>
      <c r="B8" s="170" t="s">
        <v>152</v>
      </c>
      <c r="C8" s="67" t="s">
        <v>152</v>
      </c>
      <c r="D8" s="67" t="s">
        <v>152</v>
      </c>
      <c r="E8" s="67" t="s">
        <v>152</v>
      </c>
      <c r="F8" s="67" t="s">
        <v>152</v>
      </c>
      <c r="G8" s="67" t="s">
        <v>152</v>
      </c>
      <c r="H8" s="67" t="s">
        <v>152</v>
      </c>
      <c r="I8" s="67" t="s">
        <v>152</v>
      </c>
      <c r="J8" s="66">
        <v>2914</v>
      </c>
      <c r="K8" s="66">
        <v>2306</v>
      </c>
      <c r="L8" s="66">
        <v>3659</v>
      </c>
      <c r="M8" s="66">
        <v>2927</v>
      </c>
      <c r="N8" s="66">
        <v>3167</v>
      </c>
      <c r="O8" s="66">
        <v>2856</v>
      </c>
      <c r="P8" s="66">
        <v>3202</v>
      </c>
      <c r="Q8" s="66">
        <v>3195</v>
      </c>
      <c r="R8" s="287">
        <v>3142</v>
      </c>
    </row>
    <row r="9" spans="1:18" s="63" customFormat="1" ht="15.6" x14ac:dyDescent="0.3">
      <c r="A9" s="75" t="s">
        <v>28</v>
      </c>
      <c r="B9" s="170" t="s">
        <v>152</v>
      </c>
      <c r="C9" s="67" t="s">
        <v>152</v>
      </c>
      <c r="D9" s="67" t="s">
        <v>152</v>
      </c>
      <c r="E9" s="67" t="s">
        <v>152</v>
      </c>
      <c r="F9" s="67" t="s">
        <v>152</v>
      </c>
      <c r="G9" s="67" t="s">
        <v>152</v>
      </c>
      <c r="H9" s="67" t="s">
        <v>152</v>
      </c>
      <c r="I9" s="67" t="s">
        <v>152</v>
      </c>
      <c r="J9" s="66">
        <v>2476</v>
      </c>
      <c r="K9" s="66">
        <v>2843</v>
      </c>
      <c r="L9" s="66">
        <v>3741</v>
      </c>
      <c r="M9" s="66">
        <v>3023</v>
      </c>
      <c r="N9" s="66">
        <v>3056</v>
      </c>
      <c r="O9" s="66">
        <v>3218</v>
      </c>
      <c r="P9" s="66">
        <v>2863</v>
      </c>
      <c r="Q9" s="66">
        <v>2841</v>
      </c>
      <c r="R9" s="287">
        <v>2451</v>
      </c>
    </row>
    <row r="10" spans="1:18" s="63" customFormat="1" ht="15.6" x14ac:dyDescent="0.3">
      <c r="A10" s="75" t="s">
        <v>29</v>
      </c>
      <c r="B10" s="170" t="s">
        <v>152</v>
      </c>
      <c r="C10" s="67" t="s">
        <v>152</v>
      </c>
      <c r="D10" s="67" t="s">
        <v>152</v>
      </c>
      <c r="E10" s="67" t="s">
        <v>152</v>
      </c>
      <c r="F10" s="67" t="s">
        <v>152</v>
      </c>
      <c r="G10" s="67" t="s">
        <v>152</v>
      </c>
      <c r="H10" s="67" t="s">
        <v>152</v>
      </c>
      <c r="I10" s="67" t="s">
        <v>152</v>
      </c>
      <c r="J10" s="66">
        <v>4073</v>
      </c>
      <c r="K10" s="66">
        <v>4452</v>
      </c>
      <c r="L10" s="66">
        <v>4980</v>
      </c>
      <c r="M10" s="66">
        <v>3335</v>
      </c>
      <c r="N10" s="66">
        <v>4281</v>
      </c>
      <c r="O10" s="66">
        <v>4630</v>
      </c>
      <c r="P10" s="66">
        <v>4646</v>
      </c>
      <c r="Q10" s="66">
        <v>4357</v>
      </c>
      <c r="R10" s="287">
        <v>3092</v>
      </c>
    </row>
    <row r="11" spans="1:18" s="63" customFormat="1" ht="15.6" x14ac:dyDescent="0.3">
      <c r="A11" s="75" t="s">
        <v>30</v>
      </c>
      <c r="B11" s="170" t="s">
        <v>152</v>
      </c>
      <c r="C11" s="67" t="s">
        <v>152</v>
      </c>
      <c r="D11" s="67" t="s">
        <v>152</v>
      </c>
      <c r="E11" s="67" t="s">
        <v>152</v>
      </c>
      <c r="F11" s="67" t="s">
        <v>152</v>
      </c>
      <c r="G11" s="67" t="s">
        <v>152</v>
      </c>
      <c r="H11" s="67" t="s">
        <v>152</v>
      </c>
      <c r="I11" s="67" t="s">
        <v>152</v>
      </c>
      <c r="J11" s="66">
        <v>6754</v>
      </c>
      <c r="K11" s="66">
        <v>6294</v>
      </c>
      <c r="L11" s="66">
        <v>9029</v>
      </c>
      <c r="M11" s="66">
        <v>7287</v>
      </c>
      <c r="N11" s="66">
        <v>6960</v>
      </c>
      <c r="O11" s="66">
        <v>6858</v>
      </c>
      <c r="P11" s="66">
        <v>6179</v>
      </c>
      <c r="Q11" s="66">
        <v>6651</v>
      </c>
      <c r="R11" s="291" t="s">
        <v>152</v>
      </c>
    </row>
    <row r="12" spans="1:18" s="63" customFormat="1" ht="15.6" x14ac:dyDescent="0.3">
      <c r="A12" s="75" t="s">
        <v>31</v>
      </c>
      <c r="B12" s="170" t="s">
        <v>152</v>
      </c>
      <c r="C12" s="67" t="s">
        <v>152</v>
      </c>
      <c r="D12" s="67" t="s">
        <v>152</v>
      </c>
      <c r="E12" s="67" t="s">
        <v>152</v>
      </c>
      <c r="F12" s="67" t="s">
        <v>152</v>
      </c>
      <c r="G12" s="67" t="s">
        <v>152</v>
      </c>
      <c r="H12" s="67" t="s">
        <v>152</v>
      </c>
      <c r="I12" s="67" t="s">
        <v>152</v>
      </c>
      <c r="J12" s="66">
        <v>5540</v>
      </c>
      <c r="K12" s="66">
        <v>5989</v>
      </c>
      <c r="L12" s="66">
        <v>6508</v>
      </c>
      <c r="M12" s="66">
        <v>6662</v>
      </c>
      <c r="N12" s="66">
        <v>7176</v>
      </c>
      <c r="O12" s="66">
        <v>7756</v>
      </c>
      <c r="P12" s="66">
        <v>6309</v>
      </c>
      <c r="Q12" s="66">
        <v>5516</v>
      </c>
      <c r="R12" s="295" t="s">
        <v>152</v>
      </c>
    </row>
    <row r="13" spans="1:18" s="63" customFormat="1" ht="15.6" x14ac:dyDescent="0.3">
      <c r="A13" s="75" t="s">
        <v>32</v>
      </c>
      <c r="B13" s="170" t="s">
        <v>152</v>
      </c>
      <c r="C13" s="67" t="s">
        <v>152</v>
      </c>
      <c r="D13" s="67" t="s">
        <v>152</v>
      </c>
      <c r="E13" s="67" t="s">
        <v>152</v>
      </c>
      <c r="F13" s="67" t="s">
        <v>152</v>
      </c>
      <c r="G13" s="67" t="s">
        <v>152</v>
      </c>
      <c r="H13" s="67" t="s">
        <v>152</v>
      </c>
      <c r="I13" s="67" t="s">
        <v>152</v>
      </c>
      <c r="J13" s="66">
        <v>4863</v>
      </c>
      <c r="K13" s="66">
        <v>6092</v>
      </c>
      <c r="L13" s="66">
        <v>6210</v>
      </c>
      <c r="M13" s="66">
        <v>6509</v>
      </c>
      <c r="N13" s="66">
        <v>5948</v>
      </c>
      <c r="O13" s="66">
        <v>6108</v>
      </c>
      <c r="P13" s="66">
        <v>5827</v>
      </c>
      <c r="Q13" s="66">
        <v>6508</v>
      </c>
      <c r="R13" s="295" t="s">
        <v>152</v>
      </c>
    </row>
    <row r="14" spans="1:18" s="63" customFormat="1" ht="15.6" x14ac:dyDescent="0.3">
      <c r="A14" s="75" t="s">
        <v>33</v>
      </c>
      <c r="B14" s="170" t="s">
        <v>152</v>
      </c>
      <c r="C14" s="67" t="s">
        <v>152</v>
      </c>
      <c r="D14" s="67" t="s">
        <v>152</v>
      </c>
      <c r="E14" s="67" t="s">
        <v>152</v>
      </c>
      <c r="F14" s="67" t="s">
        <v>152</v>
      </c>
      <c r="G14" s="67" t="s">
        <v>152</v>
      </c>
      <c r="H14" s="67" t="s">
        <v>152</v>
      </c>
      <c r="I14" s="67" t="s">
        <v>152</v>
      </c>
      <c r="J14" s="66">
        <v>6916</v>
      </c>
      <c r="K14" s="66">
        <v>9340</v>
      </c>
      <c r="L14" s="66">
        <v>7807</v>
      </c>
      <c r="M14" s="66">
        <v>9333</v>
      </c>
      <c r="N14" s="66">
        <v>7935</v>
      </c>
      <c r="O14" s="66">
        <v>8065</v>
      </c>
      <c r="P14" s="66">
        <v>6643</v>
      </c>
      <c r="Q14" s="66">
        <v>6727</v>
      </c>
      <c r="R14" s="295" t="s">
        <v>152</v>
      </c>
    </row>
    <row r="15" spans="1:18" s="63" customFormat="1" ht="15.6" x14ac:dyDescent="0.3">
      <c r="A15" s="75" t="s">
        <v>34</v>
      </c>
      <c r="B15" s="170" t="s">
        <v>152</v>
      </c>
      <c r="C15" s="67" t="s">
        <v>152</v>
      </c>
      <c r="D15" s="67" t="s">
        <v>152</v>
      </c>
      <c r="E15" s="67" t="s">
        <v>152</v>
      </c>
      <c r="F15" s="67" t="s">
        <v>152</v>
      </c>
      <c r="G15" s="67" t="s">
        <v>152</v>
      </c>
      <c r="H15" s="67" t="s">
        <v>152</v>
      </c>
      <c r="I15" s="67" t="s">
        <v>152</v>
      </c>
      <c r="J15" s="66">
        <v>3893</v>
      </c>
      <c r="K15" s="66">
        <v>10571</v>
      </c>
      <c r="L15" s="66">
        <v>4525</v>
      </c>
      <c r="M15" s="66">
        <v>5685</v>
      </c>
      <c r="N15" s="66">
        <v>4979</v>
      </c>
      <c r="O15" s="66">
        <v>4318</v>
      </c>
      <c r="P15" s="66">
        <v>5498</v>
      </c>
      <c r="Q15" s="66">
        <v>4463</v>
      </c>
      <c r="R15" s="295" t="s">
        <v>152</v>
      </c>
    </row>
    <row r="16" spans="1:18" s="63" customFormat="1" ht="16.2" thickBot="1" x14ac:dyDescent="0.35">
      <c r="A16" s="88" t="s">
        <v>36</v>
      </c>
      <c r="B16" s="87" t="s">
        <v>152</v>
      </c>
      <c r="C16" s="72" t="s">
        <v>152</v>
      </c>
      <c r="D16" s="72" t="s">
        <v>152</v>
      </c>
      <c r="E16" s="72" t="s">
        <v>152</v>
      </c>
      <c r="F16" s="72" t="s">
        <v>152</v>
      </c>
      <c r="G16" s="72" t="s">
        <v>152</v>
      </c>
      <c r="H16" s="72" t="s">
        <v>152</v>
      </c>
      <c r="I16" s="72" t="s">
        <v>152</v>
      </c>
      <c r="J16" s="71">
        <v>2434</v>
      </c>
      <c r="K16" s="71">
        <v>17502</v>
      </c>
      <c r="L16" s="71">
        <v>3195</v>
      </c>
      <c r="M16" s="71">
        <v>3001</v>
      </c>
      <c r="N16" s="71">
        <v>3232</v>
      </c>
      <c r="O16" s="71">
        <v>3511</v>
      </c>
      <c r="P16" s="71">
        <v>3637</v>
      </c>
      <c r="Q16" s="71">
        <v>3392</v>
      </c>
      <c r="R16" s="292" t="s">
        <v>152</v>
      </c>
    </row>
    <row r="17" spans="1:18" s="63" customFormat="1" ht="16.2" thickTop="1" x14ac:dyDescent="0.3">
      <c r="A17" s="89" t="s">
        <v>37</v>
      </c>
      <c r="B17" s="90" t="s">
        <v>152</v>
      </c>
      <c r="C17" s="73" t="s">
        <v>152</v>
      </c>
      <c r="D17" s="73" t="s">
        <v>152</v>
      </c>
      <c r="E17" s="73" t="s">
        <v>152</v>
      </c>
      <c r="F17" s="73" t="s">
        <v>152</v>
      </c>
      <c r="G17" s="73" t="s">
        <v>152</v>
      </c>
      <c r="H17" s="73" t="s">
        <v>152</v>
      </c>
      <c r="I17" s="73" t="s">
        <v>152</v>
      </c>
      <c r="J17" s="273">
        <f t="shared" ref="J17:P17" si="0">SUM(J5:J16)</f>
        <v>43563</v>
      </c>
      <c r="K17" s="273">
        <f t="shared" si="0"/>
        <v>74541</v>
      </c>
      <c r="L17" s="273">
        <f t="shared" si="0"/>
        <v>69876</v>
      </c>
      <c r="M17" s="273">
        <f t="shared" si="0"/>
        <v>56837</v>
      </c>
      <c r="N17" s="273">
        <f t="shared" si="0"/>
        <v>55349</v>
      </c>
      <c r="O17" s="273">
        <f t="shared" si="0"/>
        <v>55994</v>
      </c>
      <c r="P17" s="273">
        <f t="shared" si="0"/>
        <v>53945</v>
      </c>
      <c r="Q17" s="273">
        <f t="shared" ref="Q17:R17" si="1">SUM(Q5:Q16)</f>
        <v>53514</v>
      </c>
      <c r="R17" s="288">
        <f t="shared" si="1"/>
        <v>19127</v>
      </c>
    </row>
    <row r="18" spans="1:18" s="113" customFormat="1" ht="6.6" x14ac:dyDescent="0.3">
      <c r="A18" s="371" t="s">
        <v>174</v>
      </c>
      <c r="B18" s="371"/>
      <c r="C18" s="371"/>
      <c r="D18" s="371"/>
      <c r="E18" s="371"/>
      <c r="F18" s="371"/>
      <c r="G18" s="371"/>
      <c r="H18" s="371"/>
      <c r="I18" s="371"/>
      <c r="J18" s="371"/>
      <c r="K18" s="371"/>
      <c r="L18" s="371"/>
      <c r="M18" s="371"/>
      <c r="N18" s="371"/>
      <c r="O18" s="371"/>
      <c r="P18" s="371"/>
      <c r="Q18" s="371"/>
      <c r="R18" s="371"/>
    </row>
    <row r="19" spans="1:18" s="106" customFormat="1" ht="18" x14ac:dyDescent="0.3">
      <c r="A19" s="370" t="s">
        <v>105</v>
      </c>
      <c r="B19" s="370"/>
      <c r="C19" s="370"/>
      <c r="D19" s="370"/>
      <c r="E19" s="370"/>
      <c r="F19" s="370"/>
      <c r="G19" s="370"/>
      <c r="H19" s="370"/>
      <c r="I19" s="370"/>
      <c r="J19" s="370"/>
      <c r="K19" s="370"/>
      <c r="L19" s="370"/>
      <c r="M19" s="370"/>
      <c r="N19" s="370"/>
      <c r="O19" s="370"/>
      <c r="P19" s="370"/>
      <c r="Q19" s="370"/>
      <c r="R19" s="370"/>
    </row>
    <row r="20" spans="1:18" s="63" customFormat="1" ht="15.6" x14ac:dyDescent="0.3">
      <c r="A20" s="77" t="s">
        <v>23</v>
      </c>
      <c r="B20" s="91">
        <v>2004</v>
      </c>
      <c r="C20" s="64">
        <v>2005</v>
      </c>
      <c r="D20" s="64">
        <v>2006</v>
      </c>
      <c r="E20" s="64">
        <v>2007</v>
      </c>
      <c r="F20" s="64">
        <v>2008</v>
      </c>
      <c r="G20" s="64">
        <v>2009</v>
      </c>
      <c r="H20" s="64">
        <v>2010</v>
      </c>
      <c r="I20" s="64">
        <v>2011</v>
      </c>
      <c r="J20" s="65">
        <v>2012</v>
      </c>
      <c r="K20" s="65">
        <v>2013</v>
      </c>
      <c r="L20" s="65">
        <v>2014</v>
      </c>
      <c r="M20" s="65">
        <v>2015</v>
      </c>
      <c r="N20" s="65">
        <v>2016</v>
      </c>
      <c r="O20" s="65">
        <v>2017</v>
      </c>
      <c r="P20" s="65">
        <v>2018</v>
      </c>
      <c r="Q20" s="65">
        <v>2019</v>
      </c>
      <c r="R20" s="49">
        <v>2020</v>
      </c>
    </row>
    <row r="21" spans="1:18" s="63" customFormat="1" ht="15.6" x14ac:dyDescent="0.3">
      <c r="A21" s="76" t="s">
        <v>24</v>
      </c>
      <c r="B21" s="108" t="s">
        <v>152</v>
      </c>
      <c r="C21" s="107" t="s">
        <v>152</v>
      </c>
      <c r="D21" s="107" t="s">
        <v>152</v>
      </c>
      <c r="E21" s="107" t="s">
        <v>152</v>
      </c>
      <c r="F21" s="107" t="s">
        <v>152</v>
      </c>
      <c r="G21" s="107" t="s">
        <v>152</v>
      </c>
      <c r="H21" s="107" t="s">
        <v>152</v>
      </c>
      <c r="I21" s="107" t="s">
        <v>152</v>
      </c>
      <c r="J21" s="83" t="s">
        <v>152</v>
      </c>
      <c r="K21" s="271">
        <v>1404</v>
      </c>
      <c r="L21" s="271">
        <v>160</v>
      </c>
      <c r="M21" s="271">
        <v>440</v>
      </c>
      <c r="N21" s="271">
        <v>2213</v>
      </c>
      <c r="O21" s="271">
        <v>460</v>
      </c>
      <c r="P21" s="271">
        <v>73</v>
      </c>
      <c r="Q21" s="271">
        <v>312</v>
      </c>
      <c r="R21" s="286">
        <v>167</v>
      </c>
    </row>
    <row r="22" spans="1:18" s="63" customFormat="1" ht="15.6" x14ac:dyDescent="0.3">
      <c r="A22" s="75" t="s">
        <v>25</v>
      </c>
      <c r="B22" s="170" t="s">
        <v>152</v>
      </c>
      <c r="C22" s="67" t="s">
        <v>152</v>
      </c>
      <c r="D22" s="67" t="s">
        <v>152</v>
      </c>
      <c r="E22" s="67" t="s">
        <v>152</v>
      </c>
      <c r="F22" s="67" t="s">
        <v>152</v>
      </c>
      <c r="G22" s="67" t="s">
        <v>152</v>
      </c>
      <c r="H22" s="67" t="s">
        <v>152</v>
      </c>
      <c r="I22" s="67" t="s">
        <v>152</v>
      </c>
      <c r="J22" s="275">
        <v>314</v>
      </c>
      <c r="K22" s="66">
        <v>232</v>
      </c>
      <c r="L22" s="66">
        <v>224</v>
      </c>
      <c r="M22" s="66">
        <v>235</v>
      </c>
      <c r="N22" s="66">
        <v>331</v>
      </c>
      <c r="O22" s="66">
        <v>224</v>
      </c>
      <c r="P22" s="66">
        <v>215</v>
      </c>
      <c r="Q22" s="66">
        <v>77</v>
      </c>
      <c r="R22" s="287">
        <v>126</v>
      </c>
    </row>
    <row r="23" spans="1:18" s="63" customFormat="1" ht="15.6" x14ac:dyDescent="0.3">
      <c r="A23" s="75" t="s">
        <v>26</v>
      </c>
      <c r="B23" s="170" t="s">
        <v>152</v>
      </c>
      <c r="C23" s="67" t="s">
        <v>152</v>
      </c>
      <c r="D23" s="67" t="s">
        <v>152</v>
      </c>
      <c r="E23" s="67" t="s">
        <v>152</v>
      </c>
      <c r="F23" s="67" t="s">
        <v>152</v>
      </c>
      <c r="G23" s="67" t="s">
        <v>152</v>
      </c>
      <c r="H23" s="67" t="s">
        <v>152</v>
      </c>
      <c r="I23" s="67" t="s">
        <v>152</v>
      </c>
      <c r="J23" s="66">
        <v>521</v>
      </c>
      <c r="K23" s="66">
        <v>45</v>
      </c>
      <c r="L23" s="66">
        <v>46</v>
      </c>
      <c r="M23" s="66">
        <v>100</v>
      </c>
      <c r="N23" s="66">
        <v>13</v>
      </c>
      <c r="O23" s="66">
        <v>172</v>
      </c>
      <c r="P23" s="66">
        <v>145</v>
      </c>
      <c r="Q23" s="66">
        <v>99</v>
      </c>
      <c r="R23" s="287">
        <v>227</v>
      </c>
    </row>
    <row r="24" spans="1:18" s="63" customFormat="1" ht="15.6" x14ac:dyDescent="0.3">
      <c r="A24" s="75" t="s">
        <v>27</v>
      </c>
      <c r="B24" s="170" t="s">
        <v>152</v>
      </c>
      <c r="C24" s="67" t="s">
        <v>152</v>
      </c>
      <c r="D24" s="67" t="s">
        <v>152</v>
      </c>
      <c r="E24" s="67" t="s">
        <v>152</v>
      </c>
      <c r="F24" s="67" t="s">
        <v>152</v>
      </c>
      <c r="G24" s="67" t="s">
        <v>152</v>
      </c>
      <c r="H24" s="67" t="s">
        <v>152</v>
      </c>
      <c r="I24" s="67" t="s">
        <v>152</v>
      </c>
      <c r="J24" s="66">
        <v>38</v>
      </c>
      <c r="K24" s="66">
        <v>99</v>
      </c>
      <c r="L24" s="66">
        <v>62</v>
      </c>
      <c r="M24" s="66">
        <v>149</v>
      </c>
      <c r="N24" s="66">
        <v>214</v>
      </c>
      <c r="O24" s="66">
        <v>57</v>
      </c>
      <c r="P24" s="66">
        <v>37</v>
      </c>
      <c r="Q24" s="66">
        <v>75</v>
      </c>
      <c r="R24" s="287">
        <v>70</v>
      </c>
    </row>
    <row r="25" spans="1:18" s="63" customFormat="1" ht="15.6" x14ac:dyDescent="0.3">
      <c r="A25" s="75" t="s">
        <v>28</v>
      </c>
      <c r="B25" s="170" t="s">
        <v>152</v>
      </c>
      <c r="C25" s="67" t="s">
        <v>152</v>
      </c>
      <c r="D25" s="67" t="s">
        <v>152</v>
      </c>
      <c r="E25" s="67" t="s">
        <v>152</v>
      </c>
      <c r="F25" s="67" t="s">
        <v>152</v>
      </c>
      <c r="G25" s="67" t="s">
        <v>152</v>
      </c>
      <c r="H25" s="67" t="s">
        <v>152</v>
      </c>
      <c r="I25" s="67" t="s">
        <v>152</v>
      </c>
      <c r="J25" s="66">
        <v>315</v>
      </c>
      <c r="K25" s="66">
        <v>318</v>
      </c>
      <c r="L25" s="66">
        <v>288</v>
      </c>
      <c r="M25" s="66">
        <v>199</v>
      </c>
      <c r="N25" s="66">
        <v>130</v>
      </c>
      <c r="O25" s="66">
        <v>177</v>
      </c>
      <c r="P25" s="66">
        <v>244</v>
      </c>
      <c r="Q25" s="66">
        <v>336</v>
      </c>
      <c r="R25" s="287">
        <v>194</v>
      </c>
    </row>
    <row r="26" spans="1:18" s="63" customFormat="1" ht="15.6" x14ac:dyDescent="0.3">
      <c r="A26" s="75" t="s">
        <v>29</v>
      </c>
      <c r="B26" s="170" t="s">
        <v>152</v>
      </c>
      <c r="C26" s="67" t="s">
        <v>152</v>
      </c>
      <c r="D26" s="67" t="s">
        <v>152</v>
      </c>
      <c r="E26" s="67" t="s">
        <v>152</v>
      </c>
      <c r="F26" s="67" t="s">
        <v>152</v>
      </c>
      <c r="G26" s="67" t="s">
        <v>152</v>
      </c>
      <c r="H26" s="67" t="s">
        <v>152</v>
      </c>
      <c r="I26" s="67" t="s">
        <v>152</v>
      </c>
      <c r="J26" s="66">
        <v>141</v>
      </c>
      <c r="K26" s="66">
        <v>82</v>
      </c>
      <c r="L26" s="66">
        <v>132</v>
      </c>
      <c r="M26" s="66">
        <v>1159</v>
      </c>
      <c r="N26" s="66">
        <v>125</v>
      </c>
      <c r="O26" s="66">
        <v>144</v>
      </c>
      <c r="P26" s="66">
        <v>215</v>
      </c>
      <c r="Q26" s="66">
        <v>146</v>
      </c>
      <c r="R26" s="287">
        <v>6789</v>
      </c>
    </row>
    <row r="27" spans="1:18" s="63" customFormat="1" ht="15.6" x14ac:dyDescent="0.3">
      <c r="A27" s="75" t="s">
        <v>30</v>
      </c>
      <c r="B27" s="170" t="s">
        <v>152</v>
      </c>
      <c r="C27" s="67" t="s">
        <v>152</v>
      </c>
      <c r="D27" s="67" t="s">
        <v>152</v>
      </c>
      <c r="E27" s="67" t="s">
        <v>152</v>
      </c>
      <c r="F27" s="67" t="s">
        <v>152</v>
      </c>
      <c r="G27" s="67" t="s">
        <v>152</v>
      </c>
      <c r="H27" s="67" t="s">
        <v>152</v>
      </c>
      <c r="I27" s="67" t="s">
        <v>152</v>
      </c>
      <c r="J27" s="66">
        <v>341</v>
      </c>
      <c r="K27" s="66">
        <v>299</v>
      </c>
      <c r="L27" s="66">
        <v>269</v>
      </c>
      <c r="M27" s="66">
        <v>248</v>
      </c>
      <c r="N27" s="66">
        <v>519</v>
      </c>
      <c r="O27" s="66">
        <v>288</v>
      </c>
      <c r="P27" s="66">
        <v>420</v>
      </c>
      <c r="Q27" s="66">
        <v>408</v>
      </c>
      <c r="R27" s="295" t="s">
        <v>152</v>
      </c>
    </row>
    <row r="28" spans="1:18" s="63" customFormat="1" ht="15.6" x14ac:dyDescent="0.3">
      <c r="A28" s="75" t="s">
        <v>31</v>
      </c>
      <c r="B28" s="170" t="s">
        <v>152</v>
      </c>
      <c r="C28" s="67" t="s">
        <v>152</v>
      </c>
      <c r="D28" s="67" t="s">
        <v>152</v>
      </c>
      <c r="E28" s="67" t="s">
        <v>152</v>
      </c>
      <c r="F28" s="67" t="s">
        <v>152</v>
      </c>
      <c r="G28" s="67" t="s">
        <v>152</v>
      </c>
      <c r="H28" s="67" t="s">
        <v>152</v>
      </c>
      <c r="I28" s="67" t="s">
        <v>152</v>
      </c>
      <c r="J28" s="66">
        <v>236</v>
      </c>
      <c r="K28" s="66">
        <v>348</v>
      </c>
      <c r="L28" s="66">
        <v>53</v>
      </c>
      <c r="M28" s="66">
        <v>300</v>
      </c>
      <c r="N28" s="66">
        <v>87</v>
      </c>
      <c r="O28" s="66">
        <v>278</v>
      </c>
      <c r="P28" s="66">
        <v>198</v>
      </c>
      <c r="Q28" s="66">
        <v>733</v>
      </c>
      <c r="R28" s="295" t="s">
        <v>152</v>
      </c>
    </row>
    <row r="29" spans="1:18" s="63" customFormat="1" ht="15.6" x14ac:dyDescent="0.3">
      <c r="A29" s="75" t="s">
        <v>32</v>
      </c>
      <c r="B29" s="170" t="s">
        <v>152</v>
      </c>
      <c r="C29" s="67" t="s">
        <v>152</v>
      </c>
      <c r="D29" s="67" t="s">
        <v>152</v>
      </c>
      <c r="E29" s="67" t="s">
        <v>152</v>
      </c>
      <c r="F29" s="67" t="s">
        <v>152</v>
      </c>
      <c r="G29" s="67" t="s">
        <v>152</v>
      </c>
      <c r="H29" s="67" t="s">
        <v>152</v>
      </c>
      <c r="I29" s="67" t="s">
        <v>152</v>
      </c>
      <c r="J29" s="66">
        <v>259</v>
      </c>
      <c r="K29" s="66">
        <v>-244</v>
      </c>
      <c r="L29" s="66">
        <v>10</v>
      </c>
      <c r="M29" s="66">
        <v>118</v>
      </c>
      <c r="N29" s="66">
        <v>283</v>
      </c>
      <c r="O29" s="66">
        <v>145</v>
      </c>
      <c r="P29" s="66">
        <v>77</v>
      </c>
      <c r="Q29" s="66">
        <v>59</v>
      </c>
      <c r="R29" s="295" t="s">
        <v>152</v>
      </c>
    </row>
    <row r="30" spans="1:18" s="63" customFormat="1" ht="15.6" x14ac:dyDescent="0.3">
      <c r="A30" s="75" t="s">
        <v>33</v>
      </c>
      <c r="B30" s="170" t="s">
        <v>152</v>
      </c>
      <c r="C30" s="67" t="s">
        <v>152</v>
      </c>
      <c r="D30" s="67" t="s">
        <v>152</v>
      </c>
      <c r="E30" s="67" t="s">
        <v>152</v>
      </c>
      <c r="F30" s="67" t="s">
        <v>152</v>
      </c>
      <c r="G30" s="67" t="s">
        <v>152</v>
      </c>
      <c r="H30" s="67" t="s">
        <v>152</v>
      </c>
      <c r="I30" s="67" t="s">
        <v>152</v>
      </c>
      <c r="J30" s="66">
        <v>990</v>
      </c>
      <c r="K30" s="66">
        <v>1848</v>
      </c>
      <c r="L30" s="66">
        <v>49</v>
      </c>
      <c r="M30" s="66">
        <v>256</v>
      </c>
      <c r="N30" s="66">
        <v>1016</v>
      </c>
      <c r="O30" s="66">
        <v>239</v>
      </c>
      <c r="P30" s="66">
        <v>254</v>
      </c>
      <c r="Q30" s="66">
        <v>221</v>
      </c>
      <c r="R30" s="295" t="s">
        <v>152</v>
      </c>
    </row>
    <row r="31" spans="1:18" s="63" customFormat="1" ht="15.6" x14ac:dyDescent="0.3">
      <c r="A31" s="75" t="s">
        <v>34</v>
      </c>
      <c r="B31" s="170" t="s">
        <v>152</v>
      </c>
      <c r="C31" s="67" t="s">
        <v>152</v>
      </c>
      <c r="D31" s="67" t="s">
        <v>152</v>
      </c>
      <c r="E31" s="67" t="s">
        <v>152</v>
      </c>
      <c r="F31" s="67" t="s">
        <v>152</v>
      </c>
      <c r="G31" s="67" t="s">
        <v>152</v>
      </c>
      <c r="H31" s="67" t="s">
        <v>152</v>
      </c>
      <c r="I31" s="67" t="s">
        <v>152</v>
      </c>
      <c r="J31" s="66">
        <v>381</v>
      </c>
      <c r="K31" s="66">
        <v>217</v>
      </c>
      <c r="L31" s="66">
        <v>125</v>
      </c>
      <c r="M31" s="66">
        <v>23</v>
      </c>
      <c r="N31" s="66">
        <v>174</v>
      </c>
      <c r="O31" s="66">
        <v>168</v>
      </c>
      <c r="P31" s="66">
        <v>510</v>
      </c>
      <c r="Q31" s="66">
        <v>228</v>
      </c>
      <c r="R31" s="295" t="s">
        <v>152</v>
      </c>
    </row>
    <row r="32" spans="1:18" s="63" customFormat="1" ht="16.2" thickBot="1" x14ac:dyDescent="0.35">
      <c r="A32" s="88" t="s">
        <v>36</v>
      </c>
      <c r="B32" s="87" t="s">
        <v>152</v>
      </c>
      <c r="C32" s="72" t="s">
        <v>152</v>
      </c>
      <c r="D32" s="72" t="s">
        <v>152</v>
      </c>
      <c r="E32" s="72" t="s">
        <v>152</v>
      </c>
      <c r="F32" s="72" t="s">
        <v>152</v>
      </c>
      <c r="G32" s="72" t="s">
        <v>152</v>
      </c>
      <c r="H32" s="72" t="s">
        <v>152</v>
      </c>
      <c r="I32" s="72" t="s">
        <v>152</v>
      </c>
      <c r="J32" s="71">
        <v>27</v>
      </c>
      <c r="K32" s="71">
        <v>227</v>
      </c>
      <c r="L32" s="71">
        <v>246</v>
      </c>
      <c r="M32" s="71">
        <v>183</v>
      </c>
      <c r="N32" s="71">
        <v>87</v>
      </c>
      <c r="O32" s="71">
        <v>389</v>
      </c>
      <c r="P32" s="71">
        <v>212</v>
      </c>
      <c r="Q32" s="71">
        <v>43</v>
      </c>
      <c r="R32" s="292" t="s">
        <v>152</v>
      </c>
    </row>
    <row r="33" spans="1:18" s="63" customFormat="1" ht="16.2" thickTop="1" x14ac:dyDescent="0.3">
      <c r="A33" s="89" t="s">
        <v>37</v>
      </c>
      <c r="B33" s="90" t="s">
        <v>152</v>
      </c>
      <c r="C33" s="73" t="s">
        <v>152</v>
      </c>
      <c r="D33" s="73" t="s">
        <v>152</v>
      </c>
      <c r="E33" s="73" t="s">
        <v>152</v>
      </c>
      <c r="F33" s="73" t="s">
        <v>152</v>
      </c>
      <c r="G33" s="73" t="s">
        <v>152</v>
      </c>
      <c r="H33" s="73" t="s">
        <v>152</v>
      </c>
      <c r="I33" s="73" t="s">
        <v>152</v>
      </c>
      <c r="J33" s="273">
        <f t="shared" ref="J33:P33" si="2">SUM(J21:J32)</f>
        <v>3563</v>
      </c>
      <c r="K33" s="273">
        <f t="shared" si="2"/>
        <v>4875</v>
      </c>
      <c r="L33" s="273">
        <f t="shared" si="2"/>
        <v>1664</v>
      </c>
      <c r="M33" s="273">
        <f t="shared" si="2"/>
        <v>3410</v>
      </c>
      <c r="N33" s="273">
        <f t="shared" si="2"/>
        <v>5192</v>
      </c>
      <c r="O33" s="273">
        <f t="shared" si="2"/>
        <v>2741</v>
      </c>
      <c r="P33" s="273">
        <f t="shared" si="2"/>
        <v>2600</v>
      </c>
      <c r="Q33" s="273">
        <f t="shared" ref="Q33:R33" si="3">SUM(Q21:Q32)</f>
        <v>2737</v>
      </c>
      <c r="R33" s="288">
        <f t="shared" si="3"/>
        <v>7573</v>
      </c>
    </row>
    <row r="34" spans="1:18" s="113" customFormat="1" ht="6.6" x14ac:dyDescent="0.3">
      <c r="A34" s="371" t="s">
        <v>174</v>
      </c>
      <c r="B34" s="371"/>
      <c r="C34" s="371"/>
      <c r="D34" s="371"/>
      <c r="E34" s="371"/>
      <c r="F34" s="371"/>
      <c r="G34" s="371"/>
      <c r="H34" s="371"/>
      <c r="I34" s="371"/>
      <c r="J34" s="371"/>
      <c r="K34" s="371"/>
      <c r="L34" s="371"/>
      <c r="M34" s="371"/>
      <c r="N34" s="371"/>
      <c r="O34" s="371"/>
      <c r="P34" s="371"/>
      <c r="Q34" s="371"/>
      <c r="R34" s="371"/>
    </row>
    <row r="35" spans="1:18" s="106" customFormat="1" ht="18" x14ac:dyDescent="0.3">
      <c r="A35" s="370" t="s">
        <v>117</v>
      </c>
      <c r="B35" s="370"/>
      <c r="C35" s="370"/>
      <c r="D35" s="370"/>
      <c r="E35" s="370"/>
      <c r="F35" s="370"/>
      <c r="G35" s="370"/>
      <c r="H35" s="370"/>
      <c r="I35" s="370"/>
      <c r="J35" s="370"/>
      <c r="K35" s="370"/>
      <c r="L35" s="370"/>
      <c r="M35" s="370"/>
      <c r="N35" s="370"/>
      <c r="O35" s="370"/>
      <c r="P35" s="370"/>
      <c r="Q35" s="370"/>
      <c r="R35" s="370"/>
    </row>
    <row r="36" spans="1:18" s="63" customFormat="1" ht="15.6" x14ac:dyDescent="0.3">
      <c r="A36" s="77" t="s">
        <v>23</v>
      </c>
      <c r="B36" s="91">
        <v>2004</v>
      </c>
      <c r="C36" s="64">
        <v>2005</v>
      </c>
      <c r="D36" s="64">
        <v>2006</v>
      </c>
      <c r="E36" s="64">
        <v>2007</v>
      </c>
      <c r="F36" s="64">
        <v>2008</v>
      </c>
      <c r="G36" s="64">
        <v>2009</v>
      </c>
      <c r="H36" s="64">
        <v>2010</v>
      </c>
      <c r="I36" s="64">
        <v>2011</v>
      </c>
      <c r="J36" s="65">
        <v>2012</v>
      </c>
      <c r="K36" s="65">
        <v>2013</v>
      </c>
      <c r="L36" s="65">
        <v>2014</v>
      </c>
      <c r="M36" s="65">
        <v>2015</v>
      </c>
      <c r="N36" s="65">
        <v>2016</v>
      </c>
      <c r="O36" s="65">
        <v>2017</v>
      </c>
      <c r="P36" s="65">
        <v>2018</v>
      </c>
      <c r="Q36" s="65">
        <v>2019</v>
      </c>
      <c r="R36" s="49">
        <v>2020</v>
      </c>
    </row>
    <row r="37" spans="1:18" s="63" customFormat="1" ht="15.6" x14ac:dyDescent="0.3">
      <c r="A37" s="76" t="s">
        <v>24</v>
      </c>
      <c r="B37" s="108" t="s">
        <v>152</v>
      </c>
      <c r="C37" s="107" t="s">
        <v>152</v>
      </c>
      <c r="D37" s="107" t="s">
        <v>152</v>
      </c>
      <c r="E37" s="107" t="s">
        <v>152</v>
      </c>
      <c r="F37" s="107" t="s">
        <v>152</v>
      </c>
      <c r="G37" s="107" t="s">
        <v>152</v>
      </c>
      <c r="H37" s="107" t="s">
        <v>152</v>
      </c>
      <c r="I37" s="107" t="s">
        <v>152</v>
      </c>
      <c r="J37" s="83" t="s">
        <v>152</v>
      </c>
      <c r="K37" s="271">
        <v>0</v>
      </c>
      <c r="L37" s="271">
        <v>0</v>
      </c>
      <c r="M37" s="271">
        <v>0</v>
      </c>
      <c r="N37" s="271">
        <v>0</v>
      </c>
      <c r="O37" s="271">
        <v>0</v>
      </c>
      <c r="P37" s="271">
        <v>0</v>
      </c>
      <c r="Q37" s="271">
        <v>0</v>
      </c>
      <c r="R37" s="286">
        <v>0</v>
      </c>
    </row>
    <row r="38" spans="1:18" s="63" customFormat="1" ht="15.6" x14ac:dyDescent="0.3">
      <c r="A38" s="75" t="s">
        <v>25</v>
      </c>
      <c r="B38" s="170" t="s">
        <v>152</v>
      </c>
      <c r="C38" s="67" t="s">
        <v>152</v>
      </c>
      <c r="D38" s="67" t="s">
        <v>152</v>
      </c>
      <c r="E38" s="67" t="s">
        <v>152</v>
      </c>
      <c r="F38" s="67" t="s">
        <v>152</v>
      </c>
      <c r="G38" s="67" t="s">
        <v>152</v>
      </c>
      <c r="H38" s="67" t="s">
        <v>152</v>
      </c>
      <c r="I38" s="67" t="s">
        <v>152</v>
      </c>
      <c r="J38" s="275">
        <v>0</v>
      </c>
      <c r="K38" s="66">
        <v>0</v>
      </c>
      <c r="L38" s="66">
        <v>0</v>
      </c>
      <c r="M38" s="66">
        <v>0</v>
      </c>
      <c r="N38" s="66">
        <v>0</v>
      </c>
      <c r="O38" s="66">
        <v>0</v>
      </c>
      <c r="P38" s="66">
        <v>0</v>
      </c>
      <c r="Q38" s="66">
        <v>0</v>
      </c>
      <c r="R38" s="287">
        <v>0</v>
      </c>
    </row>
    <row r="39" spans="1:18" s="63" customFormat="1" ht="15.6" x14ac:dyDescent="0.3">
      <c r="A39" s="75" t="s">
        <v>26</v>
      </c>
      <c r="B39" s="170" t="s">
        <v>152</v>
      </c>
      <c r="C39" s="67" t="s">
        <v>152</v>
      </c>
      <c r="D39" s="67" t="s">
        <v>152</v>
      </c>
      <c r="E39" s="67" t="s">
        <v>152</v>
      </c>
      <c r="F39" s="67" t="s">
        <v>152</v>
      </c>
      <c r="G39" s="67" t="s">
        <v>152</v>
      </c>
      <c r="H39" s="67" t="s">
        <v>152</v>
      </c>
      <c r="I39" s="67" t="s">
        <v>152</v>
      </c>
      <c r="J39" s="66">
        <v>0</v>
      </c>
      <c r="K39" s="66">
        <v>0</v>
      </c>
      <c r="L39" s="66">
        <v>0</v>
      </c>
      <c r="M39" s="66">
        <v>0</v>
      </c>
      <c r="N39" s="66">
        <v>0</v>
      </c>
      <c r="O39" s="66">
        <v>0</v>
      </c>
      <c r="P39" s="66">
        <v>0</v>
      </c>
      <c r="Q39" s="66">
        <v>0</v>
      </c>
      <c r="R39" s="287">
        <v>0</v>
      </c>
    </row>
    <row r="40" spans="1:18" s="63" customFormat="1" ht="15.6" x14ac:dyDescent="0.3">
      <c r="A40" s="75" t="s">
        <v>27</v>
      </c>
      <c r="B40" s="170" t="s">
        <v>152</v>
      </c>
      <c r="C40" s="67" t="s">
        <v>152</v>
      </c>
      <c r="D40" s="67" t="s">
        <v>152</v>
      </c>
      <c r="E40" s="67" t="s">
        <v>152</v>
      </c>
      <c r="F40" s="67" t="s">
        <v>152</v>
      </c>
      <c r="G40" s="67" t="s">
        <v>152</v>
      </c>
      <c r="H40" s="67" t="s">
        <v>152</v>
      </c>
      <c r="I40" s="67" t="s">
        <v>152</v>
      </c>
      <c r="J40" s="66">
        <v>0</v>
      </c>
      <c r="K40" s="66">
        <v>0</v>
      </c>
      <c r="L40" s="66">
        <v>0</v>
      </c>
      <c r="M40" s="66">
        <v>0</v>
      </c>
      <c r="N40" s="66">
        <v>0</v>
      </c>
      <c r="O40" s="66">
        <v>0</v>
      </c>
      <c r="P40" s="66">
        <v>0</v>
      </c>
      <c r="Q40" s="66">
        <v>0</v>
      </c>
      <c r="R40" s="287">
        <v>0</v>
      </c>
    </row>
    <row r="41" spans="1:18" s="63" customFormat="1" ht="15.6" x14ac:dyDescent="0.3">
      <c r="A41" s="75" t="s">
        <v>28</v>
      </c>
      <c r="B41" s="170" t="s">
        <v>152</v>
      </c>
      <c r="C41" s="67" t="s">
        <v>152</v>
      </c>
      <c r="D41" s="67" t="s">
        <v>152</v>
      </c>
      <c r="E41" s="67" t="s">
        <v>152</v>
      </c>
      <c r="F41" s="67" t="s">
        <v>152</v>
      </c>
      <c r="G41" s="67" t="s">
        <v>152</v>
      </c>
      <c r="H41" s="67" t="s">
        <v>152</v>
      </c>
      <c r="I41" s="67" t="s">
        <v>152</v>
      </c>
      <c r="J41" s="66">
        <v>0</v>
      </c>
      <c r="K41" s="66">
        <v>0</v>
      </c>
      <c r="L41" s="66">
        <v>0</v>
      </c>
      <c r="M41" s="66">
        <v>0</v>
      </c>
      <c r="N41" s="66">
        <v>0</v>
      </c>
      <c r="O41" s="66">
        <v>0</v>
      </c>
      <c r="P41" s="66">
        <v>0</v>
      </c>
      <c r="Q41" s="66">
        <v>0</v>
      </c>
      <c r="R41" s="287">
        <v>0</v>
      </c>
    </row>
    <row r="42" spans="1:18" s="63" customFormat="1" ht="15.6" x14ac:dyDescent="0.3">
      <c r="A42" s="75" t="s">
        <v>29</v>
      </c>
      <c r="B42" s="170" t="s">
        <v>152</v>
      </c>
      <c r="C42" s="67" t="s">
        <v>152</v>
      </c>
      <c r="D42" s="67" t="s">
        <v>152</v>
      </c>
      <c r="E42" s="67" t="s">
        <v>152</v>
      </c>
      <c r="F42" s="67" t="s">
        <v>152</v>
      </c>
      <c r="G42" s="67" t="s">
        <v>152</v>
      </c>
      <c r="H42" s="67" t="s">
        <v>152</v>
      </c>
      <c r="I42" s="67" t="s">
        <v>152</v>
      </c>
      <c r="J42" s="66">
        <v>0</v>
      </c>
      <c r="K42" s="66">
        <v>0</v>
      </c>
      <c r="L42" s="66">
        <v>0</v>
      </c>
      <c r="M42" s="66">
        <v>0</v>
      </c>
      <c r="N42" s="66">
        <v>0</v>
      </c>
      <c r="O42" s="66">
        <v>0</v>
      </c>
      <c r="P42" s="66">
        <v>0</v>
      </c>
      <c r="Q42" s="66">
        <v>0</v>
      </c>
      <c r="R42" s="287">
        <v>0</v>
      </c>
    </row>
    <row r="43" spans="1:18" s="63" customFormat="1" ht="15.6" x14ac:dyDescent="0.3">
      <c r="A43" s="75" t="s">
        <v>30</v>
      </c>
      <c r="B43" s="170" t="s">
        <v>152</v>
      </c>
      <c r="C43" s="67" t="s">
        <v>152</v>
      </c>
      <c r="D43" s="67" t="s">
        <v>152</v>
      </c>
      <c r="E43" s="67" t="s">
        <v>152</v>
      </c>
      <c r="F43" s="67" t="s">
        <v>152</v>
      </c>
      <c r="G43" s="67" t="s">
        <v>152</v>
      </c>
      <c r="H43" s="67" t="s">
        <v>152</v>
      </c>
      <c r="I43" s="67" t="s">
        <v>152</v>
      </c>
      <c r="J43" s="66">
        <v>0</v>
      </c>
      <c r="K43" s="66">
        <v>0</v>
      </c>
      <c r="L43" s="66">
        <v>0</v>
      </c>
      <c r="M43" s="66">
        <v>0</v>
      </c>
      <c r="N43" s="66">
        <v>0</v>
      </c>
      <c r="O43" s="66">
        <v>0</v>
      </c>
      <c r="P43" s="66">
        <v>0</v>
      </c>
      <c r="Q43" s="66">
        <v>0</v>
      </c>
      <c r="R43" s="295" t="s">
        <v>152</v>
      </c>
    </row>
    <row r="44" spans="1:18" s="63" customFormat="1" ht="15.6" x14ac:dyDescent="0.3">
      <c r="A44" s="75" t="s">
        <v>31</v>
      </c>
      <c r="B44" s="170" t="s">
        <v>152</v>
      </c>
      <c r="C44" s="67" t="s">
        <v>152</v>
      </c>
      <c r="D44" s="67" t="s">
        <v>152</v>
      </c>
      <c r="E44" s="67" t="s">
        <v>152</v>
      </c>
      <c r="F44" s="67" t="s">
        <v>152</v>
      </c>
      <c r="G44" s="67" t="s">
        <v>152</v>
      </c>
      <c r="H44" s="67" t="s">
        <v>152</v>
      </c>
      <c r="I44" s="67" t="s">
        <v>152</v>
      </c>
      <c r="J44" s="66">
        <v>0</v>
      </c>
      <c r="K44" s="66">
        <v>0</v>
      </c>
      <c r="L44" s="66">
        <v>0</v>
      </c>
      <c r="M44" s="66">
        <v>0</v>
      </c>
      <c r="N44" s="66">
        <v>0</v>
      </c>
      <c r="O44" s="66">
        <v>0</v>
      </c>
      <c r="P44" s="66">
        <v>0</v>
      </c>
      <c r="Q44" s="66">
        <v>0</v>
      </c>
      <c r="R44" s="295" t="s">
        <v>152</v>
      </c>
    </row>
    <row r="45" spans="1:18" s="63" customFormat="1" ht="15.6" x14ac:dyDescent="0.3">
      <c r="A45" s="75" t="s">
        <v>32</v>
      </c>
      <c r="B45" s="170" t="s">
        <v>152</v>
      </c>
      <c r="C45" s="67" t="s">
        <v>152</v>
      </c>
      <c r="D45" s="67" t="s">
        <v>152</v>
      </c>
      <c r="E45" s="67" t="s">
        <v>152</v>
      </c>
      <c r="F45" s="67" t="s">
        <v>152</v>
      </c>
      <c r="G45" s="67" t="s">
        <v>152</v>
      </c>
      <c r="H45" s="67" t="s">
        <v>152</v>
      </c>
      <c r="I45" s="67" t="s">
        <v>152</v>
      </c>
      <c r="J45" s="66">
        <v>0</v>
      </c>
      <c r="K45" s="66">
        <v>0</v>
      </c>
      <c r="L45" s="66">
        <v>0</v>
      </c>
      <c r="M45" s="66">
        <v>0</v>
      </c>
      <c r="N45" s="66">
        <v>0</v>
      </c>
      <c r="O45" s="66">
        <v>0</v>
      </c>
      <c r="P45" s="66">
        <v>0</v>
      </c>
      <c r="Q45" s="66">
        <v>0</v>
      </c>
      <c r="R45" s="295" t="s">
        <v>152</v>
      </c>
    </row>
    <row r="46" spans="1:18" s="63" customFormat="1" ht="15.6" x14ac:dyDescent="0.3">
      <c r="A46" s="75" t="s">
        <v>33</v>
      </c>
      <c r="B46" s="170" t="s">
        <v>152</v>
      </c>
      <c r="C46" s="67" t="s">
        <v>152</v>
      </c>
      <c r="D46" s="67" t="s">
        <v>152</v>
      </c>
      <c r="E46" s="67" t="s">
        <v>152</v>
      </c>
      <c r="F46" s="67" t="s">
        <v>152</v>
      </c>
      <c r="G46" s="67" t="s">
        <v>152</v>
      </c>
      <c r="H46" s="67" t="s">
        <v>152</v>
      </c>
      <c r="I46" s="67" t="s">
        <v>152</v>
      </c>
      <c r="J46" s="66">
        <v>-1</v>
      </c>
      <c r="K46" s="66">
        <v>0</v>
      </c>
      <c r="L46" s="66">
        <v>-834</v>
      </c>
      <c r="M46" s="66">
        <v>0</v>
      </c>
      <c r="N46" s="66">
        <v>0</v>
      </c>
      <c r="O46" s="66">
        <v>0</v>
      </c>
      <c r="P46" s="66">
        <v>0</v>
      </c>
      <c r="Q46" s="66">
        <v>0</v>
      </c>
      <c r="R46" s="295" t="s">
        <v>152</v>
      </c>
    </row>
    <row r="47" spans="1:18" s="63" customFormat="1" ht="15.6" x14ac:dyDescent="0.3">
      <c r="A47" s="75" t="s">
        <v>34</v>
      </c>
      <c r="B47" s="170" t="s">
        <v>152</v>
      </c>
      <c r="C47" s="67" t="s">
        <v>152</v>
      </c>
      <c r="D47" s="67" t="s">
        <v>152</v>
      </c>
      <c r="E47" s="67" t="s">
        <v>152</v>
      </c>
      <c r="F47" s="67" t="s">
        <v>152</v>
      </c>
      <c r="G47" s="67" t="s">
        <v>152</v>
      </c>
      <c r="H47" s="67" t="s">
        <v>152</v>
      </c>
      <c r="I47" s="67" t="s">
        <v>152</v>
      </c>
      <c r="J47" s="66">
        <v>0</v>
      </c>
      <c r="K47" s="66">
        <v>0</v>
      </c>
      <c r="L47" s="66">
        <v>0</v>
      </c>
      <c r="M47" s="66">
        <v>0</v>
      </c>
      <c r="N47" s="66">
        <v>0</v>
      </c>
      <c r="O47" s="66">
        <v>0</v>
      </c>
      <c r="P47" s="66">
        <v>0</v>
      </c>
      <c r="Q47" s="66">
        <v>0</v>
      </c>
      <c r="R47" s="295" t="s">
        <v>152</v>
      </c>
    </row>
    <row r="48" spans="1:18" s="63" customFormat="1" ht="16.2" thickBot="1" x14ac:dyDescent="0.35">
      <c r="A48" s="88" t="s">
        <v>36</v>
      </c>
      <c r="B48" s="87" t="s">
        <v>152</v>
      </c>
      <c r="C48" s="72" t="s">
        <v>152</v>
      </c>
      <c r="D48" s="72" t="s">
        <v>152</v>
      </c>
      <c r="E48" s="72" t="s">
        <v>152</v>
      </c>
      <c r="F48" s="72" t="s">
        <v>152</v>
      </c>
      <c r="G48" s="72" t="s">
        <v>152</v>
      </c>
      <c r="H48" s="72" t="s">
        <v>152</v>
      </c>
      <c r="I48" s="72" t="s">
        <v>152</v>
      </c>
      <c r="J48" s="71">
        <v>0</v>
      </c>
      <c r="K48" s="71">
        <v>0</v>
      </c>
      <c r="L48" s="71">
        <v>0</v>
      </c>
      <c r="M48" s="71">
        <v>0</v>
      </c>
      <c r="N48" s="71">
        <v>0</v>
      </c>
      <c r="O48" s="71">
        <v>0</v>
      </c>
      <c r="P48" s="71">
        <v>0</v>
      </c>
      <c r="Q48" s="71">
        <v>0</v>
      </c>
      <c r="R48" s="292" t="s">
        <v>152</v>
      </c>
    </row>
    <row r="49" spans="1:18" s="63" customFormat="1" ht="16.2" thickTop="1" x14ac:dyDescent="0.3">
      <c r="A49" s="89" t="s">
        <v>37</v>
      </c>
      <c r="B49" s="90" t="s">
        <v>152</v>
      </c>
      <c r="C49" s="73" t="s">
        <v>152</v>
      </c>
      <c r="D49" s="73" t="s">
        <v>152</v>
      </c>
      <c r="E49" s="73" t="s">
        <v>152</v>
      </c>
      <c r="F49" s="73" t="s">
        <v>152</v>
      </c>
      <c r="G49" s="73" t="s">
        <v>152</v>
      </c>
      <c r="H49" s="73" t="s">
        <v>152</v>
      </c>
      <c r="I49" s="73" t="s">
        <v>152</v>
      </c>
      <c r="J49" s="273">
        <f t="shared" ref="J49:P49" si="4">SUM(J37:J48)</f>
        <v>-1</v>
      </c>
      <c r="K49" s="273">
        <f t="shared" si="4"/>
        <v>0</v>
      </c>
      <c r="L49" s="273">
        <f t="shared" si="4"/>
        <v>-834</v>
      </c>
      <c r="M49" s="273">
        <f t="shared" si="4"/>
        <v>0</v>
      </c>
      <c r="N49" s="273">
        <f t="shared" si="4"/>
        <v>0</v>
      </c>
      <c r="O49" s="273">
        <f t="shared" si="4"/>
        <v>0</v>
      </c>
      <c r="P49" s="273">
        <f t="shared" si="4"/>
        <v>0</v>
      </c>
      <c r="Q49" s="273">
        <f t="shared" ref="Q49:R49" si="5">SUM(Q37:Q48)</f>
        <v>0</v>
      </c>
      <c r="R49" s="288">
        <f t="shared" si="5"/>
        <v>0</v>
      </c>
    </row>
    <row r="50" spans="1:18" s="113" customFormat="1" ht="6.6" x14ac:dyDescent="0.3">
      <c r="A50" s="371" t="s">
        <v>174</v>
      </c>
      <c r="B50" s="371"/>
      <c r="C50" s="371"/>
      <c r="D50" s="371"/>
      <c r="E50" s="371"/>
      <c r="F50" s="371"/>
      <c r="G50" s="371"/>
      <c r="H50" s="371"/>
      <c r="I50" s="371"/>
      <c r="J50" s="371"/>
      <c r="K50" s="371"/>
      <c r="L50" s="371"/>
      <c r="M50" s="371"/>
      <c r="N50" s="371"/>
      <c r="O50" s="371"/>
      <c r="P50" s="371"/>
      <c r="Q50" s="371"/>
      <c r="R50" s="371"/>
    </row>
    <row r="51" spans="1:18" s="111" customFormat="1" ht="13.8" x14ac:dyDescent="0.3">
      <c r="A51" s="373" t="s">
        <v>157</v>
      </c>
      <c r="B51" s="373"/>
      <c r="C51" s="373"/>
      <c r="D51" s="373"/>
      <c r="E51" s="373"/>
      <c r="F51" s="373"/>
      <c r="G51" s="373"/>
      <c r="H51" s="373"/>
      <c r="I51" s="373"/>
      <c r="J51" s="373"/>
      <c r="K51" s="373"/>
      <c r="L51" s="373"/>
      <c r="M51" s="373"/>
      <c r="N51" s="373"/>
      <c r="O51" s="373"/>
      <c r="P51" s="373"/>
      <c r="Q51" s="373"/>
      <c r="R51" s="373"/>
    </row>
    <row r="52" spans="1:18" s="111" customFormat="1" ht="13.8" x14ac:dyDescent="0.3">
      <c r="A52" s="384" t="str">
        <f>'Local SUT'!A60</f>
        <v>Source:  Minnesota Department of Revenue, Tax Research Division, February 2021</v>
      </c>
      <c r="B52" s="384"/>
      <c r="C52" s="384"/>
      <c r="D52" s="384"/>
      <c r="E52" s="384"/>
      <c r="F52" s="384"/>
      <c r="G52" s="384"/>
      <c r="H52" s="384"/>
      <c r="I52" s="384"/>
      <c r="J52" s="384"/>
      <c r="K52" s="384"/>
      <c r="L52" s="384"/>
      <c r="M52" s="384"/>
      <c r="N52" s="384"/>
      <c r="O52" s="384"/>
      <c r="P52" s="384"/>
      <c r="Q52" s="384"/>
      <c r="R52" s="384"/>
    </row>
    <row r="53" spans="1:18" s="111" customFormat="1" ht="13.8" x14ac:dyDescent="0.3">
      <c r="A53" s="379" t="s">
        <v>151</v>
      </c>
      <c r="B53" s="379"/>
      <c r="C53" s="379"/>
      <c r="D53" s="379"/>
      <c r="E53" s="379"/>
      <c r="F53" s="379"/>
      <c r="G53" s="379"/>
      <c r="H53" s="379"/>
      <c r="I53" s="379"/>
      <c r="J53" s="379"/>
      <c r="K53" s="379"/>
      <c r="L53" s="379"/>
      <c r="M53" s="379"/>
      <c r="N53" s="379"/>
      <c r="O53" s="379"/>
      <c r="P53" s="379"/>
      <c r="Q53" s="379"/>
      <c r="R53" s="379"/>
    </row>
    <row r="54" spans="1:18" x14ac:dyDescent="0.3">
      <c r="R54" s="117"/>
    </row>
  </sheetData>
  <mergeCells count="11">
    <mergeCell ref="A53:R53"/>
    <mergeCell ref="A34:R34"/>
    <mergeCell ref="A35:R35"/>
    <mergeCell ref="A50:R50"/>
    <mergeCell ref="A51:R51"/>
    <mergeCell ref="A52:R52"/>
    <mergeCell ref="A1:R1"/>
    <mergeCell ref="A2:R2"/>
    <mergeCell ref="A3:R3"/>
    <mergeCell ref="A18:R18"/>
    <mergeCell ref="A19:R19"/>
  </mergeCells>
  <pageMargins left="0.4" right="0" top="0.75" bottom="0.75" header="0.3" footer="0.3"/>
  <pageSetup scale="87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5"/>
  <dimension ref="A1:R54"/>
  <sheetViews>
    <sheetView showGridLines="0" zoomScaleNormal="100" workbookViewId="0">
      <pane ySplit="1" topLeftCell="A2" activePane="bottomLeft" state="frozen"/>
      <selection pane="bottomLeft" sqref="A1:R1"/>
    </sheetView>
  </sheetViews>
  <sheetFormatPr defaultColWidth="12.5546875" defaultRowHeight="14.4" x14ac:dyDescent="0.3"/>
  <cols>
    <col min="1" max="1" width="12.5546875" style="180"/>
    <col min="2" max="17" width="13.5546875" style="173" customWidth="1"/>
    <col min="18" max="18" width="13.5546875" style="145" customWidth="1"/>
    <col min="19" max="16384" width="12.5546875" style="173"/>
  </cols>
  <sheetData>
    <row r="1" spans="1:18" s="112" customFormat="1" ht="21" x14ac:dyDescent="0.3">
      <c r="A1" s="380" t="s">
        <v>203</v>
      </c>
      <c r="B1" s="380"/>
      <c r="C1" s="380"/>
      <c r="D1" s="380"/>
      <c r="E1" s="380"/>
      <c r="F1" s="380"/>
      <c r="G1" s="380"/>
      <c r="H1" s="380"/>
      <c r="I1" s="380"/>
      <c r="J1" s="380"/>
      <c r="K1" s="380"/>
      <c r="L1" s="380"/>
      <c r="M1" s="380"/>
      <c r="N1" s="380"/>
      <c r="O1" s="380"/>
      <c r="P1" s="380"/>
      <c r="Q1" s="380"/>
      <c r="R1" s="380"/>
    </row>
    <row r="2" spans="1:18" s="106" customFormat="1" ht="18" x14ac:dyDescent="0.3">
      <c r="A2" s="381" t="str">
        <f>'Local SUT'!A2</f>
        <v>CY 2004-2020</v>
      </c>
      <c r="B2" s="381"/>
      <c r="C2" s="381"/>
      <c r="D2" s="381"/>
      <c r="E2" s="381"/>
      <c r="F2" s="381"/>
      <c r="G2" s="381"/>
      <c r="H2" s="381"/>
      <c r="I2" s="381"/>
      <c r="J2" s="381"/>
      <c r="K2" s="381"/>
      <c r="L2" s="381"/>
      <c r="M2" s="381"/>
      <c r="N2" s="381"/>
      <c r="O2" s="381"/>
      <c r="P2" s="381"/>
      <c r="Q2" s="381"/>
      <c r="R2" s="381"/>
    </row>
    <row r="3" spans="1:18" s="106" customFormat="1" ht="18" x14ac:dyDescent="0.3">
      <c r="A3" s="370" t="s">
        <v>52</v>
      </c>
      <c r="B3" s="370"/>
      <c r="C3" s="370"/>
      <c r="D3" s="370"/>
      <c r="E3" s="370"/>
      <c r="F3" s="370"/>
      <c r="G3" s="370"/>
      <c r="H3" s="370"/>
      <c r="I3" s="370"/>
      <c r="J3" s="370"/>
      <c r="K3" s="370"/>
      <c r="L3" s="370"/>
      <c r="M3" s="370"/>
      <c r="N3" s="370"/>
      <c r="O3" s="370"/>
      <c r="P3" s="370"/>
      <c r="Q3" s="370"/>
      <c r="R3" s="370"/>
    </row>
    <row r="4" spans="1:18" s="63" customFormat="1" ht="15.6" x14ac:dyDescent="0.3">
      <c r="A4" s="77" t="s">
        <v>23</v>
      </c>
      <c r="B4" s="91">
        <v>2004</v>
      </c>
      <c r="C4" s="64">
        <v>2005</v>
      </c>
      <c r="D4" s="64">
        <v>2006</v>
      </c>
      <c r="E4" s="64">
        <v>2007</v>
      </c>
      <c r="F4" s="64">
        <v>2008</v>
      </c>
      <c r="G4" s="64">
        <v>2009</v>
      </c>
      <c r="H4" s="64">
        <v>2010</v>
      </c>
      <c r="I4" s="64">
        <v>2011</v>
      </c>
      <c r="J4" s="65">
        <v>2012</v>
      </c>
      <c r="K4" s="65">
        <v>2013</v>
      </c>
      <c r="L4" s="65">
        <v>2014</v>
      </c>
      <c r="M4" s="65">
        <v>2015</v>
      </c>
      <c r="N4" s="65">
        <v>2016</v>
      </c>
      <c r="O4" s="65">
        <v>2017</v>
      </c>
      <c r="P4" s="65">
        <v>2018</v>
      </c>
      <c r="Q4" s="65">
        <v>2019</v>
      </c>
      <c r="R4" s="49">
        <v>2020</v>
      </c>
    </row>
    <row r="5" spans="1:18" s="63" customFormat="1" ht="15.6" x14ac:dyDescent="0.3">
      <c r="A5" s="76" t="s">
        <v>24</v>
      </c>
      <c r="B5" s="278">
        <v>402333.35</v>
      </c>
      <c r="C5" s="272">
        <v>423341.49</v>
      </c>
      <c r="D5" s="271">
        <v>425052.91</v>
      </c>
      <c r="E5" s="271">
        <v>444697.33</v>
      </c>
      <c r="F5" s="271">
        <v>454129.46</v>
      </c>
      <c r="G5" s="271">
        <v>474565</v>
      </c>
      <c r="H5" s="271">
        <v>424024</v>
      </c>
      <c r="I5" s="271">
        <v>452375</v>
      </c>
      <c r="J5" s="271">
        <v>470005</v>
      </c>
      <c r="K5" s="271">
        <v>480742</v>
      </c>
      <c r="L5" s="271">
        <v>472443</v>
      </c>
      <c r="M5" s="271">
        <v>476587</v>
      </c>
      <c r="N5" s="271">
        <v>534683</v>
      </c>
      <c r="O5" s="271">
        <v>515547</v>
      </c>
      <c r="P5" s="271">
        <v>496604</v>
      </c>
      <c r="Q5" s="271">
        <v>515245</v>
      </c>
      <c r="R5" s="286">
        <v>545591</v>
      </c>
    </row>
    <row r="6" spans="1:18" s="63" customFormat="1" ht="15.6" x14ac:dyDescent="0.3">
      <c r="A6" s="75" t="s">
        <v>25</v>
      </c>
      <c r="B6" s="170">
        <v>275334.40000000002</v>
      </c>
      <c r="C6" s="67">
        <v>261312.78</v>
      </c>
      <c r="D6" s="66">
        <v>269662.38</v>
      </c>
      <c r="E6" s="66">
        <v>290633.34000000003</v>
      </c>
      <c r="F6" s="66">
        <v>364207.45</v>
      </c>
      <c r="G6" s="66">
        <v>358158</v>
      </c>
      <c r="H6" s="66">
        <v>287954</v>
      </c>
      <c r="I6" s="66">
        <v>320160</v>
      </c>
      <c r="J6" s="66">
        <v>338125</v>
      </c>
      <c r="K6" s="66">
        <v>350838</v>
      </c>
      <c r="L6" s="66">
        <v>386976</v>
      </c>
      <c r="M6" s="66">
        <v>379865</v>
      </c>
      <c r="N6" s="66">
        <v>390339</v>
      </c>
      <c r="O6" s="66">
        <v>362835</v>
      </c>
      <c r="P6" s="66">
        <v>379754</v>
      </c>
      <c r="Q6" s="66">
        <v>383928</v>
      </c>
      <c r="R6" s="287">
        <v>392007</v>
      </c>
    </row>
    <row r="7" spans="1:18" s="63" customFormat="1" ht="15.6" x14ac:dyDescent="0.3">
      <c r="A7" s="75" t="s">
        <v>26</v>
      </c>
      <c r="B7" s="170">
        <v>251128.25</v>
      </c>
      <c r="C7" s="67">
        <v>392141.1</v>
      </c>
      <c r="D7" s="66">
        <v>265464.64</v>
      </c>
      <c r="E7" s="66">
        <v>273446.46999999997</v>
      </c>
      <c r="F7" s="66">
        <v>308261.11</v>
      </c>
      <c r="G7" s="66">
        <v>314843</v>
      </c>
      <c r="H7" s="66">
        <v>284152</v>
      </c>
      <c r="I7" s="66">
        <v>317904</v>
      </c>
      <c r="J7" s="66">
        <v>335495</v>
      </c>
      <c r="K7" s="66">
        <v>328953</v>
      </c>
      <c r="L7" s="66">
        <v>341991</v>
      </c>
      <c r="M7" s="66">
        <v>372665</v>
      </c>
      <c r="N7" s="66">
        <v>359554</v>
      </c>
      <c r="O7" s="66">
        <v>335808</v>
      </c>
      <c r="P7" s="66">
        <v>341290</v>
      </c>
      <c r="Q7" s="66">
        <v>338078</v>
      </c>
      <c r="R7" s="287">
        <v>386702</v>
      </c>
    </row>
    <row r="8" spans="1:18" s="63" customFormat="1" ht="15.6" x14ac:dyDescent="0.3">
      <c r="A8" s="75" t="s">
        <v>27</v>
      </c>
      <c r="B8" s="170">
        <v>290085.03000000003</v>
      </c>
      <c r="C8" s="67">
        <v>303766.65000000002</v>
      </c>
      <c r="D8" s="66">
        <v>316353.05</v>
      </c>
      <c r="E8" s="66">
        <v>342663.54</v>
      </c>
      <c r="F8" s="66">
        <v>331678.09000000003</v>
      </c>
      <c r="G8" s="66">
        <v>328980</v>
      </c>
      <c r="H8" s="66">
        <v>363935</v>
      </c>
      <c r="I8" s="66">
        <v>344027</v>
      </c>
      <c r="J8" s="66">
        <v>387921</v>
      </c>
      <c r="K8" s="66">
        <v>372543</v>
      </c>
      <c r="L8" s="66">
        <v>384508</v>
      </c>
      <c r="M8" s="66">
        <v>423749</v>
      </c>
      <c r="N8" s="66">
        <v>422118</v>
      </c>
      <c r="O8" s="66">
        <v>405916</v>
      </c>
      <c r="P8" s="66">
        <v>432008</v>
      </c>
      <c r="Q8" s="66">
        <v>432712</v>
      </c>
      <c r="R8" s="287">
        <v>392427</v>
      </c>
    </row>
    <row r="9" spans="1:18" s="63" customFormat="1" ht="15.6" x14ac:dyDescent="0.3">
      <c r="A9" s="75" t="s">
        <v>28</v>
      </c>
      <c r="B9" s="170">
        <v>289301.53999999998</v>
      </c>
      <c r="C9" s="67">
        <v>306687.48</v>
      </c>
      <c r="D9" s="66">
        <v>300426.39</v>
      </c>
      <c r="E9" s="66">
        <v>322414.11</v>
      </c>
      <c r="F9" s="66">
        <v>327144.09999999998</v>
      </c>
      <c r="G9" s="66">
        <v>320939</v>
      </c>
      <c r="H9" s="66">
        <v>320159</v>
      </c>
      <c r="I9" s="66">
        <v>376609</v>
      </c>
      <c r="J9" s="66">
        <v>369596</v>
      </c>
      <c r="K9" s="66">
        <v>355709</v>
      </c>
      <c r="L9" s="66">
        <v>385737</v>
      </c>
      <c r="M9" s="66">
        <v>437437</v>
      </c>
      <c r="N9" s="66">
        <v>413829</v>
      </c>
      <c r="O9" s="66">
        <v>405576</v>
      </c>
      <c r="P9" s="66">
        <v>394006</v>
      </c>
      <c r="Q9" s="66">
        <v>414916</v>
      </c>
      <c r="R9" s="287">
        <v>353873</v>
      </c>
    </row>
    <row r="10" spans="1:18" s="63" customFormat="1" ht="15.6" x14ac:dyDescent="0.3">
      <c r="A10" s="75" t="s">
        <v>29</v>
      </c>
      <c r="B10" s="170">
        <v>292646.58</v>
      </c>
      <c r="C10" s="67">
        <v>315550.3</v>
      </c>
      <c r="D10" s="66">
        <v>310730.64</v>
      </c>
      <c r="E10" s="66">
        <v>344156.49</v>
      </c>
      <c r="F10" s="66">
        <v>361148.02</v>
      </c>
      <c r="G10" s="66">
        <v>329447</v>
      </c>
      <c r="H10" s="66">
        <v>357007</v>
      </c>
      <c r="I10" s="66">
        <v>373376</v>
      </c>
      <c r="J10" s="66">
        <v>355757</v>
      </c>
      <c r="K10" s="66">
        <v>409575</v>
      </c>
      <c r="L10" s="66">
        <v>401507</v>
      </c>
      <c r="M10" s="66">
        <v>451161</v>
      </c>
      <c r="N10" s="66">
        <v>411386</v>
      </c>
      <c r="O10" s="66">
        <v>422879</v>
      </c>
      <c r="P10" s="66">
        <v>444965</v>
      </c>
      <c r="Q10" s="66">
        <v>436214</v>
      </c>
      <c r="R10" s="287">
        <v>421519</v>
      </c>
    </row>
    <row r="11" spans="1:18" s="63" customFormat="1" ht="15.6" x14ac:dyDescent="0.3">
      <c r="A11" s="75" t="s">
        <v>30</v>
      </c>
      <c r="B11" s="170">
        <v>238928.75</v>
      </c>
      <c r="C11" s="67">
        <v>222792.81</v>
      </c>
      <c r="D11" s="66">
        <v>275047.05</v>
      </c>
      <c r="E11" s="66">
        <v>304044.68</v>
      </c>
      <c r="F11" s="66">
        <v>321733</v>
      </c>
      <c r="G11" s="66">
        <v>272391</v>
      </c>
      <c r="H11" s="66">
        <v>343910</v>
      </c>
      <c r="I11" s="66">
        <v>340438</v>
      </c>
      <c r="J11" s="66">
        <v>374160</v>
      </c>
      <c r="K11" s="66">
        <v>348725</v>
      </c>
      <c r="L11" s="66">
        <v>443820</v>
      </c>
      <c r="M11" s="66">
        <v>406009</v>
      </c>
      <c r="N11" s="66">
        <v>382303</v>
      </c>
      <c r="O11" s="66">
        <v>402763</v>
      </c>
      <c r="P11" s="66">
        <v>398894</v>
      </c>
      <c r="Q11" s="66">
        <v>431265</v>
      </c>
      <c r="R11" s="291" t="s">
        <v>152</v>
      </c>
    </row>
    <row r="12" spans="1:18" s="63" customFormat="1" ht="15.6" x14ac:dyDescent="0.3">
      <c r="A12" s="75" t="s">
        <v>31</v>
      </c>
      <c r="B12" s="170">
        <v>380241.12</v>
      </c>
      <c r="C12" s="67">
        <v>398145.32</v>
      </c>
      <c r="D12" s="66">
        <v>381886.85</v>
      </c>
      <c r="E12" s="66">
        <v>372407.79</v>
      </c>
      <c r="F12" s="66">
        <v>375217.24</v>
      </c>
      <c r="G12" s="66">
        <v>392063</v>
      </c>
      <c r="H12" s="66">
        <v>385076</v>
      </c>
      <c r="I12" s="66">
        <v>382019</v>
      </c>
      <c r="J12" s="66">
        <v>431683</v>
      </c>
      <c r="K12" s="66">
        <v>449280</v>
      </c>
      <c r="L12" s="66">
        <v>429682</v>
      </c>
      <c r="M12" s="66">
        <v>509661</v>
      </c>
      <c r="N12" s="66">
        <v>465107</v>
      </c>
      <c r="O12" s="66">
        <v>475497</v>
      </c>
      <c r="P12" s="66">
        <v>488078</v>
      </c>
      <c r="Q12" s="66">
        <v>458416</v>
      </c>
      <c r="R12" s="295" t="s">
        <v>152</v>
      </c>
    </row>
    <row r="13" spans="1:18" s="63" customFormat="1" ht="15.6" x14ac:dyDescent="0.3">
      <c r="A13" s="75" t="s">
        <v>32</v>
      </c>
      <c r="B13" s="170">
        <v>300536.08</v>
      </c>
      <c r="C13" s="67">
        <v>314942.52</v>
      </c>
      <c r="D13" s="66">
        <v>342225.23</v>
      </c>
      <c r="E13" s="66">
        <v>356363.1</v>
      </c>
      <c r="F13" s="66">
        <v>349861.26</v>
      </c>
      <c r="G13" s="66">
        <v>315188</v>
      </c>
      <c r="H13" s="66">
        <v>374196</v>
      </c>
      <c r="I13" s="66">
        <v>428869</v>
      </c>
      <c r="J13" s="66">
        <v>423812</v>
      </c>
      <c r="K13" s="66">
        <v>425547</v>
      </c>
      <c r="L13" s="66">
        <v>414896</v>
      </c>
      <c r="M13" s="66">
        <v>433393</v>
      </c>
      <c r="N13" s="66">
        <v>435157</v>
      </c>
      <c r="O13" s="66">
        <v>432310</v>
      </c>
      <c r="P13" s="66">
        <v>449665</v>
      </c>
      <c r="Q13" s="66">
        <v>458624</v>
      </c>
      <c r="R13" s="295" t="s">
        <v>152</v>
      </c>
    </row>
    <row r="14" spans="1:18" s="63" customFormat="1" ht="15.6" x14ac:dyDescent="0.3">
      <c r="A14" s="75" t="s">
        <v>33</v>
      </c>
      <c r="B14" s="170">
        <v>319787.33</v>
      </c>
      <c r="C14" s="67">
        <v>319579.49</v>
      </c>
      <c r="D14" s="66">
        <v>337444.93</v>
      </c>
      <c r="E14" s="66">
        <v>359725.99</v>
      </c>
      <c r="F14" s="67">
        <v>356112.7</v>
      </c>
      <c r="G14" s="66">
        <v>391375</v>
      </c>
      <c r="H14" s="66">
        <v>381568</v>
      </c>
      <c r="I14" s="66">
        <v>399568</v>
      </c>
      <c r="J14" s="66">
        <v>390133</v>
      </c>
      <c r="K14" s="66">
        <v>405808</v>
      </c>
      <c r="L14" s="66">
        <v>423824</v>
      </c>
      <c r="M14" s="66">
        <v>434607</v>
      </c>
      <c r="N14" s="66">
        <v>412432</v>
      </c>
      <c r="O14" s="66">
        <v>426677</v>
      </c>
      <c r="P14" s="66">
        <v>440776</v>
      </c>
      <c r="Q14" s="66">
        <v>439926</v>
      </c>
      <c r="R14" s="295" t="s">
        <v>152</v>
      </c>
    </row>
    <row r="15" spans="1:18" s="63" customFormat="1" ht="15.6" x14ac:dyDescent="0.3">
      <c r="A15" s="75" t="s">
        <v>34</v>
      </c>
      <c r="B15" s="170">
        <v>294406.86</v>
      </c>
      <c r="C15" s="67">
        <v>304427.52000000002</v>
      </c>
      <c r="D15" s="66">
        <v>309142.2</v>
      </c>
      <c r="E15" s="66">
        <v>347316.47999999998</v>
      </c>
      <c r="F15" s="66" t="s">
        <v>35</v>
      </c>
      <c r="G15" s="66">
        <v>324966</v>
      </c>
      <c r="H15" s="66">
        <v>370470</v>
      </c>
      <c r="I15" s="66">
        <v>378298</v>
      </c>
      <c r="J15" s="66">
        <v>372401</v>
      </c>
      <c r="K15" s="66">
        <v>385719</v>
      </c>
      <c r="L15" s="66">
        <v>412070</v>
      </c>
      <c r="M15" s="66">
        <v>440456</v>
      </c>
      <c r="N15" s="66">
        <v>424563</v>
      </c>
      <c r="O15" s="66">
        <v>448964</v>
      </c>
      <c r="P15" s="66">
        <v>452578</v>
      </c>
      <c r="Q15" s="66">
        <v>457177</v>
      </c>
      <c r="R15" s="295" t="s">
        <v>152</v>
      </c>
    </row>
    <row r="16" spans="1:18" s="63" customFormat="1" ht="16.2" thickBot="1" x14ac:dyDescent="0.35">
      <c r="A16" s="88" t="s">
        <v>36</v>
      </c>
      <c r="B16" s="87">
        <v>316073.27</v>
      </c>
      <c r="C16" s="72">
        <v>307146.01</v>
      </c>
      <c r="D16" s="72">
        <v>359595.91</v>
      </c>
      <c r="E16" s="72">
        <v>343938.32</v>
      </c>
      <c r="F16" s="72">
        <v>583400</v>
      </c>
      <c r="G16" s="71">
        <v>348759</v>
      </c>
      <c r="H16" s="71">
        <v>379053</v>
      </c>
      <c r="I16" s="71">
        <v>378723</v>
      </c>
      <c r="J16" s="71">
        <v>390910</v>
      </c>
      <c r="K16" s="71">
        <v>415135</v>
      </c>
      <c r="L16" s="71">
        <v>424147</v>
      </c>
      <c r="M16" s="71">
        <v>425488</v>
      </c>
      <c r="N16" s="71">
        <v>417049</v>
      </c>
      <c r="O16" s="71">
        <v>410327</v>
      </c>
      <c r="P16" s="71">
        <v>490397</v>
      </c>
      <c r="Q16" s="71">
        <v>449028</v>
      </c>
      <c r="R16" s="292" t="s">
        <v>152</v>
      </c>
    </row>
    <row r="17" spans="1:18" s="63" customFormat="1" ht="16.2" thickTop="1" x14ac:dyDescent="0.3">
      <c r="A17" s="89" t="s">
        <v>37</v>
      </c>
      <c r="B17" s="277">
        <f t="shared" ref="B17:P17" si="0">SUM(B5:B16)</f>
        <v>3650802.56</v>
      </c>
      <c r="C17" s="273">
        <f t="shared" si="0"/>
        <v>3869833.4699999997</v>
      </c>
      <c r="D17" s="273">
        <f t="shared" si="0"/>
        <v>3893032.1800000006</v>
      </c>
      <c r="E17" s="273">
        <f t="shared" si="0"/>
        <v>4101807.6399999997</v>
      </c>
      <c r="F17" s="273">
        <f t="shared" si="0"/>
        <v>4132892.4299999997</v>
      </c>
      <c r="G17" s="273">
        <f t="shared" si="0"/>
        <v>4171674</v>
      </c>
      <c r="H17" s="273">
        <f t="shared" si="0"/>
        <v>4271504</v>
      </c>
      <c r="I17" s="273">
        <f t="shared" si="0"/>
        <v>4492366</v>
      </c>
      <c r="J17" s="273">
        <f t="shared" si="0"/>
        <v>4639998</v>
      </c>
      <c r="K17" s="273">
        <f t="shared" si="0"/>
        <v>4728574</v>
      </c>
      <c r="L17" s="273">
        <f t="shared" si="0"/>
        <v>4921601</v>
      </c>
      <c r="M17" s="273">
        <f t="shared" si="0"/>
        <v>5191078</v>
      </c>
      <c r="N17" s="273">
        <f t="shared" si="0"/>
        <v>5068520</v>
      </c>
      <c r="O17" s="273">
        <f t="shared" si="0"/>
        <v>5045099</v>
      </c>
      <c r="P17" s="273">
        <f t="shared" si="0"/>
        <v>5209015</v>
      </c>
      <c r="Q17" s="273">
        <f t="shared" ref="Q17:R17" si="1">SUM(Q5:Q16)</f>
        <v>5215529</v>
      </c>
      <c r="R17" s="288">
        <f t="shared" si="1"/>
        <v>2492119</v>
      </c>
    </row>
    <row r="18" spans="1:18" s="113" customFormat="1" ht="6.6" x14ac:dyDescent="0.3">
      <c r="A18" s="371" t="s">
        <v>174</v>
      </c>
      <c r="B18" s="371"/>
      <c r="C18" s="371"/>
      <c r="D18" s="371"/>
      <c r="E18" s="371"/>
      <c r="F18" s="371"/>
      <c r="G18" s="371"/>
      <c r="H18" s="371"/>
      <c r="I18" s="371"/>
      <c r="J18" s="371"/>
      <c r="K18" s="371"/>
      <c r="L18" s="371"/>
      <c r="M18" s="371"/>
      <c r="N18" s="371"/>
      <c r="O18" s="371"/>
      <c r="P18" s="371"/>
      <c r="Q18" s="371"/>
      <c r="R18" s="371"/>
    </row>
    <row r="19" spans="1:18" s="106" customFormat="1" ht="18" x14ac:dyDescent="0.3">
      <c r="A19" s="370" t="s">
        <v>53</v>
      </c>
      <c r="B19" s="370"/>
      <c r="C19" s="370"/>
      <c r="D19" s="370"/>
      <c r="E19" s="370"/>
      <c r="F19" s="370"/>
      <c r="G19" s="370"/>
      <c r="H19" s="370"/>
      <c r="I19" s="370"/>
      <c r="J19" s="370"/>
      <c r="K19" s="370"/>
      <c r="L19" s="370"/>
      <c r="M19" s="370"/>
      <c r="N19" s="370"/>
      <c r="O19" s="370"/>
      <c r="P19" s="370"/>
      <c r="Q19" s="370"/>
      <c r="R19" s="370"/>
    </row>
    <row r="20" spans="1:18" s="63" customFormat="1" ht="15.6" x14ac:dyDescent="0.3">
      <c r="A20" s="77" t="s">
        <v>23</v>
      </c>
      <c r="B20" s="91">
        <v>2004</v>
      </c>
      <c r="C20" s="64">
        <v>2005</v>
      </c>
      <c r="D20" s="64">
        <v>2006</v>
      </c>
      <c r="E20" s="64">
        <v>2007</v>
      </c>
      <c r="F20" s="64">
        <v>2008</v>
      </c>
      <c r="G20" s="64">
        <v>2009</v>
      </c>
      <c r="H20" s="64">
        <v>2010</v>
      </c>
      <c r="I20" s="64">
        <v>2011</v>
      </c>
      <c r="J20" s="65">
        <v>2012</v>
      </c>
      <c r="K20" s="65">
        <v>2013</v>
      </c>
      <c r="L20" s="65">
        <v>2014</v>
      </c>
      <c r="M20" s="65">
        <v>2015</v>
      </c>
      <c r="N20" s="65">
        <v>2016</v>
      </c>
      <c r="O20" s="65">
        <v>2017</v>
      </c>
      <c r="P20" s="65">
        <v>2018</v>
      </c>
      <c r="Q20" s="65">
        <v>2019</v>
      </c>
      <c r="R20" s="49">
        <v>2020</v>
      </c>
    </row>
    <row r="21" spans="1:18" s="63" customFormat="1" ht="15.6" x14ac:dyDescent="0.3">
      <c r="A21" s="76" t="s">
        <v>24</v>
      </c>
      <c r="B21" s="278">
        <v>10580.81</v>
      </c>
      <c r="C21" s="272">
        <v>18758.93</v>
      </c>
      <c r="D21" s="271">
        <v>43376.56</v>
      </c>
      <c r="E21" s="271">
        <v>20755.73</v>
      </c>
      <c r="F21" s="271">
        <v>24855.84</v>
      </c>
      <c r="G21" s="271">
        <v>24714</v>
      </c>
      <c r="H21" s="271">
        <v>70129</v>
      </c>
      <c r="I21" s="271">
        <v>18047</v>
      </c>
      <c r="J21" s="271">
        <v>44561</v>
      </c>
      <c r="K21" s="271">
        <v>21556</v>
      </c>
      <c r="L21" s="271">
        <v>23472</v>
      </c>
      <c r="M21" s="271">
        <v>62651</v>
      </c>
      <c r="N21" s="271">
        <v>26525</v>
      </c>
      <c r="O21" s="271">
        <v>27210</v>
      </c>
      <c r="P21" s="271">
        <v>25279</v>
      </c>
      <c r="Q21" s="271">
        <v>26944</v>
      </c>
      <c r="R21" s="286">
        <v>14759</v>
      </c>
    </row>
    <row r="22" spans="1:18" s="63" customFormat="1" ht="15.6" x14ac:dyDescent="0.3">
      <c r="A22" s="75" t="s">
        <v>25</v>
      </c>
      <c r="B22" s="170">
        <v>10828.4</v>
      </c>
      <c r="C22" s="67">
        <v>16869.12</v>
      </c>
      <c r="D22" s="66">
        <v>18967.46</v>
      </c>
      <c r="E22" s="66">
        <v>19632.169999999998</v>
      </c>
      <c r="F22" s="66">
        <v>31783.26</v>
      </c>
      <c r="G22" s="66">
        <v>19724</v>
      </c>
      <c r="H22" s="66">
        <v>10594</v>
      </c>
      <c r="I22" s="66">
        <v>19742</v>
      </c>
      <c r="J22" s="66">
        <v>17311</v>
      </c>
      <c r="K22" s="66">
        <v>25706</v>
      </c>
      <c r="L22" s="66">
        <v>19361</v>
      </c>
      <c r="M22" s="66">
        <v>27080</v>
      </c>
      <c r="N22" s="66">
        <v>17719</v>
      </c>
      <c r="O22" s="66">
        <v>14448</v>
      </c>
      <c r="P22" s="66">
        <v>17600</v>
      </c>
      <c r="Q22" s="66">
        <v>25920</v>
      </c>
      <c r="R22" s="287">
        <v>7481</v>
      </c>
    </row>
    <row r="23" spans="1:18" s="63" customFormat="1" ht="15.6" x14ac:dyDescent="0.3">
      <c r="A23" s="75" t="s">
        <v>26</v>
      </c>
      <c r="B23" s="170">
        <v>12533.93</v>
      </c>
      <c r="C23" s="67">
        <v>-3128</v>
      </c>
      <c r="D23" s="66">
        <v>10959.82</v>
      </c>
      <c r="E23" s="66">
        <v>12783.15</v>
      </c>
      <c r="F23" s="66">
        <v>16631.97</v>
      </c>
      <c r="G23" s="66">
        <v>14346</v>
      </c>
      <c r="H23" s="66">
        <v>33956</v>
      </c>
      <c r="I23" s="66">
        <v>12275</v>
      </c>
      <c r="J23" s="66">
        <v>10377</v>
      </c>
      <c r="K23" s="66">
        <v>15200</v>
      </c>
      <c r="L23" s="66">
        <v>32694</v>
      </c>
      <c r="M23" s="66">
        <v>24514</v>
      </c>
      <c r="N23" s="66">
        <v>32054</v>
      </c>
      <c r="O23" s="66">
        <v>8314</v>
      </c>
      <c r="P23" s="66">
        <v>17083</v>
      </c>
      <c r="Q23" s="66">
        <v>14892</v>
      </c>
      <c r="R23" s="287">
        <v>13565</v>
      </c>
    </row>
    <row r="24" spans="1:18" s="63" customFormat="1" ht="15.6" x14ac:dyDescent="0.3">
      <c r="A24" s="75" t="s">
        <v>27</v>
      </c>
      <c r="B24" s="170">
        <v>9639.49</v>
      </c>
      <c r="C24" s="67">
        <v>20454.57</v>
      </c>
      <c r="D24" s="66">
        <v>18656.77</v>
      </c>
      <c r="E24" s="66">
        <v>18604.04</v>
      </c>
      <c r="F24" s="66">
        <v>29242.92</v>
      </c>
      <c r="G24" s="66">
        <v>10839</v>
      </c>
      <c r="H24" s="66">
        <v>16677</v>
      </c>
      <c r="I24" s="66">
        <v>13706</v>
      </c>
      <c r="J24" s="66">
        <v>16021</v>
      </c>
      <c r="K24" s="66">
        <v>17912</v>
      </c>
      <c r="L24" s="66">
        <v>15111</v>
      </c>
      <c r="M24" s="66">
        <v>24427</v>
      </c>
      <c r="N24" s="66">
        <v>18173</v>
      </c>
      <c r="O24" s="66">
        <v>19741</v>
      </c>
      <c r="P24" s="66">
        <v>20680</v>
      </c>
      <c r="Q24" s="66">
        <v>24822</v>
      </c>
      <c r="R24" s="287">
        <v>14552</v>
      </c>
    </row>
    <row r="25" spans="1:18" s="63" customFormat="1" ht="15.6" x14ac:dyDescent="0.3">
      <c r="A25" s="75" t="s">
        <v>28</v>
      </c>
      <c r="B25" s="170">
        <v>11193</v>
      </c>
      <c r="C25" s="67">
        <v>25814.76</v>
      </c>
      <c r="D25" s="66">
        <v>12080.73</v>
      </c>
      <c r="E25" s="66">
        <v>12298.85</v>
      </c>
      <c r="F25" s="66">
        <v>24536.14</v>
      </c>
      <c r="G25" s="66">
        <v>18316</v>
      </c>
      <c r="H25" s="66">
        <v>11129</v>
      </c>
      <c r="I25" s="66">
        <v>18119</v>
      </c>
      <c r="J25" s="66">
        <v>10553</v>
      </c>
      <c r="K25" s="66">
        <v>15025</v>
      </c>
      <c r="L25" s="66">
        <v>28674</v>
      </c>
      <c r="M25" s="66">
        <v>40752</v>
      </c>
      <c r="N25" s="66">
        <v>15692</v>
      </c>
      <c r="O25" s="66">
        <v>16173</v>
      </c>
      <c r="P25" s="66">
        <v>17593</v>
      </c>
      <c r="Q25" s="66">
        <v>18022</v>
      </c>
      <c r="R25" s="287">
        <v>-6095</v>
      </c>
    </row>
    <row r="26" spans="1:18" s="63" customFormat="1" ht="15.6" x14ac:dyDescent="0.3">
      <c r="A26" s="75" t="s">
        <v>29</v>
      </c>
      <c r="B26" s="170">
        <v>10635.14</v>
      </c>
      <c r="C26" s="67">
        <v>27039.65</v>
      </c>
      <c r="D26" s="66">
        <v>12518.48</v>
      </c>
      <c r="E26" s="66">
        <v>40304.33</v>
      </c>
      <c r="F26" s="66">
        <v>12018.18</v>
      </c>
      <c r="G26" s="66">
        <v>14571</v>
      </c>
      <c r="H26" s="66">
        <v>11824</v>
      </c>
      <c r="I26" s="66">
        <v>14357</v>
      </c>
      <c r="J26" s="66">
        <v>20219</v>
      </c>
      <c r="K26" s="66">
        <v>23063</v>
      </c>
      <c r="L26" s="66">
        <v>16423</v>
      </c>
      <c r="M26" s="66">
        <v>16069</v>
      </c>
      <c r="N26" s="66">
        <v>12761</v>
      </c>
      <c r="O26" s="66">
        <v>14638</v>
      </c>
      <c r="P26" s="66">
        <v>21145</v>
      </c>
      <c r="Q26" s="66">
        <v>19555</v>
      </c>
      <c r="R26" s="287">
        <v>12925</v>
      </c>
    </row>
    <row r="27" spans="1:18" s="63" customFormat="1" ht="15.6" x14ac:dyDescent="0.3">
      <c r="A27" s="75" t="s">
        <v>30</v>
      </c>
      <c r="B27" s="170">
        <v>12708.72</v>
      </c>
      <c r="C27" s="67">
        <v>29328.26</v>
      </c>
      <c r="D27" s="66">
        <v>22312.06</v>
      </c>
      <c r="E27" s="66">
        <v>23951.57</v>
      </c>
      <c r="F27" s="66">
        <v>15363</v>
      </c>
      <c r="G27" s="66">
        <v>15488</v>
      </c>
      <c r="H27" s="66">
        <v>19228</v>
      </c>
      <c r="I27" s="66">
        <v>22450</v>
      </c>
      <c r="J27" s="66">
        <v>18483</v>
      </c>
      <c r="K27" s="66">
        <v>16329</v>
      </c>
      <c r="L27" s="66">
        <v>20341</v>
      </c>
      <c r="M27" s="66">
        <v>22410</v>
      </c>
      <c r="N27" s="66">
        <v>19075</v>
      </c>
      <c r="O27" s="66">
        <v>19734</v>
      </c>
      <c r="P27" s="66">
        <v>24931</v>
      </c>
      <c r="Q27" s="66">
        <v>14504</v>
      </c>
      <c r="R27" s="295" t="s">
        <v>152</v>
      </c>
    </row>
    <row r="28" spans="1:18" s="63" customFormat="1" ht="15.6" x14ac:dyDescent="0.3">
      <c r="A28" s="75" t="s">
        <v>31</v>
      </c>
      <c r="B28" s="170">
        <v>14039.07</v>
      </c>
      <c r="C28" s="67">
        <v>21011.16</v>
      </c>
      <c r="D28" s="66">
        <v>20906.79</v>
      </c>
      <c r="E28" s="66">
        <v>15900.48</v>
      </c>
      <c r="F28" s="66">
        <v>27391.63</v>
      </c>
      <c r="G28" s="66">
        <v>19791</v>
      </c>
      <c r="H28" s="66">
        <v>20565</v>
      </c>
      <c r="I28" s="66">
        <v>16145</v>
      </c>
      <c r="J28" s="66">
        <v>16225</v>
      </c>
      <c r="K28" s="66">
        <v>31057</v>
      </c>
      <c r="L28" s="66">
        <v>13566</v>
      </c>
      <c r="M28" s="66">
        <v>39971</v>
      </c>
      <c r="N28" s="66">
        <v>33472</v>
      </c>
      <c r="O28" s="66">
        <v>20567</v>
      </c>
      <c r="P28" s="66">
        <v>23038</v>
      </c>
      <c r="Q28" s="66">
        <v>22290</v>
      </c>
      <c r="R28" s="295" t="s">
        <v>152</v>
      </c>
    </row>
    <row r="29" spans="1:18" s="63" customFormat="1" ht="15.6" x14ac:dyDescent="0.3">
      <c r="A29" s="75" t="s">
        <v>32</v>
      </c>
      <c r="B29" s="170">
        <v>25219.59</v>
      </c>
      <c r="C29" s="67">
        <v>92005.18</v>
      </c>
      <c r="D29" s="66">
        <v>15847.2</v>
      </c>
      <c r="E29" s="66">
        <v>12066.62</v>
      </c>
      <c r="F29" s="66">
        <v>15591.64</v>
      </c>
      <c r="G29" s="66">
        <v>15061</v>
      </c>
      <c r="H29" s="66">
        <v>15347</v>
      </c>
      <c r="I29" s="66">
        <v>28200</v>
      </c>
      <c r="J29" s="66">
        <v>18960</v>
      </c>
      <c r="K29" s="66">
        <v>13073</v>
      </c>
      <c r="L29" s="66">
        <v>17546</v>
      </c>
      <c r="M29" s="66">
        <v>22837</v>
      </c>
      <c r="N29" s="66">
        <v>15454</v>
      </c>
      <c r="O29" s="66">
        <v>29431</v>
      </c>
      <c r="P29" s="66">
        <v>19184</v>
      </c>
      <c r="Q29" s="66">
        <v>17181</v>
      </c>
      <c r="R29" s="295" t="s">
        <v>152</v>
      </c>
    </row>
    <row r="30" spans="1:18" s="63" customFormat="1" ht="15.6" x14ac:dyDescent="0.3">
      <c r="A30" s="75" t="s">
        <v>33</v>
      </c>
      <c r="B30" s="170">
        <v>14040.28</v>
      </c>
      <c r="C30" s="67">
        <v>26765.81</v>
      </c>
      <c r="D30" s="66">
        <v>30800.71</v>
      </c>
      <c r="E30" s="66">
        <v>21041.81</v>
      </c>
      <c r="F30" s="66">
        <v>25955.219999999998</v>
      </c>
      <c r="G30" s="66">
        <v>29099</v>
      </c>
      <c r="H30" s="66">
        <v>15367</v>
      </c>
      <c r="I30" s="66">
        <v>19403</v>
      </c>
      <c r="J30" s="66">
        <v>15729</v>
      </c>
      <c r="K30" s="66">
        <v>22222</v>
      </c>
      <c r="L30" s="66">
        <v>30308</v>
      </c>
      <c r="M30" s="66">
        <v>25109</v>
      </c>
      <c r="N30" s="66">
        <v>21282</v>
      </c>
      <c r="O30" s="66">
        <v>26303</v>
      </c>
      <c r="P30" s="66">
        <v>27387</v>
      </c>
      <c r="Q30" s="66">
        <v>21148</v>
      </c>
      <c r="R30" s="295" t="s">
        <v>152</v>
      </c>
    </row>
    <row r="31" spans="1:18" s="63" customFormat="1" ht="15.6" x14ac:dyDescent="0.3">
      <c r="A31" s="75" t="s">
        <v>34</v>
      </c>
      <c r="B31" s="170">
        <v>15688.01</v>
      </c>
      <c r="C31" s="67">
        <v>20565.88</v>
      </c>
      <c r="D31" s="66">
        <v>16857.72</v>
      </c>
      <c r="E31" s="66">
        <v>14663.16</v>
      </c>
      <c r="F31" s="66" t="s">
        <v>35</v>
      </c>
      <c r="G31" s="66">
        <v>14736</v>
      </c>
      <c r="H31" s="66">
        <v>12479</v>
      </c>
      <c r="I31" s="66">
        <v>14665</v>
      </c>
      <c r="J31" s="66">
        <v>29383</v>
      </c>
      <c r="K31" s="66">
        <v>22835</v>
      </c>
      <c r="L31" s="66">
        <v>29045</v>
      </c>
      <c r="M31" s="66">
        <v>16648</v>
      </c>
      <c r="N31" s="66">
        <v>14452</v>
      </c>
      <c r="O31" s="66">
        <v>18324</v>
      </c>
      <c r="P31" s="66">
        <v>23081</v>
      </c>
      <c r="Q31" s="66">
        <v>20750</v>
      </c>
      <c r="R31" s="295" t="s">
        <v>152</v>
      </c>
    </row>
    <row r="32" spans="1:18" s="63" customFormat="1" ht="16.2" thickBot="1" x14ac:dyDescent="0.35">
      <c r="A32" s="88" t="s">
        <v>36</v>
      </c>
      <c r="B32" s="87">
        <v>12495.94</v>
      </c>
      <c r="C32" s="72">
        <v>220707.62</v>
      </c>
      <c r="D32" s="72">
        <v>12112.55</v>
      </c>
      <c r="E32" s="72">
        <v>20545.97</v>
      </c>
      <c r="F32" s="72">
        <v>32237</v>
      </c>
      <c r="G32" s="71">
        <v>13044</v>
      </c>
      <c r="H32" s="71">
        <v>12153</v>
      </c>
      <c r="I32" s="71">
        <v>12945</v>
      </c>
      <c r="J32" s="71">
        <v>24119</v>
      </c>
      <c r="K32" s="71">
        <v>22296</v>
      </c>
      <c r="L32" s="71">
        <v>31914</v>
      </c>
      <c r="M32" s="71">
        <v>15355</v>
      </c>
      <c r="N32" s="71">
        <v>15750</v>
      </c>
      <c r="O32" s="71">
        <v>18376</v>
      </c>
      <c r="P32" s="71">
        <v>24213</v>
      </c>
      <c r="Q32" s="71">
        <v>16191</v>
      </c>
      <c r="R32" s="292" t="s">
        <v>152</v>
      </c>
    </row>
    <row r="33" spans="1:18" s="63" customFormat="1" ht="16.2" thickTop="1" x14ac:dyDescent="0.3">
      <c r="A33" s="89" t="s">
        <v>37</v>
      </c>
      <c r="B33" s="277">
        <f t="shared" ref="B33:P33" si="2">SUM(B21:B32)</f>
        <v>159602.38</v>
      </c>
      <c r="C33" s="273">
        <f t="shared" si="2"/>
        <v>516192.94</v>
      </c>
      <c r="D33" s="273">
        <f t="shared" si="2"/>
        <v>235396.85</v>
      </c>
      <c r="E33" s="273">
        <f t="shared" si="2"/>
        <v>232547.88</v>
      </c>
      <c r="F33" s="273">
        <f t="shared" si="2"/>
        <v>255606.80000000002</v>
      </c>
      <c r="G33" s="273">
        <f t="shared" si="2"/>
        <v>209729</v>
      </c>
      <c r="H33" s="273">
        <f t="shared" si="2"/>
        <v>249448</v>
      </c>
      <c r="I33" s="273">
        <f t="shared" si="2"/>
        <v>210054</v>
      </c>
      <c r="J33" s="273">
        <f t="shared" si="2"/>
        <v>241941</v>
      </c>
      <c r="K33" s="273">
        <f t="shared" si="2"/>
        <v>246274</v>
      </c>
      <c r="L33" s="273">
        <f t="shared" si="2"/>
        <v>278455</v>
      </c>
      <c r="M33" s="273">
        <f t="shared" si="2"/>
        <v>337823</v>
      </c>
      <c r="N33" s="273">
        <f t="shared" si="2"/>
        <v>242409</v>
      </c>
      <c r="O33" s="273">
        <f t="shared" si="2"/>
        <v>233259</v>
      </c>
      <c r="P33" s="273">
        <f t="shared" si="2"/>
        <v>261214</v>
      </c>
      <c r="Q33" s="273">
        <f t="shared" ref="Q33:R33" si="3">SUM(Q21:Q32)</f>
        <v>242219</v>
      </c>
      <c r="R33" s="288">
        <f t="shared" si="3"/>
        <v>57187</v>
      </c>
    </row>
    <row r="34" spans="1:18" s="113" customFormat="1" ht="6.6" x14ac:dyDescent="0.3">
      <c r="A34" s="371" t="s">
        <v>174</v>
      </c>
      <c r="B34" s="371"/>
      <c r="C34" s="371"/>
      <c r="D34" s="371"/>
      <c r="E34" s="371"/>
      <c r="F34" s="371"/>
      <c r="G34" s="371"/>
      <c r="H34" s="371"/>
      <c r="I34" s="371"/>
      <c r="J34" s="371"/>
      <c r="K34" s="371"/>
      <c r="L34" s="371"/>
      <c r="M34" s="371"/>
      <c r="N34" s="371"/>
      <c r="O34" s="371"/>
      <c r="P34" s="371"/>
      <c r="Q34" s="371"/>
      <c r="R34" s="371"/>
    </row>
    <row r="35" spans="1:18" s="106" customFormat="1" ht="18" x14ac:dyDescent="0.3">
      <c r="A35" s="370" t="s">
        <v>118</v>
      </c>
      <c r="B35" s="370"/>
      <c r="C35" s="370"/>
      <c r="D35" s="370"/>
      <c r="E35" s="370"/>
      <c r="F35" s="370"/>
      <c r="G35" s="370"/>
      <c r="H35" s="370"/>
      <c r="I35" s="370"/>
      <c r="J35" s="370"/>
      <c r="K35" s="370"/>
      <c r="L35" s="370"/>
      <c r="M35" s="370"/>
      <c r="N35" s="370"/>
      <c r="O35" s="370"/>
      <c r="P35" s="370"/>
      <c r="Q35" s="370"/>
      <c r="R35" s="370"/>
    </row>
    <row r="36" spans="1:18" s="63" customFormat="1" ht="15.6" x14ac:dyDescent="0.3">
      <c r="A36" s="77" t="s">
        <v>23</v>
      </c>
      <c r="B36" s="91">
        <v>2004</v>
      </c>
      <c r="C36" s="64">
        <v>2005</v>
      </c>
      <c r="D36" s="64">
        <v>2006</v>
      </c>
      <c r="E36" s="64">
        <v>2007</v>
      </c>
      <c r="F36" s="64">
        <v>2008</v>
      </c>
      <c r="G36" s="64">
        <v>2009</v>
      </c>
      <c r="H36" s="64">
        <v>2010</v>
      </c>
      <c r="I36" s="64">
        <v>2011</v>
      </c>
      <c r="J36" s="65">
        <v>2012</v>
      </c>
      <c r="K36" s="65">
        <v>2013</v>
      </c>
      <c r="L36" s="65">
        <v>2014</v>
      </c>
      <c r="M36" s="65">
        <v>2015</v>
      </c>
      <c r="N36" s="65">
        <v>2016</v>
      </c>
      <c r="O36" s="65">
        <v>2017</v>
      </c>
      <c r="P36" s="65">
        <v>2018</v>
      </c>
      <c r="Q36" s="65">
        <v>2019</v>
      </c>
      <c r="R36" s="49">
        <v>2020</v>
      </c>
    </row>
    <row r="37" spans="1:18" s="63" customFormat="1" ht="15.6" x14ac:dyDescent="0.3">
      <c r="A37" s="76" t="s">
        <v>24</v>
      </c>
      <c r="B37" s="108" t="s">
        <v>152</v>
      </c>
      <c r="C37" s="107" t="s">
        <v>152</v>
      </c>
      <c r="D37" s="83" t="s">
        <v>152</v>
      </c>
      <c r="E37" s="83" t="s">
        <v>152</v>
      </c>
      <c r="F37" s="83" t="s">
        <v>152</v>
      </c>
      <c r="G37" s="271">
        <v>-20371</v>
      </c>
      <c r="H37" s="271">
        <v>-47192</v>
      </c>
      <c r="I37" s="271">
        <v>-399</v>
      </c>
      <c r="J37" s="271">
        <v>-17932</v>
      </c>
      <c r="K37" s="271">
        <v>-9576</v>
      </c>
      <c r="L37" s="271">
        <v>-15367</v>
      </c>
      <c r="M37" s="271">
        <v>-4771</v>
      </c>
      <c r="N37" s="271">
        <v>-3254</v>
      </c>
      <c r="O37" s="271">
        <v>-14</v>
      </c>
      <c r="P37" s="271">
        <v>-262</v>
      </c>
      <c r="Q37" s="271">
        <v>-1036</v>
      </c>
      <c r="R37" s="286">
        <v>-11245</v>
      </c>
    </row>
    <row r="38" spans="1:18" s="63" customFormat="1" ht="15.6" x14ac:dyDescent="0.3">
      <c r="A38" s="75" t="s">
        <v>25</v>
      </c>
      <c r="B38" s="170" t="s">
        <v>152</v>
      </c>
      <c r="C38" s="67" t="s">
        <v>152</v>
      </c>
      <c r="D38" s="66" t="s">
        <v>152</v>
      </c>
      <c r="E38" s="66" t="s">
        <v>152</v>
      </c>
      <c r="F38" s="66" t="s">
        <v>152</v>
      </c>
      <c r="G38" s="66">
        <v>-737</v>
      </c>
      <c r="H38" s="66">
        <v>-1221</v>
      </c>
      <c r="I38" s="66">
        <v>-16006</v>
      </c>
      <c r="J38" s="66">
        <v>-5136</v>
      </c>
      <c r="K38" s="66">
        <v>-38636</v>
      </c>
      <c r="L38" s="66">
        <v>-17644</v>
      </c>
      <c r="M38" s="66">
        <v>-12432</v>
      </c>
      <c r="N38" s="66">
        <v>-8</v>
      </c>
      <c r="O38" s="66">
        <v>-705</v>
      </c>
      <c r="P38" s="66">
        <v>-1106</v>
      </c>
      <c r="Q38" s="66">
        <v>-9126</v>
      </c>
      <c r="R38" s="287">
        <v>-2020</v>
      </c>
    </row>
    <row r="39" spans="1:18" s="63" customFormat="1" ht="15.6" x14ac:dyDescent="0.3">
      <c r="A39" s="75" t="s">
        <v>26</v>
      </c>
      <c r="B39" s="170" t="s">
        <v>152</v>
      </c>
      <c r="C39" s="67" t="s">
        <v>152</v>
      </c>
      <c r="D39" s="66" t="s">
        <v>152</v>
      </c>
      <c r="E39" s="66" t="s">
        <v>152</v>
      </c>
      <c r="F39" s="66" t="s">
        <v>152</v>
      </c>
      <c r="G39" s="66">
        <v>-17600</v>
      </c>
      <c r="H39" s="66">
        <v>-22386</v>
      </c>
      <c r="I39" s="66">
        <v>-6051</v>
      </c>
      <c r="J39" s="66">
        <v>-1147</v>
      </c>
      <c r="K39" s="66">
        <v>-22677</v>
      </c>
      <c r="L39" s="66">
        <v>-13333</v>
      </c>
      <c r="M39" s="66">
        <v>-8895</v>
      </c>
      <c r="N39" s="66">
        <v>-5740</v>
      </c>
      <c r="O39" s="66">
        <v>-8813</v>
      </c>
      <c r="P39" s="66">
        <v>-2553</v>
      </c>
      <c r="Q39" s="66">
        <v>-98</v>
      </c>
      <c r="R39" s="287">
        <v>-5213</v>
      </c>
    </row>
    <row r="40" spans="1:18" s="63" customFormat="1" ht="15.6" x14ac:dyDescent="0.3">
      <c r="A40" s="75" t="s">
        <v>27</v>
      </c>
      <c r="B40" s="170" t="s">
        <v>152</v>
      </c>
      <c r="C40" s="67" t="s">
        <v>152</v>
      </c>
      <c r="D40" s="66" t="s">
        <v>152</v>
      </c>
      <c r="E40" s="66" t="s">
        <v>152</v>
      </c>
      <c r="F40" s="66" t="s">
        <v>152</v>
      </c>
      <c r="G40" s="66">
        <v>-4928</v>
      </c>
      <c r="H40" s="66">
        <v>-1648</v>
      </c>
      <c r="I40" s="66">
        <v>-33819</v>
      </c>
      <c r="J40" s="66">
        <v>-191</v>
      </c>
      <c r="K40" s="66">
        <v>-4843</v>
      </c>
      <c r="L40" s="66">
        <v>-2593</v>
      </c>
      <c r="M40" s="66">
        <v>-13437</v>
      </c>
      <c r="N40" s="66">
        <v>-6994</v>
      </c>
      <c r="O40" s="66">
        <v>-10204</v>
      </c>
      <c r="P40" s="66">
        <v>-3038</v>
      </c>
      <c r="Q40" s="66">
        <v>-11282</v>
      </c>
      <c r="R40" s="287">
        <v>-1356</v>
      </c>
    </row>
    <row r="41" spans="1:18" s="63" customFormat="1" ht="15.6" x14ac:dyDescent="0.3">
      <c r="A41" s="75" t="s">
        <v>28</v>
      </c>
      <c r="B41" s="170" t="s">
        <v>152</v>
      </c>
      <c r="C41" s="67" t="s">
        <v>152</v>
      </c>
      <c r="D41" s="66" t="s">
        <v>152</v>
      </c>
      <c r="E41" s="66" t="s">
        <v>152</v>
      </c>
      <c r="F41" s="66" t="s">
        <v>152</v>
      </c>
      <c r="G41" s="66">
        <v>-18545</v>
      </c>
      <c r="H41" s="66">
        <v>-2567</v>
      </c>
      <c r="I41" s="66">
        <v>-4238</v>
      </c>
      <c r="J41" s="66">
        <v>-7128</v>
      </c>
      <c r="K41" s="66">
        <v>-1020</v>
      </c>
      <c r="L41" s="66">
        <v>-52523</v>
      </c>
      <c r="M41" s="66">
        <v>-3992</v>
      </c>
      <c r="N41" s="66">
        <v>-19566</v>
      </c>
      <c r="O41" s="66">
        <v>-1134</v>
      </c>
      <c r="P41" s="66">
        <v>-1019</v>
      </c>
      <c r="Q41" s="66">
        <v>-628</v>
      </c>
      <c r="R41" s="287">
        <v>-14065</v>
      </c>
    </row>
    <row r="42" spans="1:18" s="63" customFormat="1" ht="15.6" x14ac:dyDescent="0.3">
      <c r="A42" s="75" t="s">
        <v>29</v>
      </c>
      <c r="B42" s="170" t="s">
        <v>152</v>
      </c>
      <c r="C42" s="67" t="s">
        <v>152</v>
      </c>
      <c r="D42" s="66" t="s">
        <v>152</v>
      </c>
      <c r="E42" s="66" t="s">
        <v>152</v>
      </c>
      <c r="F42" s="66" t="s">
        <v>152</v>
      </c>
      <c r="G42" s="66">
        <v>-3021</v>
      </c>
      <c r="H42" s="66">
        <v>-25588</v>
      </c>
      <c r="I42" s="66">
        <v>-5672</v>
      </c>
      <c r="J42" s="66">
        <v>-5900</v>
      </c>
      <c r="K42" s="66">
        <v>-1638</v>
      </c>
      <c r="L42" s="66">
        <v>-81</v>
      </c>
      <c r="M42" s="66">
        <v>-453</v>
      </c>
      <c r="N42" s="66">
        <v>-2574</v>
      </c>
      <c r="O42" s="66">
        <v>-4026</v>
      </c>
      <c r="P42" s="66">
        <v>-161</v>
      </c>
      <c r="Q42" s="66">
        <v>-453</v>
      </c>
      <c r="R42" s="287">
        <v>-304</v>
      </c>
    </row>
    <row r="43" spans="1:18" s="63" customFormat="1" ht="15.6" x14ac:dyDescent="0.3">
      <c r="A43" s="75" t="s">
        <v>30</v>
      </c>
      <c r="B43" s="170" t="s">
        <v>152</v>
      </c>
      <c r="C43" s="67" t="s">
        <v>152</v>
      </c>
      <c r="D43" s="66" t="s">
        <v>152</v>
      </c>
      <c r="E43" s="66" t="s">
        <v>152</v>
      </c>
      <c r="F43" s="66" t="s">
        <v>152</v>
      </c>
      <c r="G43" s="66">
        <v>-3618</v>
      </c>
      <c r="H43" s="66">
        <v>-2312</v>
      </c>
      <c r="I43" s="66">
        <v>-19688</v>
      </c>
      <c r="J43" s="66">
        <v>-23332</v>
      </c>
      <c r="K43" s="66">
        <v>-6659</v>
      </c>
      <c r="L43" s="66">
        <v>-2514</v>
      </c>
      <c r="M43" s="66">
        <v>-41</v>
      </c>
      <c r="N43" s="66">
        <v>-21874</v>
      </c>
      <c r="O43" s="66">
        <v>-214</v>
      </c>
      <c r="P43" s="66">
        <v>-1705</v>
      </c>
      <c r="Q43" s="66">
        <v>-189</v>
      </c>
      <c r="R43" s="295" t="s">
        <v>152</v>
      </c>
    </row>
    <row r="44" spans="1:18" s="63" customFormat="1" ht="15.6" x14ac:dyDescent="0.3">
      <c r="A44" s="75" t="s">
        <v>31</v>
      </c>
      <c r="B44" s="170" t="s">
        <v>152</v>
      </c>
      <c r="C44" s="67" t="s">
        <v>152</v>
      </c>
      <c r="D44" s="66" t="s">
        <v>152</v>
      </c>
      <c r="E44" s="66" t="s">
        <v>152</v>
      </c>
      <c r="F44" s="66" t="s">
        <v>152</v>
      </c>
      <c r="G44" s="66">
        <v>-10924</v>
      </c>
      <c r="H44" s="66">
        <v>-2124</v>
      </c>
      <c r="I44" s="66">
        <v>-1094</v>
      </c>
      <c r="J44" s="66">
        <v>-52</v>
      </c>
      <c r="K44" s="66">
        <v>-12965</v>
      </c>
      <c r="L44" s="66">
        <v>-1527</v>
      </c>
      <c r="M44" s="66">
        <v>-5734</v>
      </c>
      <c r="N44" s="66">
        <v>-43155</v>
      </c>
      <c r="O44" s="66">
        <v>-226</v>
      </c>
      <c r="P44" s="66">
        <v>-767</v>
      </c>
      <c r="Q44" s="66">
        <v>-11</v>
      </c>
      <c r="R44" s="295" t="s">
        <v>152</v>
      </c>
    </row>
    <row r="45" spans="1:18" s="63" customFormat="1" ht="15.6" x14ac:dyDescent="0.3">
      <c r="A45" s="75" t="s">
        <v>32</v>
      </c>
      <c r="B45" s="170" t="s">
        <v>152</v>
      </c>
      <c r="C45" s="67" t="s">
        <v>152</v>
      </c>
      <c r="D45" s="66" t="s">
        <v>152</v>
      </c>
      <c r="E45" s="66" t="s">
        <v>152</v>
      </c>
      <c r="F45" s="66" t="s">
        <v>152</v>
      </c>
      <c r="G45" s="66">
        <v>0</v>
      </c>
      <c r="H45" s="66">
        <v>-46</v>
      </c>
      <c r="I45" s="66">
        <v>-3664</v>
      </c>
      <c r="J45" s="66">
        <v>-3931</v>
      </c>
      <c r="K45" s="66">
        <v>-653</v>
      </c>
      <c r="L45" s="66">
        <v>-1507</v>
      </c>
      <c r="M45" s="66">
        <v>-1668</v>
      </c>
      <c r="N45" s="66">
        <v>-39152</v>
      </c>
      <c r="O45" s="66">
        <v>-2533</v>
      </c>
      <c r="P45" s="66">
        <v>0</v>
      </c>
      <c r="Q45" s="66">
        <v>-3705</v>
      </c>
      <c r="R45" s="295" t="s">
        <v>152</v>
      </c>
    </row>
    <row r="46" spans="1:18" s="63" customFormat="1" ht="15.6" x14ac:dyDescent="0.3">
      <c r="A46" s="75" t="s">
        <v>33</v>
      </c>
      <c r="B46" s="170" t="s">
        <v>152</v>
      </c>
      <c r="C46" s="67" t="s">
        <v>152</v>
      </c>
      <c r="D46" s="66" t="s">
        <v>152</v>
      </c>
      <c r="E46" s="66" t="s">
        <v>152</v>
      </c>
      <c r="F46" s="66" t="s">
        <v>152</v>
      </c>
      <c r="G46" s="66">
        <v>-7130</v>
      </c>
      <c r="H46" s="66">
        <v>-97</v>
      </c>
      <c r="I46" s="66">
        <v>-2508</v>
      </c>
      <c r="J46" s="66">
        <v>-21682</v>
      </c>
      <c r="K46" s="66">
        <v>-16511</v>
      </c>
      <c r="L46" s="66">
        <v>-61910</v>
      </c>
      <c r="M46" s="66">
        <v>-9402</v>
      </c>
      <c r="N46" s="66">
        <v>-7848</v>
      </c>
      <c r="O46" s="66">
        <v>-780</v>
      </c>
      <c r="P46" s="66">
        <v>-288</v>
      </c>
      <c r="Q46" s="66">
        <v>0</v>
      </c>
      <c r="R46" s="295" t="s">
        <v>152</v>
      </c>
    </row>
    <row r="47" spans="1:18" s="63" customFormat="1" ht="15.6" x14ac:dyDescent="0.3">
      <c r="A47" s="75" t="s">
        <v>34</v>
      </c>
      <c r="B47" s="170" t="s">
        <v>152</v>
      </c>
      <c r="C47" s="67" t="s">
        <v>152</v>
      </c>
      <c r="D47" s="66" t="s">
        <v>152</v>
      </c>
      <c r="E47" s="66" t="s">
        <v>152</v>
      </c>
      <c r="F47" s="66" t="s">
        <v>152</v>
      </c>
      <c r="G47" s="66">
        <v>-2050</v>
      </c>
      <c r="H47" s="66">
        <v>-30953</v>
      </c>
      <c r="I47" s="66">
        <v>-653</v>
      </c>
      <c r="J47" s="66">
        <v>-627</v>
      </c>
      <c r="K47" s="66">
        <v>-6841</v>
      </c>
      <c r="L47" s="66">
        <v>-5547</v>
      </c>
      <c r="M47" s="66">
        <v>-4471</v>
      </c>
      <c r="N47" s="66">
        <v>0</v>
      </c>
      <c r="O47" s="66">
        <v>-9270</v>
      </c>
      <c r="P47" s="66">
        <v>-397</v>
      </c>
      <c r="Q47" s="66">
        <v>-3995</v>
      </c>
      <c r="R47" s="295" t="s">
        <v>152</v>
      </c>
    </row>
    <row r="48" spans="1:18" s="63" customFormat="1" ht="16.2" thickBot="1" x14ac:dyDescent="0.35">
      <c r="A48" s="88" t="s">
        <v>36</v>
      </c>
      <c r="B48" s="87" t="s">
        <v>152</v>
      </c>
      <c r="C48" s="72" t="s">
        <v>152</v>
      </c>
      <c r="D48" s="72" t="s">
        <v>152</v>
      </c>
      <c r="E48" s="72" t="s">
        <v>152</v>
      </c>
      <c r="F48" s="274">
        <v>-136</v>
      </c>
      <c r="G48" s="71">
        <v>-9434</v>
      </c>
      <c r="H48" s="71">
        <v>-68</v>
      </c>
      <c r="I48" s="71">
        <v>-3019</v>
      </c>
      <c r="J48" s="71">
        <v>-11496</v>
      </c>
      <c r="K48" s="71">
        <v>-835</v>
      </c>
      <c r="L48" s="71">
        <v>-12548</v>
      </c>
      <c r="M48" s="71">
        <v>-10347</v>
      </c>
      <c r="N48" s="71">
        <v>-789</v>
      </c>
      <c r="O48" s="71">
        <v>-4248</v>
      </c>
      <c r="P48" s="71">
        <v>-7733</v>
      </c>
      <c r="Q48" s="71">
        <v>-997</v>
      </c>
      <c r="R48" s="292" t="s">
        <v>152</v>
      </c>
    </row>
    <row r="49" spans="1:18" s="63" customFormat="1" ht="16.2" thickTop="1" x14ac:dyDescent="0.3">
      <c r="A49" s="89" t="s">
        <v>37</v>
      </c>
      <c r="B49" s="90" t="s">
        <v>152</v>
      </c>
      <c r="C49" s="73" t="s">
        <v>152</v>
      </c>
      <c r="D49" s="73" t="s">
        <v>152</v>
      </c>
      <c r="E49" s="73" t="s">
        <v>152</v>
      </c>
      <c r="F49" s="273">
        <f t="shared" ref="F49:P49" si="4">SUM(F37:F48)</f>
        <v>-136</v>
      </c>
      <c r="G49" s="273">
        <f t="shared" si="4"/>
        <v>-98358</v>
      </c>
      <c r="H49" s="273">
        <f t="shared" si="4"/>
        <v>-136202</v>
      </c>
      <c r="I49" s="273">
        <f t="shared" si="4"/>
        <v>-96811</v>
      </c>
      <c r="J49" s="273">
        <f t="shared" si="4"/>
        <v>-98554</v>
      </c>
      <c r="K49" s="273">
        <f t="shared" si="4"/>
        <v>-122854</v>
      </c>
      <c r="L49" s="273">
        <f t="shared" si="4"/>
        <v>-187094</v>
      </c>
      <c r="M49" s="273">
        <f t="shared" si="4"/>
        <v>-75643</v>
      </c>
      <c r="N49" s="273">
        <f t="shared" si="4"/>
        <v>-150954</v>
      </c>
      <c r="O49" s="273">
        <f t="shared" si="4"/>
        <v>-42167</v>
      </c>
      <c r="P49" s="273">
        <f t="shared" si="4"/>
        <v>-19029</v>
      </c>
      <c r="Q49" s="273">
        <f t="shared" ref="Q49:R49" si="5">SUM(Q37:Q48)</f>
        <v>-31520</v>
      </c>
      <c r="R49" s="288">
        <f t="shared" si="5"/>
        <v>-34203</v>
      </c>
    </row>
    <row r="50" spans="1:18" s="113" customFormat="1" ht="6.6" x14ac:dyDescent="0.3">
      <c r="A50" s="371" t="s">
        <v>174</v>
      </c>
      <c r="B50" s="371"/>
      <c r="C50" s="371"/>
      <c r="D50" s="371"/>
      <c r="E50" s="371"/>
      <c r="F50" s="371"/>
      <c r="G50" s="371"/>
      <c r="H50" s="371"/>
      <c r="I50" s="371"/>
      <c r="J50" s="371"/>
      <c r="K50" s="371"/>
      <c r="L50" s="371"/>
      <c r="M50" s="371"/>
      <c r="N50" s="371"/>
      <c r="O50" s="371"/>
      <c r="P50" s="371"/>
      <c r="Q50" s="371"/>
      <c r="R50" s="371"/>
    </row>
    <row r="51" spans="1:18" s="111" customFormat="1" ht="13.8" x14ac:dyDescent="0.3">
      <c r="A51" s="388" t="s">
        <v>39</v>
      </c>
      <c r="B51" s="388"/>
      <c r="C51" s="388"/>
      <c r="D51" s="388"/>
      <c r="E51" s="388"/>
      <c r="F51" s="388"/>
      <c r="G51" s="388"/>
      <c r="H51" s="388"/>
      <c r="I51" s="388"/>
      <c r="J51" s="388"/>
      <c r="K51" s="388"/>
      <c r="L51" s="388"/>
      <c r="M51" s="388"/>
      <c r="N51" s="388"/>
      <c r="O51" s="388"/>
      <c r="P51" s="388"/>
      <c r="Q51" s="388"/>
      <c r="R51" s="388"/>
    </row>
    <row r="52" spans="1:18" s="111" customFormat="1" ht="13.8" x14ac:dyDescent="0.3">
      <c r="A52" s="384" t="str">
        <f>'Local SUT'!A60</f>
        <v>Source:  Minnesota Department of Revenue, Tax Research Division, February 2021</v>
      </c>
      <c r="B52" s="384"/>
      <c r="C52" s="384"/>
      <c r="D52" s="384"/>
      <c r="E52" s="384"/>
      <c r="F52" s="384"/>
      <c r="G52" s="384"/>
      <c r="H52" s="384"/>
      <c r="I52" s="384"/>
      <c r="J52" s="384"/>
      <c r="K52" s="384"/>
      <c r="L52" s="384"/>
      <c r="M52" s="384"/>
      <c r="N52" s="384"/>
      <c r="O52" s="384"/>
      <c r="P52" s="384"/>
      <c r="Q52" s="384"/>
      <c r="R52" s="384"/>
    </row>
    <row r="53" spans="1:18" s="111" customFormat="1" ht="13.8" x14ac:dyDescent="0.3">
      <c r="A53" s="379" t="s">
        <v>151</v>
      </c>
      <c r="B53" s="379"/>
      <c r="C53" s="379"/>
      <c r="D53" s="379"/>
      <c r="E53" s="379"/>
      <c r="F53" s="379"/>
      <c r="G53" s="379"/>
      <c r="H53" s="379"/>
      <c r="I53" s="379"/>
      <c r="J53" s="379"/>
      <c r="K53" s="379"/>
      <c r="L53" s="379"/>
      <c r="M53" s="379"/>
      <c r="N53" s="379"/>
      <c r="O53" s="379"/>
      <c r="P53" s="379"/>
      <c r="Q53" s="379"/>
      <c r="R53" s="379"/>
    </row>
    <row r="54" spans="1:18" x14ac:dyDescent="0.3">
      <c r="R54" s="117"/>
    </row>
  </sheetData>
  <mergeCells count="11">
    <mergeCell ref="A53:R53"/>
    <mergeCell ref="A34:R34"/>
    <mergeCell ref="A35:R35"/>
    <mergeCell ref="A50:R50"/>
    <mergeCell ref="A51:R51"/>
    <mergeCell ref="A52:R52"/>
    <mergeCell ref="A1:R1"/>
    <mergeCell ref="A2:R2"/>
    <mergeCell ref="A3:R3"/>
    <mergeCell ref="A18:R18"/>
    <mergeCell ref="A19:R19"/>
  </mergeCells>
  <pageMargins left="0" right="0" top="0.75" bottom="0.75" header="0.3" footer="0.3"/>
  <pageSetup scale="5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9"/>
  <dimension ref="A1:R54"/>
  <sheetViews>
    <sheetView showGridLines="0" zoomScaleNormal="100" workbookViewId="0">
      <pane ySplit="1" topLeftCell="A2" activePane="bottomLeft" state="frozen"/>
      <selection pane="bottomLeft" sqref="A1:R1"/>
    </sheetView>
  </sheetViews>
  <sheetFormatPr defaultColWidth="12.5546875" defaultRowHeight="14.4" x14ac:dyDescent="0.3"/>
  <cols>
    <col min="1" max="1" width="12.5546875" style="180"/>
    <col min="2" max="10" width="13.5546875" style="173" hidden="1" customWidth="1"/>
    <col min="11" max="17" width="13.5546875" style="173" customWidth="1"/>
    <col min="18" max="18" width="13.5546875" style="145" customWidth="1"/>
    <col min="19" max="16384" width="12.5546875" style="173"/>
  </cols>
  <sheetData>
    <row r="1" spans="1:18" s="112" customFormat="1" ht="21" x14ac:dyDescent="0.3">
      <c r="A1" s="380" t="s">
        <v>204</v>
      </c>
      <c r="B1" s="380"/>
      <c r="C1" s="380"/>
      <c r="D1" s="380"/>
      <c r="E1" s="380"/>
      <c r="F1" s="380"/>
      <c r="G1" s="380"/>
      <c r="H1" s="380"/>
      <c r="I1" s="380"/>
      <c r="J1" s="380"/>
      <c r="K1" s="380"/>
      <c r="L1" s="380"/>
      <c r="M1" s="380"/>
      <c r="N1" s="380"/>
      <c r="O1" s="380"/>
      <c r="P1" s="380"/>
      <c r="Q1" s="380"/>
      <c r="R1" s="380"/>
    </row>
    <row r="2" spans="1:18" s="106" customFormat="1" ht="18" x14ac:dyDescent="0.3">
      <c r="A2" s="381" t="str">
        <f>'Local SUT'!A2</f>
        <v>CY 2004-2020</v>
      </c>
      <c r="B2" s="381"/>
      <c r="C2" s="381"/>
      <c r="D2" s="381"/>
      <c r="E2" s="381"/>
      <c r="F2" s="381"/>
      <c r="G2" s="381"/>
      <c r="H2" s="381"/>
      <c r="I2" s="381"/>
      <c r="J2" s="381"/>
      <c r="K2" s="381"/>
      <c r="L2" s="381"/>
      <c r="M2" s="381"/>
      <c r="N2" s="381"/>
      <c r="O2" s="381"/>
      <c r="P2" s="381"/>
      <c r="Q2" s="381"/>
      <c r="R2" s="381"/>
    </row>
    <row r="3" spans="1:18" s="106" customFormat="1" ht="18" x14ac:dyDescent="0.3">
      <c r="A3" s="370" t="s">
        <v>73</v>
      </c>
      <c r="B3" s="370"/>
      <c r="C3" s="370"/>
      <c r="D3" s="370"/>
      <c r="E3" s="370"/>
      <c r="F3" s="370"/>
      <c r="G3" s="370"/>
      <c r="H3" s="370"/>
      <c r="I3" s="370"/>
      <c r="J3" s="370"/>
      <c r="K3" s="370"/>
      <c r="L3" s="370"/>
      <c r="M3" s="370"/>
      <c r="N3" s="370"/>
      <c r="O3" s="370"/>
      <c r="P3" s="370"/>
      <c r="Q3" s="370"/>
      <c r="R3" s="370"/>
    </row>
    <row r="4" spans="1:18" s="63" customFormat="1" ht="15.6" x14ac:dyDescent="0.3">
      <c r="A4" s="77" t="s">
        <v>23</v>
      </c>
      <c r="B4" s="91">
        <v>2004</v>
      </c>
      <c r="C4" s="64">
        <v>2005</v>
      </c>
      <c r="D4" s="64">
        <v>2006</v>
      </c>
      <c r="E4" s="64">
        <v>2007</v>
      </c>
      <c r="F4" s="64">
        <v>2008</v>
      </c>
      <c r="G4" s="64">
        <v>2009</v>
      </c>
      <c r="H4" s="64">
        <v>2010</v>
      </c>
      <c r="I4" s="64">
        <v>2011</v>
      </c>
      <c r="J4" s="65">
        <v>2012</v>
      </c>
      <c r="K4" s="65">
        <v>2013</v>
      </c>
      <c r="L4" s="65">
        <v>2014</v>
      </c>
      <c r="M4" s="65">
        <v>2015</v>
      </c>
      <c r="N4" s="65">
        <v>2016</v>
      </c>
      <c r="O4" s="65">
        <v>2017</v>
      </c>
      <c r="P4" s="65">
        <v>2018</v>
      </c>
      <c r="Q4" s="65">
        <v>2019</v>
      </c>
      <c r="R4" s="49">
        <v>2020</v>
      </c>
    </row>
    <row r="5" spans="1:18" s="63" customFormat="1" ht="15.6" x14ac:dyDescent="0.3">
      <c r="A5" s="76" t="s">
        <v>24</v>
      </c>
      <c r="B5" s="108" t="s">
        <v>152</v>
      </c>
      <c r="C5" s="107" t="s">
        <v>152</v>
      </c>
      <c r="D5" s="107" t="s">
        <v>152</v>
      </c>
      <c r="E5" s="107" t="s">
        <v>152</v>
      </c>
      <c r="F5" s="107" t="s">
        <v>152</v>
      </c>
      <c r="G5" s="107" t="s">
        <v>152</v>
      </c>
      <c r="H5" s="107" t="s">
        <v>152</v>
      </c>
      <c r="I5" s="107" t="s">
        <v>152</v>
      </c>
      <c r="J5" s="107" t="s">
        <v>152</v>
      </c>
      <c r="K5" s="83" t="s">
        <v>152</v>
      </c>
      <c r="L5" s="271">
        <v>121363</v>
      </c>
      <c r="M5" s="271">
        <v>116263</v>
      </c>
      <c r="N5" s="271">
        <v>127685</v>
      </c>
      <c r="O5" s="271">
        <v>127694</v>
      </c>
      <c r="P5" s="271">
        <v>130934</v>
      </c>
      <c r="Q5" s="271">
        <v>121058</v>
      </c>
      <c r="R5" s="286">
        <v>133617</v>
      </c>
    </row>
    <row r="6" spans="1:18" s="63" customFormat="1" ht="15.6" x14ac:dyDescent="0.3">
      <c r="A6" s="75" t="s">
        <v>25</v>
      </c>
      <c r="B6" s="170" t="s">
        <v>152</v>
      </c>
      <c r="C6" s="67" t="s">
        <v>152</v>
      </c>
      <c r="D6" s="67" t="s">
        <v>152</v>
      </c>
      <c r="E6" s="67" t="s">
        <v>152</v>
      </c>
      <c r="F6" s="67" t="s">
        <v>152</v>
      </c>
      <c r="G6" s="67" t="s">
        <v>152</v>
      </c>
      <c r="H6" s="67" t="s">
        <v>152</v>
      </c>
      <c r="I6" s="67" t="s">
        <v>152</v>
      </c>
      <c r="J6" s="67" t="s">
        <v>152</v>
      </c>
      <c r="K6" s="66" t="s">
        <v>152</v>
      </c>
      <c r="L6" s="66">
        <v>103394</v>
      </c>
      <c r="M6" s="66">
        <v>101210</v>
      </c>
      <c r="N6" s="66">
        <v>92961</v>
      </c>
      <c r="O6" s="66">
        <v>95050</v>
      </c>
      <c r="P6" s="66">
        <v>95518</v>
      </c>
      <c r="Q6" s="66">
        <v>93748</v>
      </c>
      <c r="R6" s="287">
        <v>106314</v>
      </c>
    </row>
    <row r="7" spans="1:18" s="63" customFormat="1" ht="15.6" x14ac:dyDescent="0.3">
      <c r="A7" s="75" t="s">
        <v>26</v>
      </c>
      <c r="B7" s="170" t="s">
        <v>152</v>
      </c>
      <c r="C7" s="67" t="s">
        <v>152</v>
      </c>
      <c r="D7" s="67" t="s">
        <v>152</v>
      </c>
      <c r="E7" s="67" t="s">
        <v>152</v>
      </c>
      <c r="F7" s="67" t="s">
        <v>152</v>
      </c>
      <c r="G7" s="67" t="s">
        <v>152</v>
      </c>
      <c r="H7" s="67" t="s">
        <v>152</v>
      </c>
      <c r="I7" s="67" t="s">
        <v>152</v>
      </c>
      <c r="J7" s="67" t="s">
        <v>152</v>
      </c>
      <c r="K7" s="66" t="s">
        <v>152</v>
      </c>
      <c r="L7" s="66">
        <v>90993</v>
      </c>
      <c r="M7" s="66">
        <v>103362</v>
      </c>
      <c r="N7" s="66">
        <v>118175</v>
      </c>
      <c r="O7" s="66">
        <v>89174</v>
      </c>
      <c r="P7" s="66">
        <v>87117</v>
      </c>
      <c r="Q7" s="66">
        <v>86097</v>
      </c>
      <c r="R7" s="287">
        <v>109831</v>
      </c>
    </row>
    <row r="8" spans="1:18" s="63" customFormat="1" ht="15.6" x14ac:dyDescent="0.3">
      <c r="A8" s="75" t="s">
        <v>27</v>
      </c>
      <c r="B8" s="170" t="s">
        <v>152</v>
      </c>
      <c r="C8" s="67" t="s">
        <v>152</v>
      </c>
      <c r="D8" s="67" t="s">
        <v>152</v>
      </c>
      <c r="E8" s="67" t="s">
        <v>152</v>
      </c>
      <c r="F8" s="67" t="s">
        <v>152</v>
      </c>
      <c r="G8" s="67" t="s">
        <v>152</v>
      </c>
      <c r="H8" s="67" t="s">
        <v>152</v>
      </c>
      <c r="I8" s="67" t="s">
        <v>152</v>
      </c>
      <c r="J8" s="67" t="s">
        <v>152</v>
      </c>
      <c r="K8" s="66" t="s">
        <v>152</v>
      </c>
      <c r="L8" s="66">
        <v>102870</v>
      </c>
      <c r="M8" s="66">
        <v>112750</v>
      </c>
      <c r="N8" s="66">
        <v>107451</v>
      </c>
      <c r="O8" s="66">
        <v>101888</v>
      </c>
      <c r="P8" s="66">
        <v>104691</v>
      </c>
      <c r="Q8" s="66">
        <v>115854</v>
      </c>
      <c r="R8" s="287">
        <v>115547</v>
      </c>
    </row>
    <row r="9" spans="1:18" s="63" customFormat="1" ht="15.6" x14ac:dyDescent="0.3">
      <c r="A9" s="75" t="s">
        <v>28</v>
      </c>
      <c r="B9" s="170" t="s">
        <v>152</v>
      </c>
      <c r="C9" s="67" t="s">
        <v>152</v>
      </c>
      <c r="D9" s="67" t="s">
        <v>152</v>
      </c>
      <c r="E9" s="67" t="s">
        <v>152</v>
      </c>
      <c r="F9" s="67" t="s">
        <v>152</v>
      </c>
      <c r="G9" s="67" t="s">
        <v>152</v>
      </c>
      <c r="H9" s="67" t="s">
        <v>152</v>
      </c>
      <c r="I9" s="67" t="s">
        <v>152</v>
      </c>
      <c r="J9" s="67" t="s">
        <v>152</v>
      </c>
      <c r="K9" s="275">
        <v>88865</v>
      </c>
      <c r="L9" s="66">
        <v>103212</v>
      </c>
      <c r="M9" s="66">
        <v>107498</v>
      </c>
      <c r="N9" s="66">
        <v>106835</v>
      </c>
      <c r="O9" s="66">
        <v>108337</v>
      </c>
      <c r="P9" s="66">
        <v>95271</v>
      </c>
      <c r="Q9" s="66">
        <v>111361</v>
      </c>
      <c r="R9" s="287">
        <v>110888</v>
      </c>
    </row>
    <row r="10" spans="1:18" s="63" customFormat="1" ht="15.6" x14ac:dyDescent="0.3">
      <c r="A10" s="75" t="s">
        <v>29</v>
      </c>
      <c r="B10" s="170" t="s">
        <v>152</v>
      </c>
      <c r="C10" s="67" t="s">
        <v>152</v>
      </c>
      <c r="D10" s="67" t="s">
        <v>152</v>
      </c>
      <c r="E10" s="67" t="s">
        <v>152</v>
      </c>
      <c r="F10" s="67" t="s">
        <v>152</v>
      </c>
      <c r="G10" s="67" t="s">
        <v>152</v>
      </c>
      <c r="H10" s="67" t="s">
        <v>152</v>
      </c>
      <c r="I10" s="67" t="s">
        <v>152</v>
      </c>
      <c r="J10" s="67" t="s">
        <v>152</v>
      </c>
      <c r="K10" s="66">
        <v>112640</v>
      </c>
      <c r="L10" s="66">
        <v>122008</v>
      </c>
      <c r="M10" s="66">
        <v>117714</v>
      </c>
      <c r="N10" s="66">
        <v>111908</v>
      </c>
      <c r="O10" s="66">
        <v>119627</v>
      </c>
      <c r="P10" s="66">
        <v>119690</v>
      </c>
      <c r="Q10" s="66">
        <v>126792</v>
      </c>
      <c r="R10" s="287">
        <v>135023</v>
      </c>
    </row>
    <row r="11" spans="1:18" s="63" customFormat="1" ht="15.6" x14ac:dyDescent="0.3">
      <c r="A11" s="75" t="s">
        <v>30</v>
      </c>
      <c r="B11" s="170" t="s">
        <v>152</v>
      </c>
      <c r="C11" s="67" t="s">
        <v>152</v>
      </c>
      <c r="D11" s="67" t="s">
        <v>152</v>
      </c>
      <c r="E11" s="67" t="s">
        <v>152</v>
      </c>
      <c r="F11" s="67" t="s">
        <v>152</v>
      </c>
      <c r="G11" s="67" t="s">
        <v>152</v>
      </c>
      <c r="H11" s="67" t="s">
        <v>152</v>
      </c>
      <c r="I11" s="67" t="s">
        <v>152</v>
      </c>
      <c r="J11" s="67" t="s">
        <v>152</v>
      </c>
      <c r="K11" s="66">
        <v>85506</v>
      </c>
      <c r="L11" s="66">
        <v>109247</v>
      </c>
      <c r="M11" s="66">
        <v>88801</v>
      </c>
      <c r="N11" s="66">
        <v>98495</v>
      </c>
      <c r="O11" s="66">
        <v>96194</v>
      </c>
      <c r="P11" s="66">
        <v>94597</v>
      </c>
      <c r="Q11" s="66">
        <v>118350</v>
      </c>
      <c r="R11" s="291" t="s">
        <v>152</v>
      </c>
    </row>
    <row r="12" spans="1:18" s="63" customFormat="1" ht="15.6" x14ac:dyDescent="0.3">
      <c r="A12" s="75" t="s">
        <v>31</v>
      </c>
      <c r="B12" s="170" t="s">
        <v>152</v>
      </c>
      <c r="C12" s="67" t="s">
        <v>152</v>
      </c>
      <c r="D12" s="67" t="s">
        <v>152</v>
      </c>
      <c r="E12" s="67" t="s">
        <v>152</v>
      </c>
      <c r="F12" s="67" t="s">
        <v>152</v>
      </c>
      <c r="G12" s="67" t="s">
        <v>152</v>
      </c>
      <c r="H12" s="67" t="s">
        <v>152</v>
      </c>
      <c r="I12" s="67" t="s">
        <v>152</v>
      </c>
      <c r="J12" s="67" t="s">
        <v>152</v>
      </c>
      <c r="K12" s="66">
        <v>134339</v>
      </c>
      <c r="L12" s="66">
        <v>136669</v>
      </c>
      <c r="M12" s="66">
        <v>145169</v>
      </c>
      <c r="N12" s="66">
        <v>151908</v>
      </c>
      <c r="O12" s="66">
        <v>138257</v>
      </c>
      <c r="P12" s="66">
        <v>145026</v>
      </c>
      <c r="Q12" s="66">
        <v>135235</v>
      </c>
      <c r="R12" s="295" t="s">
        <v>152</v>
      </c>
    </row>
    <row r="13" spans="1:18" s="63" customFormat="1" ht="15.6" x14ac:dyDescent="0.3">
      <c r="A13" s="75" t="s">
        <v>32</v>
      </c>
      <c r="B13" s="170" t="s">
        <v>152</v>
      </c>
      <c r="C13" s="67" t="s">
        <v>152</v>
      </c>
      <c r="D13" s="67" t="s">
        <v>152</v>
      </c>
      <c r="E13" s="67" t="s">
        <v>152</v>
      </c>
      <c r="F13" s="67" t="s">
        <v>152</v>
      </c>
      <c r="G13" s="67" t="s">
        <v>152</v>
      </c>
      <c r="H13" s="67" t="s">
        <v>152</v>
      </c>
      <c r="I13" s="67" t="s">
        <v>152</v>
      </c>
      <c r="J13" s="67" t="s">
        <v>152</v>
      </c>
      <c r="K13" s="66">
        <v>118733</v>
      </c>
      <c r="L13" s="66">
        <v>118007</v>
      </c>
      <c r="M13" s="66">
        <v>117716</v>
      </c>
      <c r="N13" s="66">
        <v>113193</v>
      </c>
      <c r="O13" s="66">
        <v>128748</v>
      </c>
      <c r="P13" s="66">
        <v>118641</v>
      </c>
      <c r="Q13" s="66">
        <v>122817</v>
      </c>
      <c r="R13" s="295" t="s">
        <v>152</v>
      </c>
    </row>
    <row r="14" spans="1:18" s="63" customFormat="1" ht="15.6" x14ac:dyDescent="0.3">
      <c r="A14" s="75" t="s">
        <v>33</v>
      </c>
      <c r="B14" s="170" t="s">
        <v>152</v>
      </c>
      <c r="C14" s="67" t="s">
        <v>152</v>
      </c>
      <c r="D14" s="67" t="s">
        <v>152</v>
      </c>
      <c r="E14" s="67" t="s">
        <v>152</v>
      </c>
      <c r="F14" s="67" t="s">
        <v>152</v>
      </c>
      <c r="G14" s="67" t="s">
        <v>152</v>
      </c>
      <c r="H14" s="67" t="s">
        <v>152</v>
      </c>
      <c r="I14" s="67" t="s">
        <v>152</v>
      </c>
      <c r="J14" s="67" t="s">
        <v>152</v>
      </c>
      <c r="K14" s="66">
        <v>104941</v>
      </c>
      <c r="L14" s="66">
        <v>121142</v>
      </c>
      <c r="M14" s="66">
        <v>120720</v>
      </c>
      <c r="N14" s="66">
        <v>124481</v>
      </c>
      <c r="O14" s="66">
        <v>132816</v>
      </c>
      <c r="P14" s="66">
        <v>112784</v>
      </c>
      <c r="Q14" s="66">
        <v>125533</v>
      </c>
      <c r="R14" s="295" t="s">
        <v>152</v>
      </c>
    </row>
    <row r="15" spans="1:18" s="63" customFormat="1" ht="15.6" x14ac:dyDescent="0.3">
      <c r="A15" s="75" t="s">
        <v>34</v>
      </c>
      <c r="B15" s="170" t="s">
        <v>152</v>
      </c>
      <c r="C15" s="67" t="s">
        <v>152</v>
      </c>
      <c r="D15" s="67" t="s">
        <v>152</v>
      </c>
      <c r="E15" s="67" t="s">
        <v>152</v>
      </c>
      <c r="F15" s="67" t="s">
        <v>152</v>
      </c>
      <c r="G15" s="67" t="s">
        <v>152</v>
      </c>
      <c r="H15" s="67" t="s">
        <v>152</v>
      </c>
      <c r="I15" s="67" t="s">
        <v>152</v>
      </c>
      <c r="J15" s="67" t="s">
        <v>152</v>
      </c>
      <c r="K15" s="66">
        <v>103480</v>
      </c>
      <c r="L15" s="66">
        <v>107540</v>
      </c>
      <c r="M15" s="66">
        <v>106811</v>
      </c>
      <c r="N15" s="66">
        <v>101348</v>
      </c>
      <c r="O15" s="66">
        <v>102782</v>
      </c>
      <c r="P15" s="66">
        <v>120409</v>
      </c>
      <c r="Q15" s="66">
        <v>125007</v>
      </c>
      <c r="R15" s="295" t="s">
        <v>152</v>
      </c>
    </row>
    <row r="16" spans="1:18" s="63" customFormat="1" ht="16.2" thickBot="1" x14ac:dyDescent="0.35">
      <c r="A16" s="88" t="s">
        <v>36</v>
      </c>
      <c r="B16" s="87" t="s">
        <v>152</v>
      </c>
      <c r="C16" s="72" t="s">
        <v>152</v>
      </c>
      <c r="D16" s="72" t="s">
        <v>152</v>
      </c>
      <c r="E16" s="72" t="s">
        <v>152</v>
      </c>
      <c r="F16" s="72" t="s">
        <v>152</v>
      </c>
      <c r="G16" s="72" t="s">
        <v>152</v>
      </c>
      <c r="H16" s="72" t="s">
        <v>152</v>
      </c>
      <c r="I16" s="72" t="s">
        <v>152</v>
      </c>
      <c r="J16" s="72" t="s">
        <v>152</v>
      </c>
      <c r="K16" s="71">
        <v>109344</v>
      </c>
      <c r="L16" s="71">
        <v>105802</v>
      </c>
      <c r="M16" s="71">
        <v>107610</v>
      </c>
      <c r="N16" s="71">
        <v>109070</v>
      </c>
      <c r="O16" s="71">
        <v>109202</v>
      </c>
      <c r="P16" s="71">
        <v>114133</v>
      </c>
      <c r="Q16" s="71">
        <v>120307</v>
      </c>
      <c r="R16" s="292" t="s">
        <v>152</v>
      </c>
    </row>
    <row r="17" spans="1:18" s="63" customFormat="1" ht="16.2" thickTop="1" x14ac:dyDescent="0.3">
      <c r="A17" s="89" t="s">
        <v>37</v>
      </c>
      <c r="B17" s="90" t="s">
        <v>152</v>
      </c>
      <c r="C17" s="73" t="s">
        <v>152</v>
      </c>
      <c r="D17" s="73" t="s">
        <v>152</v>
      </c>
      <c r="E17" s="73" t="s">
        <v>152</v>
      </c>
      <c r="F17" s="73" t="s">
        <v>152</v>
      </c>
      <c r="G17" s="73" t="s">
        <v>152</v>
      </c>
      <c r="H17" s="73" t="s">
        <v>152</v>
      </c>
      <c r="I17" s="73" t="s">
        <v>152</v>
      </c>
      <c r="J17" s="73" t="s">
        <v>152</v>
      </c>
      <c r="K17" s="273">
        <f t="shared" ref="K17:P17" si="0">SUM(K5:K16)</f>
        <v>857848</v>
      </c>
      <c r="L17" s="273">
        <f t="shared" si="0"/>
        <v>1342247</v>
      </c>
      <c r="M17" s="273">
        <f t="shared" si="0"/>
        <v>1345624</v>
      </c>
      <c r="N17" s="273">
        <f t="shared" si="0"/>
        <v>1363510</v>
      </c>
      <c r="O17" s="273">
        <f t="shared" si="0"/>
        <v>1349769</v>
      </c>
      <c r="P17" s="273">
        <f t="shared" si="0"/>
        <v>1338811</v>
      </c>
      <c r="Q17" s="273">
        <f t="shared" ref="Q17:R17" si="1">SUM(Q5:Q16)</f>
        <v>1402159</v>
      </c>
      <c r="R17" s="288">
        <f t="shared" si="1"/>
        <v>711220</v>
      </c>
    </row>
    <row r="18" spans="1:18" s="113" customFormat="1" ht="6.6" x14ac:dyDescent="0.3">
      <c r="A18" s="371" t="s">
        <v>174</v>
      </c>
      <c r="B18" s="371"/>
      <c r="C18" s="371"/>
      <c r="D18" s="371"/>
      <c r="E18" s="371"/>
      <c r="F18" s="371"/>
      <c r="G18" s="371"/>
      <c r="H18" s="371"/>
      <c r="I18" s="371"/>
      <c r="J18" s="371"/>
      <c r="K18" s="371"/>
      <c r="L18" s="371"/>
      <c r="M18" s="371"/>
      <c r="N18" s="371"/>
      <c r="O18" s="371"/>
      <c r="P18" s="371"/>
      <c r="Q18" s="371"/>
      <c r="R18" s="371"/>
    </row>
    <row r="19" spans="1:18" s="106" customFormat="1" ht="18" x14ac:dyDescent="0.3">
      <c r="A19" s="370" t="s">
        <v>74</v>
      </c>
      <c r="B19" s="370"/>
      <c r="C19" s="370"/>
      <c r="D19" s="370"/>
      <c r="E19" s="370"/>
      <c r="F19" s="370"/>
      <c r="G19" s="370"/>
      <c r="H19" s="370"/>
      <c r="I19" s="370"/>
      <c r="J19" s="370"/>
      <c r="K19" s="370"/>
      <c r="L19" s="370"/>
      <c r="M19" s="370"/>
      <c r="N19" s="370"/>
      <c r="O19" s="370"/>
      <c r="P19" s="370"/>
      <c r="Q19" s="370"/>
      <c r="R19" s="370"/>
    </row>
    <row r="20" spans="1:18" s="63" customFormat="1" ht="15.6" x14ac:dyDescent="0.3">
      <c r="A20" s="77" t="s">
        <v>23</v>
      </c>
      <c r="B20" s="91">
        <v>2004</v>
      </c>
      <c r="C20" s="64">
        <v>2005</v>
      </c>
      <c r="D20" s="64">
        <v>2006</v>
      </c>
      <c r="E20" s="64">
        <v>2007</v>
      </c>
      <c r="F20" s="64">
        <v>2008</v>
      </c>
      <c r="G20" s="64">
        <v>2009</v>
      </c>
      <c r="H20" s="64">
        <v>2010</v>
      </c>
      <c r="I20" s="64">
        <v>2011</v>
      </c>
      <c r="J20" s="65">
        <v>2012</v>
      </c>
      <c r="K20" s="65">
        <v>2013</v>
      </c>
      <c r="L20" s="65">
        <v>2014</v>
      </c>
      <c r="M20" s="65">
        <v>2015</v>
      </c>
      <c r="N20" s="65">
        <v>2016</v>
      </c>
      <c r="O20" s="65">
        <v>2017</v>
      </c>
      <c r="P20" s="65">
        <v>2018</v>
      </c>
      <c r="Q20" s="65">
        <v>2019</v>
      </c>
      <c r="R20" s="49">
        <v>2020</v>
      </c>
    </row>
    <row r="21" spans="1:18" s="63" customFormat="1" ht="15.6" x14ac:dyDescent="0.3">
      <c r="A21" s="76" t="s">
        <v>24</v>
      </c>
      <c r="B21" s="108" t="s">
        <v>152</v>
      </c>
      <c r="C21" s="107" t="s">
        <v>152</v>
      </c>
      <c r="D21" s="107" t="s">
        <v>152</v>
      </c>
      <c r="E21" s="107" t="s">
        <v>152</v>
      </c>
      <c r="F21" s="107" t="s">
        <v>152</v>
      </c>
      <c r="G21" s="107" t="s">
        <v>152</v>
      </c>
      <c r="H21" s="107" t="s">
        <v>152</v>
      </c>
      <c r="I21" s="107" t="s">
        <v>152</v>
      </c>
      <c r="J21" s="107" t="s">
        <v>152</v>
      </c>
      <c r="K21" s="83" t="s">
        <v>152</v>
      </c>
      <c r="L21" s="271">
        <v>8305</v>
      </c>
      <c r="M21" s="271">
        <v>11008</v>
      </c>
      <c r="N21" s="271">
        <v>16119</v>
      </c>
      <c r="O21" s="271">
        <v>8471</v>
      </c>
      <c r="P21" s="271">
        <v>7588</v>
      </c>
      <c r="Q21" s="271">
        <v>10239</v>
      </c>
      <c r="R21" s="286">
        <v>11560</v>
      </c>
    </row>
    <row r="22" spans="1:18" s="63" customFormat="1" ht="15.6" x14ac:dyDescent="0.3">
      <c r="A22" s="75" t="s">
        <v>25</v>
      </c>
      <c r="B22" s="170" t="s">
        <v>152</v>
      </c>
      <c r="C22" s="67" t="s">
        <v>152</v>
      </c>
      <c r="D22" s="67" t="s">
        <v>152</v>
      </c>
      <c r="E22" s="67" t="s">
        <v>152</v>
      </c>
      <c r="F22" s="67" t="s">
        <v>152</v>
      </c>
      <c r="G22" s="67" t="s">
        <v>152</v>
      </c>
      <c r="H22" s="67" t="s">
        <v>152</v>
      </c>
      <c r="I22" s="67" t="s">
        <v>152</v>
      </c>
      <c r="J22" s="67" t="s">
        <v>152</v>
      </c>
      <c r="K22" s="66" t="s">
        <v>152</v>
      </c>
      <c r="L22" s="66">
        <v>4655</v>
      </c>
      <c r="M22" s="66">
        <v>5519</v>
      </c>
      <c r="N22" s="66">
        <v>8060</v>
      </c>
      <c r="O22" s="66">
        <v>6178</v>
      </c>
      <c r="P22" s="66">
        <v>6934</v>
      </c>
      <c r="Q22" s="66">
        <v>11956</v>
      </c>
      <c r="R22" s="287">
        <v>8573</v>
      </c>
    </row>
    <row r="23" spans="1:18" s="63" customFormat="1" ht="15.6" x14ac:dyDescent="0.3">
      <c r="A23" s="75" t="s">
        <v>26</v>
      </c>
      <c r="B23" s="170" t="s">
        <v>152</v>
      </c>
      <c r="C23" s="67" t="s">
        <v>152</v>
      </c>
      <c r="D23" s="67" t="s">
        <v>152</v>
      </c>
      <c r="E23" s="67" t="s">
        <v>152</v>
      </c>
      <c r="F23" s="67" t="s">
        <v>152</v>
      </c>
      <c r="G23" s="67" t="s">
        <v>152</v>
      </c>
      <c r="H23" s="67" t="s">
        <v>152</v>
      </c>
      <c r="I23" s="67" t="s">
        <v>152</v>
      </c>
      <c r="J23" s="67" t="s">
        <v>152</v>
      </c>
      <c r="K23" s="66" t="s">
        <v>152</v>
      </c>
      <c r="L23" s="66">
        <v>6119</v>
      </c>
      <c r="M23" s="66">
        <v>3826</v>
      </c>
      <c r="N23" s="66">
        <v>7858</v>
      </c>
      <c r="O23" s="66">
        <v>7707</v>
      </c>
      <c r="P23" s="66">
        <v>7607</v>
      </c>
      <c r="Q23" s="66">
        <v>6461</v>
      </c>
      <c r="R23" s="287">
        <v>-64008</v>
      </c>
    </row>
    <row r="24" spans="1:18" s="63" customFormat="1" ht="15.6" x14ac:dyDescent="0.3">
      <c r="A24" s="75" t="s">
        <v>27</v>
      </c>
      <c r="B24" s="170" t="s">
        <v>152</v>
      </c>
      <c r="C24" s="67" t="s">
        <v>152</v>
      </c>
      <c r="D24" s="67" t="s">
        <v>152</v>
      </c>
      <c r="E24" s="67" t="s">
        <v>152</v>
      </c>
      <c r="F24" s="67" t="s">
        <v>152</v>
      </c>
      <c r="G24" s="67" t="s">
        <v>152</v>
      </c>
      <c r="H24" s="67" t="s">
        <v>152</v>
      </c>
      <c r="I24" s="67" t="s">
        <v>152</v>
      </c>
      <c r="J24" s="67" t="s">
        <v>152</v>
      </c>
      <c r="K24" s="66" t="s">
        <v>152</v>
      </c>
      <c r="L24" s="66">
        <v>5289</v>
      </c>
      <c r="M24" s="66">
        <v>6903</v>
      </c>
      <c r="N24" s="66">
        <v>15103</v>
      </c>
      <c r="O24" s="66">
        <v>8745</v>
      </c>
      <c r="P24" s="66">
        <v>9756</v>
      </c>
      <c r="Q24" s="66">
        <v>6796</v>
      </c>
      <c r="R24" s="287">
        <v>7936</v>
      </c>
    </row>
    <row r="25" spans="1:18" s="63" customFormat="1" ht="15.6" x14ac:dyDescent="0.3">
      <c r="A25" s="75" t="s">
        <v>28</v>
      </c>
      <c r="B25" s="170" t="s">
        <v>152</v>
      </c>
      <c r="C25" s="67" t="s">
        <v>152</v>
      </c>
      <c r="D25" s="67" t="s">
        <v>152</v>
      </c>
      <c r="E25" s="67" t="s">
        <v>152</v>
      </c>
      <c r="F25" s="67" t="s">
        <v>152</v>
      </c>
      <c r="G25" s="67" t="s">
        <v>152</v>
      </c>
      <c r="H25" s="67" t="s">
        <v>152</v>
      </c>
      <c r="I25" s="67" t="s">
        <v>152</v>
      </c>
      <c r="J25" s="67" t="s">
        <v>152</v>
      </c>
      <c r="K25" s="275">
        <v>2495</v>
      </c>
      <c r="L25" s="66">
        <v>5851</v>
      </c>
      <c r="M25" s="66">
        <v>4725</v>
      </c>
      <c r="N25" s="66">
        <v>7189</v>
      </c>
      <c r="O25" s="66">
        <v>-22107</v>
      </c>
      <c r="P25" s="66">
        <v>9537</v>
      </c>
      <c r="Q25" s="66">
        <v>11761</v>
      </c>
      <c r="R25" s="287">
        <v>7977</v>
      </c>
    </row>
    <row r="26" spans="1:18" s="63" customFormat="1" ht="15.6" x14ac:dyDescent="0.3">
      <c r="A26" s="75" t="s">
        <v>29</v>
      </c>
      <c r="B26" s="170" t="s">
        <v>152</v>
      </c>
      <c r="C26" s="67" t="s">
        <v>152</v>
      </c>
      <c r="D26" s="67" t="s">
        <v>152</v>
      </c>
      <c r="E26" s="67" t="s">
        <v>152</v>
      </c>
      <c r="F26" s="67" t="s">
        <v>152</v>
      </c>
      <c r="G26" s="67" t="s">
        <v>152</v>
      </c>
      <c r="H26" s="67" t="s">
        <v>152</v>
      </c>
      <c r="I26" s="67" t="s">
        <v>152</v>
      </c>
      <c r="J26" s="67" t="s">
        <v>152</v>
      </c>
      <c r="K26" s="66">
        <v>4280</v>
      </c>
      <c r="L26" s="66">
        <v>8013</v>
      </c>
      <c r="M26" s="66">
        <v>12918</v>
      </c>
      <c r="N26" s="66">
        <v>10884</v>
      </c>
      <c r="O26" s="66">
        <v>9511</v>
      </c>
      <c r="P26" s="66">
        <v>9330</v>
      </c>
      <c r="Q26" s="66">
        <v>10041</v>
      </c>
      <c r="R26" s="287">
        <v>-63473</v>
      </c>
    </row>
    <row r="27" spans="1:18" s="63" customFormat="1" ht="15.6" x14ac:dyDescent="0.3">
      <c r="A27" s="75" t="s">
        <v>30</v>
      </c>
      <c r="B27" s="170" t="s">
        <v>152</v>
      </c>
      <c r="C27" s="67" t="s">
        <v>152</v>
      </c>
      <c r="D27" s="67" t="s">
        <v>152</v>
      </c>
      <c r="E27" s="67" t="s">
        <v>152</v>
      </c>
      <c r="F27" s="67" t="s">
        <v>152</v>
      </c>
      <c r="G27" s="67" t="s">
        <v>152</v>
      </c>
      <c r="H27" s="67" t="s">
        <v>152</v>
      </c>
      <c r="I27" s="67" t="s">
        <v>152</v>
      </c>
      <c r="J27" s="67" t="s">
        <v>152</v>
      </c>
      <c r="K27" s="66">
        <v>4732</v>
      </c>
      <c r="L27" s="66">
        <v>12332</v>
      </c>
      <c r="M27" s="66">
        <v>20883</v>
      </c>
      <c r="N27" s="66">
        <v>14157</v>
      </c>
      <c r="O27" s="66">
        <v>7562</v>
      </c>
      <c r="P27" s="66">
        <v>9700</v>
      </c>
      <c r="Q27" s="66">
        <v>10603</v>
      </c>
      <c r="R27" s="295" t="s">
        <v>152</v>
      </c>
    </row>
    <row r="28" spans="1:18" s="63" customFormat="1" ht="15.6" x14ac:dyDescent="0.3">
      <c r="A28" s="75" t="s">
        <v>31</v>
      </c>
      <c r="B28" s="170" t="s">
        <v>152</v>
      </c>
      <c r="C28" s="67" t="s">
        <v>152</v>
      </c>
      <c r="D28" s="67" t="s">
        <v>152</v>
      </c>
      <c r="E28" s="67" t="s">
        <v>152</v>
      </c>
      <c r="F28" s="67" t="s">
        <v>152</v>
      </c>
      <c r="G28" s="67" t="s">
        <v>152</v>
      </c>
      <c r="H28" s="67" t="s">
        <v>152</v>
      </c>
      <c r="I28" s="67" t="s">
        <v>152</v>
      </c>
      <c r="J28" s="67" t="s">
        <v>152</v>
      </c>
      <c r="K28" s="66">
        <v>4558</v>
      </c>
      <c r="L28" s="66">
        <v>8177</v>
      </c>
      <c r="M28" s="66">
        <v>46868</v>
      </c>
      <c r="N28" s="66">
        <v>7507</v>
      </c>
      <c r="O28" s="66">
        <v>10881</v>
      </c>
      <c r="P28" s="66">
        <v>8845</v>
      </c>
      <c r="Q28" s="66">
        <v>12312</v>
      </c>
      <c r="R28" s="295" t="s">
        <v>152</v>
      </c>
    </row>
    <row r="29" spans="1:18" s="63" customFormat="1" ht="15.6" x14ac:dyDescent="0.3">
      <c r="A29" s="75" t="s">
        <v>32</v>
      </c>
      <c r="B29" s="170" t="s">
        <v>152</v>
      </c>
      <c r="C29" s="67" t="s">
        <v>152</v>
      </c>
      <c r="D29" s="67" t="s">
        <v>152</v>
      </c>
      <c r="E29" s="67" t="s">
        <v>152</v>
      </c>
      <c r="F29" s="67" t="s">
        <v>152</v>
      </c>
      <c r="G29" s="67" t="s">
        <v>152</v>
      </c>
      <c r="H29" s="67" t="s">
        <v>152</v>
      </c>
      <c r="I29" s="67" t="s">
        <v>152</v>
      </c>
      <c r="J29" s="67" t="s">
        <v>152</v>
      </c>
      <c r="K29" s="66">
        <v>5970</v>
      </c>
      <c r="L29" s="66">
        <v>7349</v>
      </c>
      <c r="M29" s="66">
        <v>12185</v>
      </c>
      <c r="N29" s="66">
        <v>13897</v>
      </c>
      <c r="O29" s="66">
        <v>9940</v>
      </c>
      <c r="P29" s="66">
        <v>8497</v>
      </c>
      <c r="Q29" s="66">
        <v>18970</v>
      </c>
      <c r="R29" s="295" t="s">
        <v>152</v>
      </c>
    </row>
    <row r="30" spans="1:18" s="63" customFormat="1" ht="15.6" x14ac:dyDescent="0.3">
      <c r="A30" s="75" t="s">
        <v>33</v>
      </c>
      <c r="B30" s="170" t="s">
        <v>152</v>
      </c>
      <c r="C30" s="67" t="s">
        <v>152</v>
      </c>
      <c r="D30" s="67" t="s">
        <v>152</v>
      </c>
      <c r="E30" s="67" t="s">
        <v>152</v>
      </c>
      <c r="F30" s="67" t="s">
        <v>152</v>
      </c>
      <c r="G30" s="67" t="s">
        <v>152</v>
      </c>
      <c r="H30" s="67" t="s">
        <v>152</v>
      </c>
      <c r="I30" s="67" t="s">
        <v>152</v>
      </c>
      <c r="J30" s="67" t="s">
        <v>152</v>
      </c>
      <c r="K30" s="66">
        <v>4418</v>
      </c>
      <c r="L30" s="66">
        <v>6665</v>
      </c>
      <c r="M30" s="66">
        <v>9534</v>
      </c>
      <c r="N30" s="66">
        <v>8950</v>
      </c>
      <c r="O30" s="66">
        <v>10870</v>
      </c>
      <c r="P30" s="66">
        <v>8207</v>
      </c>
      <c r="Q30" s="66">
        <v>11736</v>
      </c>
      <c r="R30" s="295" t="s">
        <v>152</v>
      </c>
    </row>
    <row r="31" spans="1:18" s="63" customFormat="1" ht="15.6" x14ac:dyDescent="0.3">
      <c r="A31" s="75" t="s">
        <v>34</v>
      </c>
      <c r="B31" s="170" t="s">
        <v>152</v>
      </c>
      <c r="C31" s="67" t="s">
        <v>152</v>
      </c>
      <c r="D31" s="67" t="s">
        <v>152</v>
      </c>
      <c r="E31" s="67" t="s">
        <v>152</v>
      </c>
      <c r="F31" s="67" t="s">
        <v>152</v>
      </c>
      <c r="G31" s="67" t="s">
        <v>152</v>
      </c>
      <c r="H31" s="67" t="s">
        <v>152</v>
      </c>
      <c r="I31" s="67" t="s">
        <v>152</v>
      </c>
      <c r="J31" s="67" t="s">
        <v>152</v>
      </c>
      <c r="K31" s="66">
        <v>5559</v>
      </c>
      <c r="L31" s="66">
        <v>4812</v>
      </c>
      <c r="M31" s="66">
        <v>9253</v>
      </c>
      <c r="N31" s="66">
        <v>9255</v>
      </c>
      <c r="O31" s="66">
        <v>7545</v>
      </c>
      <c r="P31" s="66">
        <v>10248</v>
      </c>
      <c r="Q31" s="66">
        <v>12875</v>
      </c>
      <c r="R31" s="295" t="s">
        <v>152</v>
      </c>
    </row>
    <row r="32" spans="1:18" s="63" customFormat="1" ht="16.2" thickBot="1" x14ac:dyDescent="0.35">
      <c r="A32" s="88" t="s">
        <v>36</v>
      </c>
      <c r="B32" s="87" t="s">
        <v>152</v>
      </c>
      <c r="C32" s="72" t="s">
        <v>152</v>
      </c>
      <c r="D32" s="72" t="s">
        <v>152</v>
      </c>
      <c r="E32" s="72" t="s">
        <v>152</v>
      </c>
      <c r="F32" s="72" t="s">
        <v>152</v>
      </c>
      <c r="G32" s="72" t="s">
        <v>152</v>
      </c>
      <c r="H32" s="72" t="s">
        <v>152</v>
      </c>
      <c r="I32" s="72" t="s">
        <v>152</v>
      </c>
      <c r="J32" s="72" t="s">
        <v>152</v>
      </c>
      <c r="K32" s="71">
        <v>4490</v>
      </c>
      <c r="L32" s="71">
        <v>6438</v>
      </c>
      <c r="M32" s="71">
        <v>8475</v>
      </c>
      <c r="N32" s="71">
        <v>8953</v>
      </c>
      <c r="O32" s="71">
        <v>5843</v>
      </c>
      <c r="P32" s="71">
        <v>13435</v>
      </c>
      <c r="Q32" s="71">
        <v>9489</v>
      </c>
      <c r="R32" s="292" t="s">
        <v>152</v>
      </c>
    </row>
    <row r="33" spans="1:18" s="63" customFormat="1" ht="16.2" thickTop="1" x14ac:dyDescent="0.3">
      <c r="A33" s="89" t="s">
        <v>37</v>
      </c>
      <c r="B33" s="90" t="s">
        <v>152</v>
      </c>
      <c r="C33" s="73" t="s">
        <v>152</v>
      </c>
      <c r="D33" s="73" t="s">
        <v>152</v>
      </c>
      <c r="E33" s="73" t="s">
        <v>152</v>
      </c>
      <c r="F33" s="73" t="s">
        <v>152</v>
      </c>
      <c r="G33" s="73" t="s">
        <v>152</v>
      </c>
      <c r="H33" s="73" t="s">
        <v>152</v>
      </c>
      <c r="I33" s="73" t="s">
        <v>152</v>
      </c>
      <c r="J33" s="73" t="s">
        <v>152</v>
      </c>
      <c r="K33" s="273">
        <f t="shared" ref="K33:P33" si="2">SUM(K21:K32)</f>
        <v>36502</v>
      </c>
      <c r="L33" s="273">
        <f t="shared" si="2"/>
        <v>84005</v>
      </c>
      <c r="M33" s="273">
        <f t="shared" si="2"/>
        <v>152097</v>
      </c>
      <c r="N33" s="273">
        <f t="shared" si="2"/>
        <v>127932</v>
      </c>
      <c r="O33" s="273">
        <f t="shared" si="2"/>
        <v>71146</v>
      </c>
      <c r="P33" s="273">
        <f t="shared" si="2"/>
        <v>109684</v>
      </c>
      <c r="Q33" s="273">
        <f t="shared" ref="Q33:R33" si="3">SUM(Q21:Q32)</f>
        <v>133239</v>
      </c>
      <c r="R33" s="288">
        <f t="shared" si="3"/>
        <v>-91435</v>
      </c>
    </row>
    <row r="34" spans="1:18" s="113" customFormat="1" ht="6.6" x14ac:dyDescent="0.3">
      <c r="A34" s="371" t="s">
        <v>174</v>
      </c>
      <c r="B34" s="371"/>
      <c r="C34" s="371"/>
      <c r="D34" s="371"/>
      <c r="E34" s="371"/>
      <c r="F34" s="371"/>
      <c r="G34" s="371"/>
      <c r="H34" s="371"/>
      <c r="I34" s="371"/>
      <c r="J34" s="371"/>
      <c r="K34" s="371"/>
      <c r="L34" s="371"/>
      <c r="M34" s="371"/>
      <c r="N34" s="371"/>
      <c r="O34" s="371"/>
      <c r="P34" s="371"/>
      <c r="Q34" s="371"/>
      <c r="R34" s="371"/>
    </row>
    <row r="35" spans="1:18" s="106" customFormat="1" ht="18" x14ac:dyDescent="0.3">
      <c r="A35" s="370" t="s">
        <v>119</v>
      </c>
      <c r="B35" s="370"/>
      <c r="C35" s="370"/>
      <c r="D35" s="370"/>
      <c r="E35" s="370"/>
      <c r="F35" s="370"/>
      <c r="G35" s="370"/>
      <c r="H35" s="370"/>
      <c r="I35" s="370"/>
      <c r="J35" s="370"/>
      <c r="K35" s="370"/>
      <c r="L35" s="370"/>
      <c r="M35" s="370"/>
      <c r="N35" s="370"/>
      <c r="O35" s="370"/>
      <c r="P35" s="370"/>
      <c r="Q35" s="370"/>
      <c r="R35" s="370"/>
    </row>
    <row r="36" spans="1:18" s="63" customFormat="1" ht="15.6" x14ac:dyDescent="0.3">
      <c r="A36" s="77" t="s">
        <v>23</v>
      </c>
      <c r="B36" s="91">
        <v>2004</v>
      </c>
      <c r="C36" s="64">
        <v>2005</v>
      </c>
      <c r="D36" s="64">
        <v>2006</v>
      </c>
      <c r="E36" s="64">
        <v>2007</v>
      </c>
      <c r="F36" s="64">
        <v>2008</v>
      </c>
      <c r="G36" s="64">
        <v>2009</v>
      </c>
      <c r="H36" s="64">
        <v>2010</v>
      </c>
      <c r="I36" s="64">
        <v>2011</v>
      </c>
      <c r="J36" s="65">
        <v>2012</v>
      </c>
      <c r="K36" s="65">
        <v>2013</v>
      </c>
      <c r="L36" s="65">
        <v>2014</v>
      </c>
      <c r="M36" s="65">
        <v>2015</v>
      </c>
      <c r="N36" s="65">
        <v>2016</v>
      </c>
      <c r="O36" s="65">
        <v>2017</v>
      </c>
      <c r="P36" s="65">
        <v>2018</v>
      </c>
      <c r="Q36" s="65">
        <v>2019</v>
      </c>
      <c r="R36" s="49">
        <v>2020</v>
      </c>
    </row>
    <row r="37" spans="1:18" s="63" customFormat="1" ht="15.6" x14ac:dyDescent="0.3">
      <c r="A37" s="76" t="s">
        <v>24</v>
      </c>
      <c r="B37" s="108" t="s">
        <v>152</v>
      </c>
      <c r="C37" s="107" t="s">
        <v>152</v>
      </c>
      <c r="D37" s="107" t="s">
        <v>152</v>
      </c>
      <c r="E37" s="107" t="s">
        <v>152</v>
      </c>
      <c r="F37" s="107" t="s">
        <v>152</v>
      </c>
      <c r="G37" s="107" t="s">
        <v>152</v>
      </c>
      <c r="H37" s="107" t="s">
        <v>152</v>
      </c>
      <c r="I37" s="107" t="s">
        <v>152</v>
      </c>
      <c r="J37" s="107" t="s">
        <v>152</v>
      </c>
      <c r="K37" s="83" t="s">
        <v>152</v>
      </c>
      <c r="L37" s="271">
        <v>0</v>
      </c>
      <c r="M37" s="271">
        <v>-694</v>
      </c>
      <c r="N37" s="271">
        <v>-2404</v>
      </c>
      <c r="O37" s="271">
        <v>-76337</v>
      </c>
      <c r="P37" s="271">
        <v>-97</v>
      </c>
      <c r="Q37" s="271">
        <v>-636</v>
      </c>
      <c r="R37" s="286">
        <v>0</v>
      </c>
    </row>
    <row r="38" spans="1:18" s="63" customFormat="1" ht="15.6" x14ac:dyDescent="0.3">
      <c r="A38" s="75" t="s">
        <v>25</v>
      </c>
      <c r="B38" s="170" t="s">
        <v>152</v>
      </c>
      <c r="C38" s="67" t="s">
        <v>152</v>
      </c>
      <c r="D38" s="67" t="s">
        <v>152</v>
      </c>
      <c r="E38" s="67" t="s">
        <v>152</v>
      </c>
      <c r="F38" s="67" t="s">
        <v>152</v>
      </c>
      <c r="G38" s="67" t="s">
        <v>152</v>
      </c>
      <c r="H38" s="67" t="s">
        <v>152</v>
      </c>
      <c r="I38" s="67" t="s">
        <v>152</v>
      </c>
      <c r="J38" s="67" t="s">
        <v>152</v>
      </c>
      <c r="K38" s="66" t="s">
        <v>152</v>
      </c>
      <c r="L38" s="66">
        <v>-925</v>
      </c>
      <c r="M38" s="66">
        <v>-288</v>
      </c>
      <c r="N38" s="66">
        <v>-2609</v>
      </c>
      <c r="O38" s="66">
        <v>-100416</v>
      </c>
      <c r="P38" s="66">
        <v>-25</v>
      </c>
      <c r="Q38" s="66">
        <v>-7568</v>
      </c>
      <c r="R38" s="287">
        <v>-273</v>
      </c>
    </row>
    <row r="39" spans="1:18" s="63" customFormat="1" ht="15.6" x14ac:dyDescent="0.3">
      <c r="A39" s="75" t="s">
        <v>26</v>
      </c>
      <c r="B39" s="170" t="s">
        <v>152</v>
      </c>
      <c r="C39" s="67" t="s">
        <v>152</v>
      </c>
      <c r="D39" s="67" t="s">
        <v>152</v>
      </c>
      <c r="E39" s="67" t="s">
        <v>152</v>
      </c>
      <c r="F39" s="67" t="s">
        <v>152</v>
      </c>
      <c r="G39" s="67" t="s">
        <v>152</v>
      </c>
      <c r="H39" s="67" t="s">
        <v>152</v>
      </c>
      <c r="I39" s="67" t="s">
        <v>152</v>
      </c>
      <c r="J39" s="67" t="s">
        <v>152</v>
      </c>
      <c r="K39" s="66" t="s">
        <v>152</v>
      </c>
      <c r="L39" s="66">
        <v>-1</v>
      </c>
      <c r="M39" s="66">
        <v>-43338</v>
      </c>
      <c r="N39" s="66">
        <v>-118</v>
      </c>
      <c r="O39" s="66">
        <v>0</v>
      </c>
      <c r="P39" s="66">
        <v>0</v>
      </c>
      <c r="Q39" s="66">
        <v>-148</v>
      </c>
      <c r="R39" s="287">
        <v>-334</v>
      </c>
    </row>
    <row r="40" spans="1:18" s="63" customFormat="1" ht="15.6" x14ac:dyDescent="0.3">
      <c r="A40" s="75" t="s">
        <v>27</v>
      </c>
      <c r="B40" s="170" t="s">
        <v>152</v>
      </c>
      <c r="C40" s="67" t="s">
        <v>152</v>
      </c>
      <c r="D40" s="67" t="s">
        <v>152</v>
      </c>
      <c r="E40" s="67" t="s">
        <v>152</v>
      </c>
      <c r="F40" s="67" t="s">
        <v>152</v>
      </c>
      <c r="G40" s="67" t="s">
        <v>152</v>
      </c>
      <c r="H40" s="67" t="s">
        <v>152</v>
      </c>
      <c r="I40" s="67" t="s">
        <v>152</v>
      </c>
      <c r="J40" s="67" t="s">
        <v>152</v>
      </c>
      <c r="K40" s="66" t="s">
        <v>152</v>
      </c>
      <c r="L40" s="66">
        <v>-670</v>
      </c>
      <c r="M40" s="66">
        <v>0</v>
      </c>
      <c r="N40" s="66">
        <v>-599</v>
      </c>
      <c r="O40" s="66">
        <v>0</v>
      </c>
      <c r="P40" s="66">
        <v>-453</v>
      </c>
      <c r="Q40" s="66">
        <v>0</v>
      </c>
      <c r="R40" s="287">
        <v>0</v>
      </c>
    </row>
    <row r="41" spans="1:18" s="63" customFormat="1" ht="15.6" x14ac:dyDescent="0.3">
      <c r="A41" s="75" t="s">
        <v>28</v>
      </c>
      <c r="B41" s="170" t="s">
        <v>152</v>
      </c>
      <c r="C41" s="67" t="s">
        <v>152</v>
      </c>
      <c r="D41" s="67" t="s">
        <v>152</v>
      </c>
      <c r="E41" s="67" t="s">
        <v>152</v>
      </c>
      <c r="F41" s="67" t="s">
        <v>152</v>
      </c>
      <c r="G41" s="67" t="s">
        <v>152</v>
      </c>
      <c r="H41" s="67" t="s">
        <v>152</v>
      </c>
      <c r="I41" s="67" t="s">
        <v>152</v>
      </c>
      <c r="J41" s="67" t="s">
        <v>152</v>
      </c>
      <c r="K41" s="275">
        <v>0</v>
      </c>
      <c r="L41" s="66">
        <v>-461</v>
      </c>
      <c r="M41" s="66">
        <v>0</v>
      </c>
      <c r="N41" s="66">
        <v>0</v>
      </c>
      <c r="O41" s="66">
        <v>-3432</v>
      </c>
      <c r="P41" s="66">
        <v>-677</v>
      </c>
      <c r="Q41" s="66">
        <v>-22</v>
      </c>
      <c r="R41" s="287">
        <v>-258</v>
      </c>
    </row>
    <row r="42" spans="1:18" s="63" customFormat="1" ht="15.6" x14ac:dyDescent="0.3">
      <c r="A42" s="75" t="s">
        <v>29</v>
      </c>
      <c r="B42" s="170" t="s">
        <v>152</v>
      </c>
      <c r="C42" s="67" t="s">
        <v>152</v>
      </c>
      <c r="D42" s="67" t="s">
        <v>152</v>
      </c>
      <c r="E42" s="67" t="s">
        <v>152</v>
      </c>
      <c r="F42" s="67" t="s">
        <v>152</v>
      </c>
      <c r="G42" s="67" t="s">
        <v>152</v>
      </c>
      <c r="H42" s="67" t="s">
        <v>152</v>
      </c>
      <c r="I42" s="67" t="s">
        <v>152</v>
      </c>
      <c r="J42" s="67" t="s">
        <v>152</v>
      </c>
      <c r="K42" s="66">
        <v>0</v>
      </c>
      <c r="L42" s="66">
        <v>0</v>
      </c>
      <c r="M42" s="66">
        <v>-411</v>
      </c>
      <c r="N42" s="66">
        <v>-14</v>
      </c>
      <c r="O42" s="66">
        <v>-3742</v>
      </c>
      <c r="P42" s="66">
        <v>-39</v>
      </c>
      <c r="Q42" s="66">
        <v>0</v>
      </c>
      <c r="R42" s="287">
        <v>-447</v>
      </c>
    </row>
    <row r="43" spans="1:18" s="63" customFormat="1" ht="15.6" x14ac:dyDescent="0.3">
      <c r="A43" s="75" t="s">
        <v>30</v>
      </c>
      <c r="B43" s="170" t="s">
        <v>152</v>
      </c>
      <c r="C43" s="67" t="s">
        <v>152</v>
      </c>
      <c r="D43" s="67" t="s">
        <v>152</v>
      </c>
      <c r="E43" s="67" t="s">
        <v>152</v>
      </c>
      <c r="F43" s="67" t="s">
        <v>152</v>
      </c>
      <c r="G43" s="67" t="s">
        <v>152</v>
      </c>
      <c r="H43" s="67" t="s">
        <v>152</v>
      </c>
      <c r="I43" s="67" t="s">
        <v>152</v>
      </c>
      <c r="J43" s="67" t="s">
        <v>152</v>
      </c>
      <c r="K43" s="66">
        <v>0</v>
      </c>
      <c r="L43" s="66">
        <v>-312</v>
      </c>
      <c r="M43" s="66">
        <v>0</v>
      </c>
      <c r="N43" s="66">
        <v>0</v>
      </c>
      <c r="O43" s="66">
        <v>-589</v>
      </c>
      <c r="P43" s="66">
        <v>-162</v>
      </c>
      <c r="Q43" s="66">
        <v>0</v>
      </c>
      <c r="R43" s="295" t="s">
        <v>152</v>
      </c>
    </row>
    <row r="44" spans="1:18" s="63" customFormat="1" ht="15.6" x14ac:dyDescent="0.3">
      <c r="A44" s="75" t="s">
        <v>31</v>
      </c>
      <c r="B44" s="170" t="s">
        <v>152</v>
      </c>
      <c r="C44" s="67" t="s">
        <v>152</v>
      </c>
      <c r="D44" s="67" t="s">
        <v>152</v>
      </c>
      <c r="E44" s="67" t="s">
        <v>152</v>
      </c>
      <c r="F44" s="67" t="s">
        <v>152</v>
      </c>
      <c r="G44" s="67" t="s">
        <v>152</v>
      </c>
      <c r="H44" s="67" t="s">
        <v>152</v>
      </c>
      <c r="I44" s="67" t="s">
        <v>152</v>
      </c>
      <c r="J44" s="67" t="s">
        <v>152</v>
      </c>
      <c r="K44" s="66">
        <v>0</v>
      </c>
      <c r="L44" s="66">
        <v>-23</v>
      </c>
      <c r="M44" s="66">
        <v>-1063</v>
      </c>
      <c r="N44" s="66">
        <v>0</v>
      </c>
      <c r="O44" s="66">
        <v>0</v>
      </c>
      <c r="P44" s="66">
        <v>0</v>
      </c>
      <c r="Q44" s="66">
        <v>0</v>
      </c>
      <c r="R44" s="295" t="s">
        <v>152</v>
      </c>
    </row>
    <row r="45" spans="1:18" s="63" customFormat="1" ht="15.6" x14ac:dyDescent="0.3">
      <c r="A45" s="75" t="s">
        <v>32</v>
      </c>
      <c r="B45" s="170" t="s">
        <v>152</v>
      </c>
      <c r="C45" s="67" t="s">
        <v>152</v>
      </c>
      <c r="D45" s="67" t="s">
        <v>152</v>
      </c>
      <c r="E45" s="67" t="s">
        <v>152</v>
      </c>
      <c r="F45" s="67" t="s">
        <v>152</v>
      </c>
      <c r="G45" s="67" t="s">
        <v>152</v>
      </c>
      <c r="H45" s="67" t="s">
        <v>152</v>
      </c>
      <c r="I45" s="67" t="s">
        <v>152</v>
      </c>
      <c r="J45" s="67" t="s">
        <v>152</v>
      </c>
      <c r="K45" s="66">
        <v>0</v>
      </c>
      <c r="L45" s="66">
        <v>0</v>
      </c>
      <c r="M45" s="66">
        <v>-1623</v>
      </c>
      <c r="N45" s="66">
        <v>-7042</v>
      </c>
      <c r="O45" s="66">
        <v>0</v>
      </c>
      <c r="P45" s="66">
        <v>0</v>
      </c>
      <c r="Q45" s="66">
        <v>0</v>
      </c>
      <c r="R45" s="295" t="s">
        <v>152</v>
      </c>
    </row>
    <row r="46" spans="1:18" s="63" customFormat="1" ht="15.6" x14ac:dyDescent="0.3">
      <c r="A46" s="75" t="s">
        <v>33</v>
      </c>
      <c r="B46" s="170" t="s">
        <v>152</v>
      </c>
      <c r="C46" s="67" t="s">
        <v>152</v>
      </c>
      <c r="D46" s="67" t="s">
        <v>152</v>
      </c>
      <c r="E46" s="67" t="s">
        <v>152</v>
      </c>
      <c r="F46" s="67" t="s">
        <v>152</v>
      </c>
      <c r="G46" s="67" t="s">
        <v>152</v>
      </c>
      <c r="H46" s="67" t="s">
        <v>152</v>
      </c>
      <c r="I46" s="67" t="s">
        <v>152</v>
      </c>
      <c r="J46" s="67" t="s">
        <v>152</v>
      </c>
      <c r="K46" s="66">
        <v>-11</v>
      </c>
      <c r="L46" s="66">
        <v>-35</v>
      </c>
      <c r="M46" s="66">
        <v>0</v>
      </c>
      <c r="N46" s="66">
        <v>0</v>
      </c>
      <c r="O46" s="66">
        <v>-682</v>
      </c>
      <c r="P46" s="66">
        <v>-30</v>
      </c>
      <c r="Q46" s="66">
        <v>0</v>
      </c>
      <c r="R46" s="295" t="s">
        <v>152</v>
      </c>
    </row>
    <row r="47" spans="1:18" s="63" customFormat="1" ht="15.6" x14ac:dyDescent="0.3">
      <c r="A47" s="75" t="s">
        <v>34</v>
      </c>
      <c r="B47" s="170" t="s">
        <v>152</v>
      </c>
      <c r="C47" s="67" t="s">
        <v>152</v>
      </c>
      <c r="D47" s="67" t="s">
        <v>152</v>
      </c>
      <c r="E47" s="67" t="s">
        <v>152</v>
      </c>
      <c r="F47" s="67" t="s">
        <v>152</v>
      </c>
      <c r="G47" s="67" t="s">
        <v>152</v>
      </c>
      <c r="H47" s="67" t="s">
        <v>152</v>
      </c>
      <c r="I47" s="67" t="s">
        <v>152</v>
      </c>
      <c r="J47" s="67" t="s">
        <v>152</v>
      </c>
      <c r="K47" s="66">
        <v>0</v>
      </c>
      <c r="L47" s="66">
        <v>-385</v>
      </c>
      <c r="M47" s="66">
        <v>-10</v>
      </c>
      <c r="N47" s="66">
        <v>0</v>
      </c>
      <c r="O47" s="66">
        <v>0</v>
      </c>
      <c r="P47" s="66">
        <v>0</v>
      </c>
      <c r="Q47" s="66">
        <v>-14</v>
      </c>
      <c r="R47" s="295" t="s">
        <v>152</v>
      </c>
    </row>
    <row r="48" spans="1:18" s="63" customFormat="1" ht="16.2" thickBot="1" x14ac:dyDescent="0.35">
      <c r="A48" s="88" t="s">
        <v>36</v>
      </c>
      <c r="B48" s="87" t="s">
        <v>152</v>
      </c>
      <c r="C48" s="72" t="s">
        <v>152</v>
      </c>
      <c r="D48" s="72" t="s">
        <v>152</v>
      </c>
      <c r="E48" s="72" t="s">
        <v>152</v>
      </c>
      <c r="F48" s="72" t="s">
        <v>152</v>
      </c>
      <c r="G48" s="72" t="s">
        <v>152</v>
      </c>
      <c r="H48" s="72" t="s">
        <v>152</v>
      </c>
      <c r="I48" s="72" t="s">
        <v>152</v>
      </c>
      <c r="J48" s="72" t="s">
        <v>152</v>
      </c>
      <c r="K48" s="71">
        <v>0</v>
      </c>
      <c r="L48" s="71">
        <v>-140</v>
      </c>
      <c r="M48" s="71">
        <v>-18</v>
      </c>
      <c r="N48" s="71">
        <v>-2686</v>
      </c>
      <c r="O48" s="71">
        <v>0</v>
      </c>
      <c r="P48" s="71">
        <v>0</v>
      </c>
      <c r="Q48" s="71">
        <v>-178</v>
      </c>
      <c r="R48" s="292" t="s">
        <v>152</v>
      </c>
    </row>
    <row r="49" spans="1:18" s="63" customFormat="1" ht="16.2" thickTop="1" x14ac:dyDescent="0.3">
      <c r="A49" s="89" t="s">
        <v>37</v>
      </c>
      <c r="B49" s="90" t="s">
        <v>152</v>
      </c>
      <c r="C49" s="73" t="s">
        <v>152</v>
      </c>
      <c r="D49" s="73" t="s">
        <v>152</v>
      </c>
      <c r="E49" s="73" t="s">
        <v>152</v>
      </c>
      <c r="F49" s="73" t="s">
        <v>152</v>
      </c>
      <c r="G49" s="73" t="s">
        <v>152</v>
      </c>
      <c r="H49" s="73" t="s">
        <v>152</v>
      </c>
      <c r="I49" s="73" t="s">
        <v>152</v>
      </c>
      <c r="J49" s="73" t="s">
        <v>152</v>
      </c>
      <c r="K49" s="273">
        <f t="shared" ref="K49:P49" si="4">SUM(K37:K48)</f>
        <v>-11</v>
      </c>
      <c r="L49" s="273">
        <f t="shared" si="4"/>
        <v>-2952</v>
      </c>
      <c r="M49" s="273">
        <f t="shared" si="4"/>
        <v>-47445</v>
      </c>
      <c r="N49" s="273">
        <f t="shared" si="4"/>
        <v>-15472</v>
      </c>
      <c r="O49" s="273">
        <f t="shared" si="4"/>
        <v>-185198</v>
      </c>
      <c r="P49" s="273">
        <f t="shared" si="4"/>
        <v>-1483</v>
      </c>
      <c r="Q49" s="273">
        <f t="shared" ref="Q49:R49" si="5">SUM(Q37:Q48)</f>
        <v>-8566</v>
      </c>
      <c r="R49" s="288">
        <f t="shared" si="5"/>
        <v>-1312</v>
      </c>
    </row>
    <row r="50" spans="1:18" s="113" customFormat="1" ht="6.6" x14ac:dyDescent="0.3">
      <c r="A50" s="371" t="s">
        <v>174</v>
      </c>
      <c r="B50" s="371"/>
      <c r="C50" s="371"/>
      <c r="D50" s="371"/>
      <c r="E50" s="371"/>
      <c r="F50" s="371"/>
      <c r="G50" s="371"/>
      <c r="H50" s="371"/>
      <c r="I50" s="371"/>
      <c r="J50" s="371"/>
      <c r="K50" s="371"/>
      <c r="L50" s="371"/>
      <c r="M50" s="371"/>
      <c r="N50" s="371"/>
      <c r="O50" s="371"/>
      <c r="P50" s="371"/>
      <c r="Q50" s="371"/>
      <c r="R50" s="371"/>
    </row>
    <row r="51" spans="1:18" s="111" customFormat="1" ht="13.8" x14ac:dyDescent="0.3">
      <c r="A51" s="373" t="s">
        <v>156</v>
      </c>
      <c r="B51" s="373"/>
      <c r="C51" s="373"/>
      <c r="D51" s="373"/>
      <c r="E51" s="373"/>
      <c r="F51" s="373"/>
      <c r="G51" s="373"/>
      <c r="H51" s="373"/>
      <c r="I51" s="373"/>
      <c r="J51" s="373"/>
      <c r="K51" s="373"/>
      <c r="L51" s="373"/>
      <c r="M51" s="373"/>
      <c r="N51" s="373"/>
      <c r="O51" s="373"/>
      <c r="P51" s="373"/>
      <c r="Q51" s="373"/>
      <c r="R51" s="373"/>
    </row>
    <row r="52" spans="1:18" s="111" customFormat="1" ht="13.8" x14ac:dyDescent="0.3">
      <c r="A52" s="384" t="str">
        <f>'Local SUT'!A60</f>
        <v>Source:  Minnesota Department of Revenue, Tax Research Division, February 2021</v>
      </c>
      <c r="B52" s="384"/>
      <c r="C52" s="384"/>
      <c r="D52" s="384"/>
      <c r="E52" s="384"/>
      <c r="F52" s="384"/>
      <c r="G52" s="384"/>
      <c r="H52" s="384"/>
      <c r="I52" s="384"/>
      <c r="J52" s="384"/>
      <c r="K52" s="384"/>
      <c r="L52" s="384"/>
      <c r="M52" s="384"/>
      <c r="N52" s="384"/>
      <c r="O52" s="384"/>
      <c r="P52" s="384"/>
      <c r="Q52" s="384"/>
      <c r="R52" s="384"/>
    </row>
    <row r="53" spans="1:18" s="111" customFormat="1" ht="13.8" x14ac:dyDescent="0.3">
      <c r="A53" s="379" t="s">
        <v>151</v>
      </c>
      <c r="B53" s="379"/>
      <c r="C53" s="379"/>
      <c r="D53" s="379"/>
      <c r="E53" s="379"/>
      <c r="F53" s="379"/>
      <c r="G53" s="379"/>
      <c r="H53" s="379"/>
      <c r="I53" s="379"/>
      <c r="J53" s="379"/>
      <c r="K53" s="379"/>
      <c r="L53" s="379"/>
      <c r="M53" s="379"/>
      <c r="N53" s="379"/>
      <c r="O53" s="379"/>
      <c r="P53" s="379"/>
      <c r="Q53" s="379"/>
      <c r="R53" s="379"/>
    </row>
    <row r="54" spans="1:18" x14ac:dyDescent="0.3">
      <c r="R54" s="117"/>
    </row>
  </sheetData>
  <mergeCells count="11">
    <mergeCell ref="A53:R53"/>
    <mergeCell ref="A34:R34"/>
    <mergeCell ref="A35:R35"/>
    <mergeCell ref="A50:R50"/>
    <mergeCell ref="A51:R51"/>
    <mergeCell ref="A52:R52"/>
    <mergeCell ref="A1:R1"/>
    <mergeCell ref="A2:R2"/>
    <mergeCell ref="A3:R3"/>
    <mergeCell ref="A18:R18"/>
    <mergeCell ref="A19:R19"/>
  </mergeCells>
  <pageMargins left="0.4" right="0" top="0.75" bottom="0" header="0.3" footer="0.3"/>
  <pageSetup scale="83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0">
    <pageSetUpPr fitToPage="1"/>
  </sheetPr>
  <dimension ref="A1:R54"/>
  <sheetViews>
    <sheetView showGridLines="0" zoomScaleNormal="100" workbookViewId="0">
      <pane ySplit="1" topLeftCell="A2" activePane="bottomLeft" state="frozen"/>
      <selection pane="bottomLeft" sqref="A1:R1"/>
    </sheetView>
  </sheetViews>
  <sheetFormatPr defaultColWidth="12.5546875" defaultRowHeight="14.4" x14ac:dyDescent="0.3"/>
  <cols>
    <col min="1" max="1" width="12.5546875" style="180" customWidth="1"/>
    <col min="2" max="10" width="13.5546875" style="173" hidden="1" customWidth="1"/>
    <col min="11" max="17" width="13.5546875" style="173" customWidth="1"/>
    <col min="18" max="18" width="13.5546875" style="145" customWidth="1"/>
    <col min="19" max="16384" width="12.5546875" style="173"/>
  </cols>
  <sheetData>
    <row r="1" spans="1:18" s="112" customFormat="1" ht="21" x14ac:dyDescent="0.3">
      <c r="A1" s="380" t="s">
        <v>205</v>
      </c>
      <c r="B1" s="380"/>
      <c r="C1" s="380"/>
      <c r="D1" s="380"/>
      <c r="E1" s="380"/>
      <c r="F1" s="380"/>
      <c r="G1" s="380"/>
      <c r="H1" s="380"/>
      <c r="I1" s="380"/>
      <c r="J1" s="380"/>
      <c r="K1" s="380"/>
      <c r="L1" s="380"/>
      <c r="M1" s="380"/>
      <c r="N1" s="380"/>
      <c r="O1" s="380"/>
      <c r="P1" s="380"/>
      <c r="Q1" s="380"/>
      <c r="R1" s="380"/>
    </row>
    <row r="2" spans="1:18" s="106" customFormat="1" ht="18" x14ac:dyDescent="0.3">
      <c r="A2" s="381" t="str">
        <f>'Local SUT'!A2</f>
        <v>CY 2004-2020</v>
      </c>
      <c r="B2" s="381"/>
      <c r="C2" s="381"/>
      <c r="D2" s="381"/>
      <c r="E2" s="381"/>
      <c r="F2" s="381"/>
      <c r="G2" s="381"/>
      <c r="H2" s="381"/>
      <c r="I2" s="381"/>
      <c r="J2" s="381"/>
      <c r="K2" s="381"/>
      <c r="L2" s="381"/>
      <c r="M2" s="381"/>
      <c r="N2" s="381"/>
      <c r="O2" s="381"/>
      <c r="P2" s="381"/>
      <c r="Q2" s="381"/>
      <c r="R2" s="381"/>
    </row>
    <row r="3" spans="1:18" s="106" customFormat="1" ht="18" x14ac:dyDescent="0.3">
      <c r="A3" s="370" t="s">
        <v>76</v>
      </c>
      <c r="B3" s="370"/>
      <c r="C3" s="370"/>
      <c r="D3" s="370"/>
      <c r="E3" s="370"/>
      <c r="F3" s="370"/>
      <c r="G3" s="370"/>
      <c r="H3" s="370"/>
      <c r="I3" s="370"/>
      <c r="J3" s="370"/>
      <c r="K3" s="370"/>
      <c r="L3" s="370"/>
      <c r="M3" s="370"/>
      <c r="N3" s="370"/>
      <c r="O3" s="370"/>
      <c r="P3" s="370"/>
      <c r="Q3" s="370"/>
      <c r="R3" s="370"/>
    </row>
    <row r="4" spans="1:18" s="63" customFormat="1" ht="15.6" x14ac:dyDescent="0.3">
      <c r="A4" s="77" t="s">
        <v>23</v>
      </c>
      <c r="B4" s="91">
        <v>2004</v>
      </c>
      <c r="C4" s="64">
        <v>2005</v>
      </c>
      <c r="D4" s="64">
        <v>2006</v>
      </c>
      <c r="E4" s="64">
        <v>2007</v>
      </c>
      <c r="F4" s="64">
        <v>2008</v>
      </c>
      <c r="G4" s="64">
        <v>2009</v>
      </c>
      <c r="H4" s="64">
        <v>2010</v>
      </c>
      <c r="I4" s="64">
        <v>2011</v>
      </c>
      <c r="J4" s="65">
        <v>2012</v>
      </c>
      <c r="K4" s="65">
        <v>2013</v>
      </c>
      <c r="L4" s="65">
        <v>2014</v>
      </c>
      <c r="M4" s="65">
        <v>2015</v>
      </c>
      <c r="N4" s="65">
        <v>2016</v>
      </c>
      <c r="O4" s="65">
        <v>2017</v>
      </c>
      <c r="P4" s="65">
        <v>2018</v>
      </c>
      <c r="Q4" s="65">
        <v>2019</v>
      </c>
      <c r="R4" s="49">
        <v>2020</v>
      </c>
    </row>
    <row r="5" spans="1:18" s="63" customFormat="1" ht="15.6" x14ac:dyDescent="0.3">
      <c r="A5" s="76" t="s">
        <v>24</v>
      </c>
      <c r="B5" s="108" t="s">
        <v>152</v>
      </c>
      <c r="C5" s="107" t="s">
        <v>152</v>
      </c>
      <c r="D5" s="107" t="s">
        <v>152</v>
      </c>
      <c r="E5" s="107" t="s">
        <v>152</v>
      </c>
      <c r="F5" s="107" t="s">
        <v>152</v>
      </c>
      <c r="G5" s="107" t="s">
        <v>152</v>
      </c>
      <c r="H5" s="107" t="s">
        <v>152</v>
      </c>
      <c r="I5" s="107" t="s">
        <v>152</v>
      </c>
      <c r="J5" s="107" t="s">
        <v>152</v>
      </c>
      <c r="K5" s="83" t="s">
        <v>152</v>
      </c>
      <c r="L5" s="271">
        <v>15074</v>
      </c>
      <c r="M5" s="271">
        <v>18564</v>
      </c>
      <c r="N5" s="271">
        <v>25125</v>
      </c>
      <c r="O5" s="271">
        <v>26198</v>
      </c>
      <c r="P5" s="271">
        <v>21140</v>
      </c>
      <c r="Q5" s="271">
        <v>43841</v>
      </c>
      <c r="R5" s="286">
        <v>22482</v>
      </c>
    </row>
    <row r="6" spans="1:18" s="63" customFormat="1" ht="15.6" x14ac:dyDescent="0.3">
      <c r="A6" s="75" t="s">
        <v>25</v>
      </c>
      <c r="B6" s="170" t="s">
        <v>152</v>
      </c>
      <c r="C6" s="67" t="s">
        <v>152</v>
      </c>
      <c r="D6" s="67" t="s">
        <v>152</v>
      </c>
      <c r="E6" s="67" t="s">
        <v>152</v>
      </c>
      <c r="F6" s="67" t="s">
        <v>152</v>
      </c>
      <c r="G6" s="67" t="s">
        <v>152</v>
      </c>
      <c r="H6" s="67" t="s">
        <v>152</v>
      </c>
      <c r="I6" s="67" t="s">
        <v>152</v>
      </c>
      <c r="J6" s="67" t="s">
        <v>152</v>
      </c>
      <c r="K6" s="66" t="s">
        <v>152</v>
      </c>
      <c r="L6" s="66">
        <v>6149</v>
      </c>
      <c r="M6" s="66">
        <v>8822</v>
      </c>
      <c r="N6" s="66">
        <v>8657</v>
      </c>
      <c r="O6" s="66">
        <v>6858</v>
      </c>
      <c r="P6" s="66">
        <v>7594</v>
      </c>
      <c r="Q6" s="66">
        <v>7379</v>
      </c>
      <c r="R6" s="287">
        <v>7242</v>
      </c>
    </row>
    <row r="7" spans="1:18" s="63" customFormat="1" ht="15.6" x14ac:dyDescent="0.3">
      <c r="A7" s="75" t="s">
        <v>26</v>
      </c>
      <c r="B7" s="170" t="s">
        <v>152</v>
      </c>
      <c r="C7" s="67" t="s">
        <v>152</v>
      </c>
      <c r="D7" s="67" t="s">
        <v>152</v>
      </c>
      <c r="E7" s="67" t="s">
        <v>152</v>
      </c>
      <c r="F7" s="67" t="s">
        <v>152</v>
      </c>
      <c r="G7" s="67" t="s">
        <v>152</v>
      </c>
      <c r="H7" s="67" t="s">
        <v>152</v>
      </c>
      <c r="I7" s="67" t="s">
        <v>152</v>
      </c>
      <c r="J7" s="67" t="s">
        <v>152</v>
      </c>
      <c r="K7" s="66" t="s">
        <v>152</v>
      </c>
      <c r="L7" s="66">
        <v>5438</v>
      </c>
      <c r="M7" s="66">
        <v>6814</v>
      </c>
      <c r="N7" s="66">
        <v>8750</v>
      </c>
      <c r="O7" s="66">
        <v>7897</v>
      </c>
      <c r="P7" s="66">
        <v>7819</v>
      </c>
      <c r="Q7" s="66">
        <v>6771</v>
      </c>
      <c r="R7" s="287">
        <v>6711</v>
      </c>
    </row>
    <row r="8" spans="1:18" s="63" customFormat="1" ht="15.6" x14ac:dyDescent="0.3">
      <c r="A8" s="75" t="s">
        <v>27</v>
      </c>
      <c r="B8" s="170" t="s">
        <v>152</v>
      </c>
      <c r="C8" s="67" t="s">
        <v>152</v>
      </c>
      <c r="D8" s="67" t="s">
        <v>152</v>
      </c>
      <c r="E8" s="67" t="s">
        <v>152</v>
      </c>
      <c r="F8" s="67" t="s">
        <v>152</v>
      </c>
      <c r="G8" s="67" t="s">
        <v>152</v>
      </c>
      <c r="H8" s="67" t="s">
        <v>152</v>
      </c>
      <c r="I8" s="67" t="s">
        <v>152</v>
      </c>
      <c r="J8" s="67" t="s">
        <v>152</v>
      </c>
      <c r="K8" s="66" t="s">
        <v>152</v>
      </c>
      <c r="L8" s="66">
        <v>20270</v>
      </c>
      <c r="M8" s="66">
        <v>19760</v>
      </c>
      <c r="N8" s="66">
        <v>25036</v>
      </c>
      <c r="O8" s="66">
        <v>26367</v>
      </c>
      <c r="P8" s="66">
        <v>9398</v>
      </c>
      <c r="Q8" s="66">
        <v>27056</v>
      </c>
      <c r="R8" s="287">
        <v>22968</v>
      </c>
    </row>
    <row r="9" spans="1:18" s="63" customFormat="1" ht="15.6" x14ac:dyDescent="0.3">
      <c r="A9" s="75" t="s">
        <v>28</v>
      </c>
      <c r="B9" s="170" t="s">
        <v>152</v>
      </c>
      <c r="C9" s="67" t="s">
        <v>152</v>
      </c>
      <c r="D9" s="67" t="s">
        <v>152</v>
      </c>
      <c r="E9" s="67" t="s">
        <v>152</v>
      </c>
      <c r="F9" s="67" t="s">
        <v>152</v>
      </c>
      <c r="G9" s="67" t="s">
        <v>152</v>
      </c>
      <c r="H9" s="67" t="s">
        <v>152</v>
      </c>
      <c r="I9" s="67" t="s">
        <v>152</v>
      </c>
      <c r="J9" s="67" t="s">
        <v>152</v>
      </c>
      <c r="K9" s="275">
        <v>5286</v>
      </c>
      <c r="L9" s="66">
        <v>6147</v>
      </c>
      <c r="M9" s="66">
        <v>8930</v>
      </c>
      <c r="N9" s="66">
        <v>8112</v>
      </c>
      <c r="O9" s="66">
        <v>9348</v>
      </c>
      <c r="P9" s="66">
        <v>21237</v>
      </c>
      <c r="Q9" s="66">
        <v>8308</v>
      </c>
      <c r="R9" s="287">
        <v>5993</v>
      </c>
    </row>
    <row r="10" spans="1:18" s="63" customFormat="1" ht="15.6" x14ac:dyDescent="0.3">
      <c r="A10" s="75" t="s">
        <v>29</v>
      </c>
      <c r="B10" s="170" t="s">
        <v>152</v>
      </c>
      <c r="C10" s="67" t="s">
        <v>152</v>
      </c>
      <c r="D10" s="67" t="s">
        <v>152</v>
      </c>
      <c r="E10" s="67" t="s">
        <v>152</v>
      </c>
      <c r="F10" s="67" t="s">
        <v>152</v>
      </c>
      <c r="G10" s="67" t="s">
        <v>152</v>
      </c>
      <c r="H10" s="67" t="s">
        <v>152</v>
      </c>
      <c r="I10" s="67" t="s">
        <v>152</v>
      </c>
      <c r="J10" s="67" t="s">
        <v>152</v>
      </c>
      <c r="K10" s="66">
        <v>7143</v>
      </c>
      <c r="L10" s="66">
        <v>6489</v>
      </c>
      <c r="M10" s="66">
        <v>9631</v>
      </c>
      <c r="N10" s="66">
        <v>8073</v>
      </c>
      <c r="O10" s="66">
        <v>9540</v>
      </c>
      <c r="P10" s="66">
        <v>7827</v>
      </c>
      <c r="Q10" s="66">
        <v>8936</v>
      </c>
      <c r="R10" s="287">
        <v>11308</v>
      </c>
    </row>
    <row r="11" spans="1:18" s="63" customFormat="1" ht="15.6" x14ac:dyDescent="0.3">
      <c r="A11" s="75" t="s">
        <v>30</v>
      </c>
      <c r="B11" s="170" t="s">
        <v>152</v>
      </c>
      <c r="C11" s="67" t="s">
        <v>152</v>
      </c>
      <c r="D11" s="67" t="s">
        <v>152</v>
      </c>
      <c r="E11" s="67" t="s">
        <v>152</v>
      </c>
      <c r="F11" s="67" t="s">
        <v>152</v>
      </c>
      <c r="G11" s="67" t="s">
        <v>152</v>
      </c>
      <c r="H11" s="67" t="s">
        <v>152</v>
      </c>
      <c r="I11" s="67" t="s">
        <v>152</v>
      </c>
      <c r="J11" s="67" t="s">
        <v>152</v>
      </c>
      <c r="K11" s="66">
        <v>17922</v>
      </c>
      <c r="L11" s="66">
        <v>15753</v>
      </c>
      <c r="M11" s="66">
        <v>21491</v>
      </c>
      <c r="N11" s="66">
        <v>29767</v>
      </c>
      <c r="O11" s="66">
        <v>17961</v>
      </c>
      <c r="P11" s="66">
        <v>7160</v>
      </c>
      <c r="Q11" s="66">
        <v>25238</v>
      </c>
      <c r="R11" s="291" t="s">
        <v>152</v>
      </c>
    </row>
    <row r="12" spans="1:18" s="63" customFormat="1" ht="15.6" x14ac:dyDescent="0.3">
      <c r="A12" s="75" t="s">
        <v>31</v>
      </c>
      <c r="B12" s="170" t="s">
        <v>152</v>
      </c>
      <c r="C12" s="67" t="s">
        <v>152</v>
      </c>
      <c r="D12" s="67" t="s">
        <v>152</v>
      </c>
      <c r="E12" s="67" t="s">
        <v>152</v>
      </c>
      <c r="F12" s="67" t="s">
        <v>152</v>
      </c>
      <c r="G12" s="67" t="s">
        <v>152</v>
      </c>
      <c r="H12" s="67" t="s">
        <v>152</v>
      </c>
      <c r="I12" s="67" t="s">
        <v>152</v>
      </c>
      <c r="J12" s="67" t="s">
        <v>152</v>
      </c>
      <c r="K12" s="66">
        <v>8911</v>
      </c>
      <c r="L12" s="66">
        <v>10822</v>
      </c>
      <c r="M12" s="66">
        <v>8528</v>
      </c>
      <c r="N12" s="66">
        <v>8882</v>
      </c>
      <c r="O12" s="66">
        <v>14660</v>
      </c>
      <c r="P12" s="66">
        <v>25575</v>
      </c>
      <c r="Q12" s="66">
        <v>9525</v>
      </c>
      <c r="R12" s="295" t="s">
        <v>152</v>
      </c>
    </row>
    <row r="13" spans="1:18" s="63" customFormat="1" ht="15.6" x14ac:dyDescent="0.3">
      <c r="A13" s="75" t="s">
        <v>32</v>
      </c>
      <c r="B13" s="170" t="s">
        <v>152</v>
      </c>
      <c r="C13" s="67" t="s">
        <v>152</v>
      </c>
      <c r="D13" s="67" t="s">
        <v>152</v>
      </c>
      <c r="E13" s="67" t="s">
        <v>152</v>
      </c>
      <c r="F13" s="67" t="s">
        <v>152</v>
      </c>
      <c r="G13" s="67" t="s">
        <v>152</v>
      </c>
      <c r="H13" s="67" t="s">
        <v>152</v>
      </c>
      <c r="I13" s="67" t="s">
        <v>152</v>
      </c>
      <c r="J13" s="67" t="s">
        <v>152</v>
      </c>
      <c r="K13" s="66">
        <v>8102</v>
      </c>
      <c r="L13" s="66">
        <v>9003</v>
      </c>
      <c r="M13" s="66">
        <v>9471</v>
      </c>
      <c r="N13" s="66">
        <v>9726</v>
      </c>
      <c r="O13" s="66">
        <v>9685</v>
      </c>
      <c r="P13" s="66">
        <v>9558</v>
      </c>
      <c r="Q13" s="66">
        <v>10000</v>
      </c>
      <c r="R13" s="295" t="s">
        <v>152</v>
      </c>
    </row>
    <row r="14" spans="1:18" s="63" customFormat="1" ht="15.6" x14ac:dyDescent="0.3">
      <c r="A14" s="75" t="s">
        <v>33</v>
      </c>
      <c r="B14" s="170" t="s">
        <v>152</v>
      </c>
      <c r="C14" s="67" t="s">
        <v>152</v>
      </c>
      <c r="D14" s="67" t="s">
        <v>152</v>
      </c>
      <c r="E14" s="67" t="s">
        <v>152</v>
      </c>
      <c r="F14" s="67" t="s">
        <v>152</v>
      </c>
      <c r="G14" s="67" t="s">
        <v>152</v>
      </c>
      <c r="H14" s="67" t="s">
        <v>152</v>
      </c>
      <c r="I14" s="67" t="s">
        <v>152</v>
      </c>
      <c r="J14" s="67" t="s">
        <v>152</v>
      </c>
      <c r="K14" s="66">
        <v>13203</v>
      </c>
      <c r="L14" s="66">
        <v>14710</v>
      </c>
      <c r="M14" s="66">
        <v>15016</v>
      </c>
      <c r="N14" s="66">
        <v>28574</v>
      </c>
      <c r="O14" s="66">
        <v>24863</v>
      </c>
      <c r="P14" s="66">
        <v>8498</v>
      </c>
      <c r="Q14" s="66">
        <v>26729</v>
      </c>
      <c r="R14" s="295" t="s">
        <v>152</v>
      </c>
    </row>
    <row r="15" spans="1:18" s="63" customFormat="1" ht="15.6" x14ac:dyDescent="0.3">
      <c r="A15" s="75" t="s">
        <v>34</v>
      </c>
      <c r="B15" s="170" t="s">
        <v>152</v>
      </c>
      <c r="C15" s="67" t="s">
        <v>152</v>
      </c>
      <c r="D15" s="67" t="s">
        <v>152</v>
      </c>
      <c r="E15" s="67" t="s">
        <v>152</v>
      </c>
      <c r="F15" s="67" t="s">
        <v>152</v>
      </c>
      <c r="G15" s="67" t="s">
        <v>152</v>
      </c>
      <c r="H15" s="67" t="s">
        <v>152</v>
      </c>
      <c r="I15" s="67" t="s">
        <v>152</v>
      </c>
      <c r="J15" s="67" t="s">
        <v>152</v>
      </c>
      <c r="K15" s="66">
        <v>6824</v>
      </c>
      <c r="L15" s="66">
        <v>8963</v>
      </c>
      <c r="M15" s="66">
        <v>9365</v>
      </c>
      <c r="N15" s="66">
        <v>7996</v>
      </c>
      <c r="O15" s="66">
        <v>8987</v>
      </c>
      <c r="P15" s="66">
        <v>9084</v>
      </c>
      <c r="Q15" s="66">
        <v>8825</v>
      </c>
      <c r="R15" s="295" t="s">
        <v>152</v>
      </c>
    </row>
    <row r="16" spans="1:18" s="63" customFormat="1" ht="16.2" thickBot="1" x14ac:dyDescent="0.35">
      <c r="A16" s="88" t="s">
        <v>36</v>
      </c>
      <c r="B16" s="87" t="s">
        <v>152</v>
      </c>
      <c r="C16" s="72" t="s">
        <v>152</v>
      </c>
      <c r="D16" s="72" t="s">
        <v>152</v>
      </c>
      <c r="E16" s="72" t="s">
        <v>152</v>
      </c>
      <c r="F16" s="72" t="s">
        <v>152</v>
      </c>
      <c r="G16" s="72" t="s">
        <v>152</v>
      </c>
      <c r="H16" s="72" t="s">
        <v>152</v>
      </c>
      <c r="I16" s="72" t="s">
        <v>152</v>
      </c>
      <c r="J16" s="72" t="s">
        <v>152</v>
      </c>
      <c r="K16" s="71">
        <v>8334</v>
      </c>
      <c r="L16" s="71">
        <v>9281</v>
      </c>
      <c r="M16" s="71">
        <v>10176</v>
      </c>
      <c r="N16" s="71">
        <v>9464</v>
      </c>
      <c r="O16" s="71">
        <v>9847</v>
      </c>
      <c r="P16" s="71">
        <v>9500</v>
      </c>
      <c r="Q16" s="71">
        <v>8323</v>
      </c>
      <c r="R16" s="292" t="s">
        <v>152</v>
      </c>
    </row>
    <row r="17" spans="1:18" s="63" customFormat="1" ht="16.2" thickTop="1" x14ac:dyDescent="0.3">
      <c r="A17" s="89" t="s">
        <v>37</v>
      </c>
      <c r="B17" s="90" t="s">
        <v>152</v>
      </c>
      <c r="C17" s="73" t="s">
        <v>152</v>
      </c>
      <c r="D17" s="73" t="s">
        <v>152</v>
      </c>
      <c r="E17" s="73" t="s">
        <v>152</v>
      </c>
      <c r="F17" s="73" t="s">
        <v>152</v>
      </c>
      <c r="G17" s="73" t="s">
        <v>152</v>
      </c>
      <c r="H17" s="73" t="s">
        <v>152</v>
      </c>
      <c r="I17" s="73" t="s">
        <v>152</v>
      </c>
      <c r="J17" s="73" t="s">
        <v>152</v>
      </c>
      <c r="K17" s="273">
        <f t="shared" ref="K17:P17" si="0">SUM(K5:K16)</f>
        <v>75725</v>
      </c>
      <c r="L17" s="273">
        <f t="shared" si="0"/>
        <v>128099</v>
      </c>
      <c r="M17" s="273">
        <f t="shared" si="0"/>
        <v>146568</v>
      </c>
      <c r="N17" s="273">
        <f t="shared" si="0"/>
        <v>178162</v>
      </c>
      <c r="O17" s="273">
        <f t="shared" si="0"/>
        <v>172211</v>
      </c>
      <c r="P17" s="273">
        <f t="shared" si="0"/>
        <v>144390</v>
      </c>
      <c r="Q17" s="273">
        <f t="shared" ref="Q17:R17" si="1">SUM(Q5:Q16)</f>
        <v>190931</v>
      </c>
      <c r="R17" s="288">
        <f t="shared" si="1"/>
        <v>76704</v>
      </c>
    </row>
    <row r="18" spans="1:18" s="113" customFormat="1" ht="6.6" x14ac:dyDescent="0.3">
      <c r="A18" s="371" t="s">
        <v>174</v>
      </c>
      <c r="B18" s="371"/>
      <c r="C18" s="371"/>
      <c r="D18" s="371"/>
      <c r="E18" s="371"/>
      <c r="F18" s="371"/>
      <c r="G18" s="371"/>
      <c r="H18" s="371"/>
      <c r="I18" s="371"/>
      <c r="J18" s="371"/>
      <c r="K18" s="371"/>
      <c r="L18" s="371"/>
      <c r="M18" s="371"/>
      <c r="N18" s="371"/>
      <c r="O18" s="371"/>
      <c r="P18" s="371"/>
      <c r="Q18" s="371"/>
      <c r="R18" s="371"/>
    </row>
    <row r="19" spans="1:18" s="106" customFormat="1" ht="18" x14ac:dyDescent="0.3">
      <c r="A19" s="370" t="s">
        <v>77</v>
      </c>
      <c r="B19" s="370"/>
      <c r="C19" s="370"/>
      <c r="D19" s="370"/>
      <c r="E19" s="370"/>
      <c r="F19" s="370"/>
      <c r="G19" s="370"/>
      <c r="H19" s="370"/>
      <c r="I19" s="370"/>
      <c r="J19" s="370"/>
      <c r="K19" s="370"/>
      <c r="L19" s="370"/>
      <c r="M19" s="370"/>
      <c r="N19" s="370"/>
      <c r="O19" s="370"/>
      <c r="P19" s="370"/>
      <c r="Q19" s="370"/>
      <c r="R19" s="370"/>
    </row>
    <row r="20" spans="1:18" s="63" customFormat="1" ht="15.6" x14ac:dyDescent="0.3">
      <c r="A20" s="77" t="s">
        <v>23</v>
      </c>
      <c r="B20" s="91">
        <v>2004</v>
      </c>
      <c r="C20" s="64">
        <v>2005</v>
      </c>
      <c r="D20" s="64">
        <v>2006</v>
      </c>
      <c r="E20" s="64">
        <v>2007</v>
      </c>
      <c r="F20" s="64">
        <v>2008</v>
      </c>
      <c r="G20" s="64">
        <v>2009</v>
      </c>
      <c r="H20" s="64">
        <v>2010</v>
      </c>
      <c r="I20" s="64">
        <v>2011</v>
      </c>
      <c r="J20" s="65">
        <v>2012</v>
      </c>
      <c r="K20" s="65">
        <v>2013</v>
      </c>
      <c r="L20" s="65">
        <v>2014</v>
      </c>
      <c r="M20" s="65">
        <v>2015</v>
      </c>
      <c r="N20" s="65">
        <v>2016</v>
      </c>
      <c r="O20" s="65">
        <v>2017</v>
      </c>
      <c r="P20" s="65">
        <v>2018</v>
      </c>
      <c r="Q20" s="65">
        <v>2019</v>
      </c>
      <c r="R20" s="49">
        <v>2020</v>
      </c>
    </row>
    <row r="21" spans="1:18" s="63" customFormat="1" ht="15.6" x14ac:dyDescent="0.3">
      <c r="A21" s="76" t="s">
        <v>24</v>
      </c>
      <c r="B21" s="108" t="s">
        <v>152</v>
      </c>
      <c r="C21" s="107" t="s">
        <v>152</v>
      </c>
      <c r="D21" s="107" t="s">
        <v>152</v>
      </c>
      <c r="E21" s="107" t="s">
        <v>152</v>
      </c>
      <c r="F21" s="107" t="s">
        <v>152</v>
      </c>
      <c r="G21" s="107" t="s">
        <v>152</v>
      </c>
      <c r="H21" s="107" t="s">
        <v>152</v>
      </c>
      <c r="I21" s="107" t="s">
        <v>152</v>
      </c>
      <c r="J21" s="107" t="s">
        <v>152</v>
      </c>
      <c r="K21" s="83" t="s">
        <v>152</v>
      </c>
      <c r="L21" s="271">
        <v>243</v>
      </c>
      <c r="M21" s="271">
        <v>173</v>
      </c>
      <c r="N21" s="271">
        <v>164</v>
      </c>
      <c r="O21" s="271">
        <v>894</v>
      </c>
      <c r="P21" s="271">
        <v>439</v>
      </c>
      <c r="Q21" s="299">
        <v>499</v>
      </c>
      <c r="R21" s="286">
        <v>144</v>
      </c>
    </row>
    <row r="22" spans="1:18" s="63" customFormat="1" ht="15.6" x14ac:dyDescent="0.3">
      <c r="A22" s="75" t="s">
        <v>25</v>
      </c>
      <c r="B22" s="170" t="s">
        <v>152</v>
      </c>
      <c r="C22" s="67" t="s">
        <v>152</v>
      </c>
      <c r="D22" s="67" t="s">
        <v>152</v>
      </c>
      <c r="E22" s="67" t="s">
        <v>152</v>
      </c>
      <c r="F22" s="67" t="s">
        <v>152</v>
      </c>
      <c r="G22" s="67" t="s">
        <v>152</v>
      </c>
      <c r="H22" s="67" t="s">
        <v>152</v>
      </c>
      <c r="I22" s="67" t="s">
        <v>152</v>
      </c>
      <c r="J22" s="67" t="s">
        <v>152</v>
      </c>
      <c r="K22" s="66" t="s">
        <v>152</v>
      </c>
      <c r="L22" s="66">
        <v>84</v>
      </c>
      <c r="M22" s="66">
        <v>40</v>
      </c>
      <c r="N22" s="66">
        <v>322</v>
      </c>
      <c r="O22" s="66">
        <v>73</v>
      </c>
      <c r="P22" s="66">
        <v>112</v>
      </c>
      <c r="Q22" s="66">
        <v>771</v>
      </c>
      <c r="R22" s="287">
        <v>82</v>
      </c>
    </row>
    <row r="23" spans="1:18" s="63" customFormat="1" ht="15.6" x14ac:dyDescent="0.3">
      <c r="A23" s="75" t="s">
        <v>26</v>
      </c>
      <c r="B23" s="170" t="s">
        <v>152</v>
      </c>
      <c r="C23" s="67" t="s">
        <v>152</v>
      </c>
      <c r="D23" s="67" t="s">
        <v>152</v>
      </c>
      <c r="E23" s="67" t="s">
        <v>152</v>
      </c>
      <c r="F23" s="67" t="s">
        <v>152</v>
      </c>
      <c r="G23" s="67" t="s">
        <v>152</v>
      </c>
      <c r="H23" s="67" t="s">
        <v>152</v>
      </c>
      <c r="I23" s="67" t="s">
        <v>152</v>
      </c>
      <c r="J23" s="67" t="s">
        <v>152</v>
      </c>
      <c r="K23" s="66" t="s">
        <v>152</v>
      </c>
      <c r="L23" s="66">
        <v>54</v>
      </c>
      <c r="M23" s="66">
        <v>51</v>
      </c>
      <c r="N23" s="66">
        <v>182</v>
      </c>
      <c r="O23" s="66">
        <v>104</v>
      </c>
      <c r="P23" s="66">
        <v>111</v>
      </c>
      <c r="Q23" s="66">
        <v>118</v>
      </c>
      <c r="R23" s="287">
        <v>144</v>
      </c>
    </row>
    <row r="24" spans="1:18" s="63" customFormat="1" ht="15.6" x14ac:dyDescent="0.3">
      <c r="A24" s="75" t="s">
        <v>27</v>
      </c>
      <c r="B24" s="170" t="s">
        <v>152</v>
      </c>
      <c r="C24" s="67" t="s">
        <v>152</v>
      </c>
      <c r="D24" s="67" t="s">
        <v>152</v>
      </c>
      <c r="E24" s="67" t="s">
        <v>152</v>
      </c>
      <c r="F24" s="67" t="s">
        <v>152</v>
      </c>
      <c r="G24" s="67" t="s">
        <v>152</v>
      </c>
      <c r="H24" s="67" t="s">
        <v>152</v>
      </c>
      <c r="I24" s="67" t="s">
        <v>152</v>
      </c>
      <c r="J24" s="67" t="s">
        <v>152</v>
      </c>
      <c r="K24" s="66" t="s">
        <v>152</v>
      </c>
      <c r="L24" s="66">
        <v>96</v>
      </c>
      <c r="M24" s="66">
        <v>667</v>
      </c>
      <c r="N24" s="66">
        <v>113</v>
      </c>
      <c r="O24" s="66">
        <v>221</v>
      </c>
      <c r="P24" s="66">
        <v>149</v>
      </c>
      <c r="Q24" s="66">
        <v>272</v>
      </c>
      <c r="R24" s="287">
        <v>119</v>
      </c>
    </row>
    <row r="25" spans="1:18" s="63" customFormat="1" ht="15.6" x14ac:dyDescent="0.3">
      <c r="A25" s="75" t="s">
        <v>28</v>
      </c>
      <c r="B25" s="170" t="s">
        <v>152</v>
      </c>
      <c r="C25" s="67" t="s">
        <v>152</v>
      </c>
      <c r="D25" s="67" t="s">
        <v>152</v>
      </c>
      <c r="E25" s="67" t="s">
        <v>152</v>
      </c>
      <c r="F25" s="67" t="s">
        <v>152</v>
      </c>
      <c r="G25" s="67" t="s">
        <v>152</v>
      </c>
      <c r="H25" s="67" t="s">
        <v>152</v>
      </c>
      <c r="I25" s="67" t="s">
        <v>152</v>
      </c>
      <c r="J25" s="67" t="s">
        <v>152</v>
      </c>
      <c r="K25" s="275">
        <v>1552</v>
      </c>
      <c r="L25" s="66">
        <v>45</v>
      </c>
      <c r="M25" s="66">
        <v>202</v>
      </c>
      <c r="N25" s="66">
        <v>2663</v>
      </c>
      <c r="O25" s="66">
        <v>103</v>
      </c>
      <c r="P25" s="66">
        <v>94</v>
      </c>
      <c r="Q25" s="66">
        <v>75</v>
      </c>
      <c r="R25" s="287">
        <v>46</v>
      </c>
    </row>
    <row r="26" spans="1:18" s="63" customFormat="1" ht="15.6" x14ac:dyDescent="0.3">
      <c r="A26" s="75" t="s">
        <v>29</v>
      </c>
      <c r="B26" s="170" t="s">
        <v>152</v>
      </c>
      <c r="C26" s="67" t="s">
        <v>152</v>
      </c>
      <c r="D26" s="67" t="s">
        <v>152</v>
      </c>
      <c r="E26" s="67" t="s">
        <v>152</v>
      </c>
      <c r="F26" s="67" t="s">
        <v>152</v>
      </c>
      <c r="G26" s="67" t="s">
        <v>152</v>
      </c>
      <c r="H26" s="67" t="s">
        <v>152</v>
      </c>
      <c r="I26" s="67" t="s">
        <v>152</v>
      </c>
      <c r="J26" s="67" t="s">
        <v>152</v>
      </c>
      <c r="K26" s="66">
        <v>989</v>
      </c>
      <c r="L26" s="66">
        <v>87</v>
      </c>
      <c r="M26" s="66">
        <v>138</v>
      </c>
      <c r="N26" s="66">
        <v>408</v>
      </c>
      <c r="O26" s="66">
        <v>97</v>
      </c>
      <c r="P26" s="66">
        <v>95</v>
      </c>
      <c r="Q26" s="66">
        <v>396</v>
      </c>
      <c r="R26" s="287">
        <v>52</v>
      </c>
    </row>
    <row r="27" spans="1:18" s="63" customFormat="1" ht="15.6" x14ac:dyDescent="0.3">
      <c r="A27" s="75" t="s">
        <v>30</v>
      </c>
      <c r="B27" s="170" t="s">
        <v>152</v>
      </c>
      <c r="C27" s="67" t="s">
        <v>152</v>
      </c>
      <c r="D27" s="67" t="s">
        <v>152</v>
      </c>
      <c r="E27" s="67" t="s">
        <v>152</v>
      </c>
      <c r="F27" s="67" t="s">
        <v>152</v>
      </c>
      <c r="G27" s="67" t="s">
        <v>152</v>
      </c>
      <c r="H27" s="67" t="s">
        <v>152</v>
      </c>
      <c r="I27" s="67" t="s">
        <v>152</v>
      </c>
      <c r="J27" s="67" t="s">
        <v>152</v>
      </c>
      <c r="K27" s="66">
        <v>861</v>
      </c>
      <c r="L27" s="66">
        <v>165</v>
      </c>
      <c r="M27" s="66">
        <v>458</v>
      </c>
      <c r="N27" s="66">
        <v>260</v>
      </c>
      <c r="O27" s="66">
        <v>108</v>
      </c>
      <c r="P27" s="66">
        <v>424</v>
      </c>
      <c r="Q27" s="66">
        <v>97</v>
      </c>
      <c r="R27" s="295" t="s">
        <v>152</v>
      </c>
    </row>
    <row r="28" spans="1:18" s="63" customFormat="1" ht="15.6" x14ac:dyDescent="0.3">
      <c r="A28" s="75" t="s">
        <v>31</v>
      </c>
      <c r="B28" s="170" t="s">
        <v>152</v>
      </c>
      <c r="C28" s="67" t="s">
        <v>152</v>
      </c>
      <c r="D28" s="67" t="s">
        <v>152</v>
      </c>
      <c r="E28" s="67" t="s">
        <v>152</v>
      </c>
      <c r="F28" s="67" t="s">
        <v>152</v>
      </c>
      <c r="G28" s="67" t="s">
        <v>152</v>
      </c>
      <c r="H28" s="67" t="s">
        <v>152</v>
      </c>
      <c r="I28" s="67" t="s">
        <v>152</v>
      </c>
      <c r="J28" s="67" t="s">
        <v>152</v>
      </c>
      <c r="K28" s="66">
        <v>993</v>
      </c>
      <c r="L28" s="66">
        <v>158</v>
      </c>
      <c r="M28" s="66">
        <v>56</v>
      </c>
      <c r="N28" s="66">
        <v>106</v>
      </c>
      <c r="O28" s="66">
        <v>99</v>
      </c>
      <c r="P28" s="66">
        <v>75</v>
      </c>
      <c r="Q28" s="66">
        <v>85</v>
      </c>
      <c r="R28" s="295" t="s">
        <v>152</v>
      </c>
    </row>
    <row r="29" spans="1:18" s="63" customFormat="1" ht="15.6" x14ac:dyDescent="0.3">
      <c r="A29" s="75" t="s">
        <v>32</v>
      </c>
      <c r="B29" s="170" t="s">
        <v>152</v>
      </c>
      <c r="C29" s="67" t="s">
        <v>152</v>
      </c>
      <c r="D29" s="67" t="s">
        <v>152</v>
      </c>
      <c r="E29" s="67" t="s">
        <v>152</v>
      </c>
      <c r="F29" s="67" t="s">
        <v>152</v>
      </c>
      <c r="G29" s="67" t="s">
        <v>152</v>
      </c>
      <c r="H29" s="67" t="s">
        <v>152</v>
      </c>
      <c r="I29" s="67" t="s">
        <v>152</v>
      </c>
      <c r="J29" s="67" t="s">
        <v>152</v>
      </c>
      <c r="K29" s="66">
        <v>355</v>
      </c>
      <c r="L29" s="66">
        <v>274</v>
      </c>
      <c r="M29" s="66">
        <v>63</v>
      </c>
      <c r="N29" s="66">
        <v>131</v>
      </c>
      <c r="O29" s="66">
        <v>111</v>
      </c>
      <c r="P29" s="66">
        <v>99</v>
      </c>
      <c r="Q29" s="66">
        <v>107</v>
      </c>
      <c r="R29" s="295" t="s">
        <v>152</v>
      </c>
    </row>
    <row r="30" spans="1:18" s="63" customFormat="1" ht="15.6" x14ac:dyDescent="0.3">
      <c r="A30" s="75" t="s">
        <v>33</v>
      </c>
      <c r="B30" s="170" t="s">
        <v>152</v>
      </c>
      <c r="C30" s="67" t="s">
        <v>152</v>
      </c>
      <c r="D30" s="67" t="s">
        <v>152</v>
      </c>
      <c r="E30" s="67" t="s">
        <v>152</v>
      </c>
      <c r="F30" s="67" t="s">
        <v>152</v>
      </c>
      <c r="G30" s="67" t="s">
        <v>152</v>
      </c>
      <c r="H30" s="67" t="s">
        <v>152</v>
      </c>
      <c r="I30" s="67" t="s">
        <v>152</v>
      </c>
      <c r="J30" s="67" t="s">
        <v>152</v>
      </c>
      <c r="K30" s="66">
        <v>695</v>
      </c>
      <c r="L30" s="66">
        <v>271</v>
      </c>
      <c r="M30" s="66">
        <v>164</v>
      </c>
      <c r="N30" s="66">
        <v>138</v>
      </c>
      <c r="O30" s="66">
        <v>172</v>
      </c>
      <c r="P30" s="66">
        <v>249</v>
      </c>
      <c r="Q30" s="66">
        <v>92</v>
      </c>
      <c r="R30" s="295" t="s">
        <v>152</v>
      </c>
    </row>
    <row r="31" spans="1:18" s="63" customFormat="1" ht="15.6" x14ac:dyDescent="0.3">
      <c r="A31" s="75" t="s">
        <v>34</v>
      </c>
      <c r="B31" s="170" t="s">
        <v>152</v>
      </c>
      <c r="C31" s="67" t="s">
        <v>152</v>
      </c>
      <c r="D31" s="67" t="s">
        <v>152</v>
      </c>
      <c r="E31" s="67" t="s">
        <v>152</v>
      </c>
      <c r="F31" s="67" t="s">
        <v>152</v>
      </c>
      <c r="G31" s="67" t="s">
        <v>152</v>
      </c>
      <c r="H31" s="67" t="s">
        <v>152</v>
      </c>
      <c r="I31" s="67" t="s">
        <v>152</v>
      </c>
      <c r="J31" s="67" t="s">
        <v>152</v>
      </c>
      <c r="K31" s="66">
        <v>402</v>
      </c>
      <c r="L31" s="66">
        <v>203</v>
      </c>
      <c r="M31" s="66">
        <v>178</v>
      </c>
      <c r="N31" s="66">
        <v>146</v>
      </c>
      <c r="O31" s="66">
        <v>135</v>
      </c>
      <c r="P31" s="66">
        <v>112</v>
      </c>
      <c r="Q31" s="66">
        <v>80</v>
      </c>
      <c r="R31" s="295" t="s">
        <v>152</v>
      </c>
    </row>
    <row r="32" spans="1:18" s="63" customFormat="1" ht="16.2" thickBot="1" x14ac:dyDescent="0.35">
      <c r="A32" s="88" t="s">
        <v>36</v>
      </c>
      <c r="B32" s="87" t="s">
        <v>152</v>
      </c>
      <c r="C32" s="72" t="s">
        <v>152</v>
      </c>
      <c r="D32" s="72" t="s">
        <v>152</v>
      </c>
      <c r="E32" s="72" t="s">
        <v>152</v>
      </c>
      <c r="F32" s="72" t="s">
        <v>152</v>
      </c>
      <c r="G32" s="72" t="s">
        <v>152</v>
      </c>
      <c r="H32" s="72" t="s">
        <v>152</v>
      </c>
      <c r="I32" s="72" t="s">
        <v>152</v>
      </c>
      <c r="J32" s="72" t="s">
        <v>152</v>
      </c>
      <c r="K32" s="71">
        <v>238</v>
      </c>
      <c r="L32" s="71">
        <v>481</v>
      </c>
      <c r="M32" s="71">
        <v>46</v>
      </c>
      <c r="N32" s="71">
        <v>95</v>
      </c>
      <c r="O32" s="71">
        <v>131</v>
      </c>
      <c r="P32" s="71">
        <v>155</v>
      </c>
      <c r="Q32" s="71">
        <v>73</v>
      </c>
      <c r="R32" s="292" t="s">
        <v>152</v>
      </c>
    </row>
    <row r="33" spans="1:18" s="63" customFormat="1" ht="16.2" thickTop="1" x14ac:dyDescent="0.3">
      <c r="A33" s="89" t="s">
        <v>37</v>
      </c>
      <c r="B33" s="90" t="s">
        <v>152</v>
      </c>
      <c r="C33" s="73" t="s">
        <v>152</v>
      </c>
      <c r="D33" s="73" t="s">
        <v>152</v>
      </c>
      <c r="E33" s="73" t="s">
        <v>152</v>
      </c>
      <c r="F33" s="73" t="s">
        <v>152</v>
      </c>
      <c r="G33" s="73" t="s">
        <v>152</v>
      </c>
      <c r="H33" s="73" t="s">
        <v>152</v>
      </c>
      <c r="I33" s="73" t="s">
        <v>152</v>
      </c>
      <c r="J33" s="73" t="s">
        <v>152</v>
      </c>
      <c r="K33" s="273">
        <f t="shared" ref="K33:P33" si="2">SUM(K21:K32)</f>
        <v>6085</v>
      </c>
      <c r="L33" s="273">
        <f t="shared" si="2"/>
        <v>2161</v>
      </c>
      <c r="M33" s="273">
        <f t="shared" si="2"/>
        <v>2236</v>
      </c>
      <c r="N33" s="273">
        <f t="shared" si="2"/>
        <v>4728</v>
      </c>
      <c r="O33" s="273">
        <f t="shared" si="2"/>
        <v>2248</v>
      </c>
      <c r="P33" s="273">
        <f t="shared" si="2"/>
        <v>2114</v>
      </c>
      <c r="Q33" s="273">
        <f t="shared" ref="Q33:R33" si="3">SUM(Q21:Q32)</f>
        <v>2665</v>
      </c>
      <c r="R33" s="288">
        <f t="shared" si="3"/>
        <v>587</v>
      </c>
    </row>
    <row r="34" spans="1:18" s="113" customFormat="1" ht="6.6" x14ac:dyDescent="0.3">
      <c r="A34" s="371" t="s">
        <v>174</v>
      </c>
      <c r="B34" s="371"/>
      <c r="C34" s="371"/>
      <c r="D34" s="371"/>
      <c r="E34" s="371"/>
      <c r="F34" s="371"/>
      <c r="G34" s="371"/>
      <c r="H34" s="371"/>
      <c r="I34" s="371"/>
      <c r="J34" s="371"/>
      <c r="K34" s="371"/>
      <c r="L34" s="371"/>
      <c r="M34" s="371"/>
      <c r="N34" s="371"/>
      <c r="O34" s="371"/>
      <c r="P34" s="371"/>
      <c r="Q34" s="371"/>
      <c r="R34" s="371"/>
    </row>
    <row r="35" spans="1:18" s="106" customFormat="1" ht="18" x14ac:dyDescent="0.3">
      <c r="A35" s="370" t="s">
        <v>120</v>
      </c>
      <c r="B35" s="370"/>
      <c r="C35" s="370"/>
      <c r="D35" s="370"/>
      <c r="E35" s="370"/>
      <c r="F35" s="370"/>
      <c r="G35" s="370"/>
      <c r="H35" s="370"/>
      <c r="I35" s="370"/>
      <c r="J35" s="370"/>
      <c r="K35" s="370"/>
      <c r="L35" s="370"/>
      <c r="M35" s="370"/>
      <c r="N35" s="370"/>
      <c r="O35" s="370"/>
      <c r="P35" s="370"/>
      <c r="Q35" s="370"/>
      <c r="R35" s="370"/>
    </row>
    <row r="36" spans="1:18" s="63" customFormat="1" ht="15.6" x14ac:dyDescent="0.3">
      <c r="A36" s="77" t="s">
        <v>23</v>
      </c>
      <c r="B36" s="91">
        <v>2004</v>
      </c>
      <c r="C36" s="64">
        <v>2005</v>
      </c>
      <c r="D36" s="64">
        <v>2006</v>
      </c>
      <c r="E36" s="64">
        <v>2007</v>
      </c>
      <c r="F36" s="64">
        <v>2008</v>
      </c>
      <c r="G36" s="64">
        <v>2009</v>
      </c>
      <c r="H36" s="64">
        <v>2010</v>
      </c>
      <c r="I36" s="64">
        <v>2011</v>
      </c>
      <c r="J36" s="65">
        <v>2012</v>
      </c>
      <c r="K36" s="65">
        <v>2013</v>
      </c>
      <c r="L36" s="65">
        <v>2014</v>
      </c>
      <c r="M36" s="65">
        <v>2015</v>
      </c>
      <c r="N36" s="65">
        <v>2016</v>
      </c>
      <c r="O36" s="65">
        <v>2017</v>
      </c>
      <c r="P36" s="65">
        <v>2018</v>
      </c>
      <c r="Q36" s="65">
        <v>2019</v>
      </c>
      <c r="R36" s="49">
        <v>2020</v>
      </c>
    </row>
    <row r="37" spans="1:18" s="63" customFormat="1" ht="15.6" x14ac:dyDescent="0.3">
      <c r="A37" s="76" t="s">
        <v>24</v>
      </c>
      <c r="B37" s="108" t="s">
        <v>152</v>
      </c>
      <c r="C37" s="107" t="s">
        <v>152</v>
      </c>
      <c r="D37" s="107" t="s">
        <v>152</v>
      </c>
      <c r="E37" s="107" t="s">
        <v>152</v>
      </c>
      <c r="F37" s="107" t="s">
        <v>152</v>
      </c>
      <c r="G37" s="107" t="s">
        <v>152</v>
      </c>
      <c r="H37" s="107" t="s">
        <v>152</v>
      </c>
      <c r="I37" s="107" t="s">
        <v>152</v>
      </c>
      <c r="J37" s="107" t="s">
        <v>152</v>
      </c>
      <c r="K37" s="83" t="s">
        <v>152</v>
      </c>
      <c r="L37" s="271">
        <v>0</v>
      </c>
      <c r="M37" s="271">
        <v>0</v>
      </c>
      <c r="N37" s="271">
        <v>0</v>
      </c>
      <c r="O37" s="271">
        <v>0</v>
      </c>
      <c r="P37" s="271">
        <v>-419</v>
      </c>
      <c r="Q37" s="271">
        <v>0</v>
      </c>
      <c r="R37" s="286">
        <v>0</v>
      </c>
    </row>
    <row r="38" spans="1:18" s="63" customFormat="1" ht="15.6" x14ac:dyDescent="0.3">
      <c r="A38" s="75" t="s">
        <v>25</v>
      </c>
      <c r="B38" s="170" t="s">
        <v>152</v>
      </c>
      <c r="C38" s="67" t="s">
        <v>152</v>
      </c>
      <c r="D38" s="67" t="s">
        <v>152</v>
      </c>
      <c r="E38" s="67" t="s">
        <v>152</v>
      </c>
      <c r="F38" s="67" t="s">
        <v>152</v>
      </c>
      <c r="G38" s="67" t="s">
        <v>152</v>
      </c>
      <c r="H38" s="67" t="s">
        <v>152</v>
      </c>
      <c r="I38" s="67" t="s">
        <v>152</v>
      </c>
      <c r="J38" s="67" t="s">
        <v>152</v>
      </c>
      <c r="K38" s="66" t="s">
        <v>152</v>
      </c>
      <c r="L38" s="66">
        <v>0</v>
      </c>
      <c r="M38" s="66">
        <v>0</v>
      </c>
      <c r="N38" s="66">
        <v>0</v>
      </c>
      <c r="O38" s="66">
        <v>0</v>
      </c>
      <c r="P38" s="66">
        <v>0</v>
      </c>
      <c r="Q38" s="66">
        <v>0</v>
      </c>
      <c r="R38" s="287">
        <v>0</v>
      </c>
    </row>
    <row r="39" spans="1:18" s="63" customFormat="1" ht="15.6" x14ac:dyDescent="0.3">
      <c r="A39" s="75" t="s">
        <v>26</v>
      </c>
      <c r="B39" s="170" t="s">
        <v>152</v>
      </c>
      <c r="C39" s="67" t="s">
        <v>152</v>
      </c>
      <c r="D39" s="67" t="s">
        <v>152</v>
      </c>
      <c r="E39" s="67" t="s">
        <v>152</v>
      </c>
      <c r="F39" s="67" t="s">
        <v>152</v>
      </c>
      <c r="G39" s="67" t="s">
        <v>152</v>
      </c>
      <c r="H39" s="67" t="s">
        <v>152</v>
      </c>
      <c r="I39" s="67" t="s">
        <v>152</v>
      </c>
      <c r="J39" s="67" t="s">
        <v>152</v>
      </c>
      <c r="K39" s="66" t="s">
        <v>152</v>
      </c>
      <c r="L39" s="66">
        <v>0</v>
      </c>
      <c r="M39" s="66">
        <v>0</v>
      </c>
      <c r="N39" s="66">
        <v>-2046</v>
      </c>
      <c r="O39" s="66">
        <v>-196</v>
      </c>
      <c r="P39" s="66">
        <v>0</v>
      </c>
      <c r="Q39" s="66">
        <v>0</v>
      </c>
      <c r="R39" s="287">
        <v>-80</v>
      </c>
    </row>
    <row r="40" spans="1:18" s="63" customFormat="1" ht="15.6" x14ac:dyDescent="0.3">
      <c r="A40" s="75" t="s">
        <v>27</v>
      </c>
      <c r="B40" s="170" t="s">
        <v>152</v>
      </c>
      <c r="C40" s="67" t="s">
        <v>152</v>
      </c>
      <c r="D40" s="67" t="s">
        <v>152</v>
      </c>
      <c r="E40" s="67" t="s">
        <v>152</v>
      </c>
      <c r="F40" s="67" t="s">
        <v>152</v>
      </c>
      <c r="G40" s="67" t="s">
        <v>152</v>
      </c>
      <c r="H40" s="67" t="s">
        <v>152</v>
      </c>
      <c r="I40" s="67" t="s">
        <v>152</v>
      </c>
      <c r="J40" s="67" t="s">
        <v>152</v>
      </c>
      <c r="K40" s="66" t="s">
        <v>152</v>
      </c>
      <c r="L40" s="66">
        <v>0</v>
      </c>
      <c r="M40" s="66">
        <v>-1</v>
      </c>
      <c r="N40" s="66">
        <v>-926</v>
      </c>
      <c r="O40" s="66">
        <v>0</v>
      </c>
      <c r="P40" s="66">
        <v>0</v>
      </c>
      <c r="Q40" s="66">
        <v>0</v>
      </c>
      <c r="R40" s="287">
        <v>0</v>
      </c>
    </row>
    <row r="41" spans="1:18" s="63" customFormat="1" ht="15.6" x14ac:dyDescent="0.3">
      <c r="A41" s="75" t="s">
        <v>28</v>
      </c>
      <c r="B41" s="170" t="s">
        <v>152</v>
      </c>
      <c r="C41" s="67" t="s">
        <v>152</v>
      </c>
      <c r="D41" s="67" t="s">
        <v>152</v>
      </c>
      <c r="E41" s="67" t="s">
        <v>152</v>
      </c>
      <c r="F41" s="67" t="s">
        <v>152</v>
      </c>
      <c r="G41" s="67" t="s">
        <v>152</v>
      </c>
      <c r="H41" s="67" t="s">
        <v>152</v>
      </c>
      <c r="I41" s="67" t="s">
        <v>152</v>
      </c>
      <c r="J41" s="67" t="s">
        <v>152</v>
      </c>
      <c r="K41" s="275">
        <v>0</v>
      </c>
      <c r="L41" s="66">
        <v>0</v>
      </c>
      <c r="M41" s="66">
        <v>0</v>
      </c>
      <c r="N41" s="66">
        <v>0</v>
      </c>
      <c r="O41" s="66">
        <v>0</v>
      </c>
      <c r="P41" s="66">
        <v>0</v>
      </c>
      <c r="Q41" s="66">
        <v>0</v>
      </c>
      <c r="R41" s="287">
        <v>0</v>
      </c>
    </row>
    <row r="42" spans="1:18" s="63" customFormat="1" ht="15.6" x14ac:dyDescent="0.3">
      <c r="A42" s="75" t="s">
        <v>29</v>
      </c>
      <c r="B42" s="170" t="s">
        <v>152</v>
      </c>
      <c r="C42" s="67" t="s">
        <v>152</v>
      </c>
      <c r="D42" s="67" t="s">
        <v>152</v>
      </c>
      <c r="E42" s="67" t="s">
        <v>152</v>
      </c>
      <c r="F42" s="67" t="s">
        <v>152</v>
      </c>
      <c r="G42" s="67" t="s">
        <v>152</v>
      </c>
      <c r="H42" s="67" t="s">
        <v>152</v>
      </c>
      <c r="I42" s="67" t="s">
        <v>152</v>
      </c>
      <c r="J42" s="67" t="s">
        <v>152</v>
      </c>
      <c r="K42" s="66">
        <v>0</v>
      </c>
      <c r="L42" s="66">
        <v>0</v>
      </c>
      <c r="M42" s="66">
        <v>0</v>
      </c>
      <c r="N42" s="66">
        <v>0</v>
      </c>
      <c r="O42" s="66">
        <v>-179</v>
      </c>
      <c r="P42" s="66">
        <v>0</v>
      </c>
      <c r="Q42" s="66">
        <v>0</v>
      </c>
      <c r="R42" s="287">
        <v>0</v>
      </c>
    </row>
    <row r="43" spans="1:18" s="63" customFormat="1" ht="15.6" x14ac:dyDescent="0.3">
      <c r="A43" s="75" t="s">
        <v>30</v>
      </c>
      <c r="B43" s="170" t="s">
        <v>152</v>
      </c>
      <c r="C43" s="67" t="s">
        <v>152</v>
      </c>
      <c r="D43" s="67" t="s">
        <v>152</v>
      </c>
      <c r="E43" s="67" t="s">
        <v>152</v>
      </c>
      <c r="F43" s="67" t="s">
        <v>152</v>
      </c>
      <c r="G43" s="67" t="s">
        <v>152</v>
      </c>
      <c r="H43" s="67" t="s">
        <v>152</v>
      </c>
      <c r="I43" s="67" t="s">
        <v>152</v>
      </c>
      <c r="J43" s="67" t="s">
        <v>152</v>
      </c>
      <c r="K43" s="66">
        <v>0</v>
      </c>
      <c r="L43" s="66">
        <v>0</v>
      </c>
      <c r="M43" s="66">
        <v>0</v>
      </c>
      <c r="N43" s="66">
        <v>-300</v>
      </c>
      <c r="O43" s="66">
        <v>0</v>
      </c>
      <c r="P43" s="66">
        <v>0</v>
      </c>
      <c r="Q43" s="66">
        <v>0</v>
      </c>
      <c r="R43" s="295" t="s">
        <v>152</v>
      </c>
    </row>
    <row r="44" spans="1:18" s="63" customFormat="1" ht="15.6" x14ac:dyDescent="0.3">
      <c r="A44" s="75" t="s">
        <v>31</v>
      </c>
      <c r="B44" s="170" t="s">
        <v>152</v>
      </c>
      <c r="C44" s="67" t="s">
        <v>152</v>
      </c>
      <c r="D44" s="67" t="s">
        <v>152</v>
      </c>
      <c r="E44" s="67" t="s">
        <v>152</v>
      </c>
      <c r="F44" s="67" t="s">
        <v>152</v>
      </c>
      <c r="G44" s="67" t="s">
        <v>152</v>
      </c>
      <c r="H44" s="67" t="s">
        <v>152</v>
      </c>
      <c r="I44" s="67" t="s">
        <v>152</v>
      </c>
      <c r="J44" s="67" t="s">
        <v>152</v>
      </c>
      <c r="K44" s="66">
        <v>0</v>
      </c>
      <c r="L44" s="66">
        <v>0</v>
      </c>
      <c r="M44" s="66">
        <v>0</v>
      </c>
      <c r="N44" s="66">
        <v>0</v>
      </c>
      <c r="O44" s="66">
        <v>0</v>
      </c>
      <c r="P44" s="66">
        <v>-550</v>
      </c>
      <c r="Q44" s="66">
        <v>0</v>
      </c>
      <c r="R44" s="295" t="s">
        <v>152</v>
      </c>
    </row>
    <row r="45" spans="1:18" s="63" customFormat="1" ht="15.6" x14ac:dyDescent="0.3">
      <c r="A45" s="75" t="s">
        <v>32</v>
      </c>
      <c r="B45" s="170" t="s">
        <v>152</v>
      </c>
      <c r="C45" s="67" t="s">
        <v>152</v>
      </c>
      <c r="D45" s="67" t="s">
        <v>152</v>
      </c>
      <c r="E45" s="67" t="s">
        <v>152</v>
      </c>
      <c r="F45" s="67" t="s">
        <v>152</v>
      </c>
      <c r="G45" s="67" t="s">
        <v>152</v>
      </c>
      <c r="H45" s="67" t="s">
        <v>152</v>
      </c>
      <c r="I45" s="67" t="s">
        <v>152</v>
      </c>
      <c r="J45" s="67" t="s">
        <v>152</v>
      </c>
      <c r="K45" s="66">
        <v>0</v>
      </c>
      <c r="L45" s="66">
        <v>0</v>
      </c>
      <c r="M45" s="66">
        <v>0</v>
      </c>
      <c r="N45" s="66">
        <v>0</v>
      </c>
      <c r="O45" s="66">
        <v>0</v>
      </c>
      <c r="P45" s="66">
        <v>0</v>
      </c>
      <c r="Q45" s="66">
        <v>0</v>
      </c>
      <c r="R45" s="295" t="s">
        <v>152</v>
      </c>
    </row>
    <row r="46" spans="1:18" s="63" customFormat="1" ht="15.6" x14ac:dyDescent="0.3">
      <c r="A46" s="75" t="s">
        <v>33</v>
      </c>
      <c r="B46" s="170" t="s">
        <v>152</v>
      </c>
      <c r="C46" s="67" t="s">
        <v>152</v>
      </c>
      <c r="D46" s="67" t="s">
        <v>152</v>
      </c>
      <c r="E46" s="67" t="s">
        <v>152</v>
      </c>
      <c r="F46" s="67" t="s">
        <v>152</v>
      </c>
      <c r="G46" s="67" t="s">
        <v>152</v>
      </c>
      <c r="H46" s="67" t="s">
        <v>152</v>
      </c>
      <c r="I46" s="67" t="s">
        <v>152</v>
      </c>
      <c r="J46" s="67" t="s">
        <v>152</v>
      </c>
      <c r="K46" s="66">
        <v>0</v>
      </c>
      <c r="L46" s="66">
        <v>0</v>
      </c>
      <c r="M46" s="66">
        <v>0</v>
      </c>
      <c r="N46" s="66">
        <v>0</v>
      </c>
      <c r="O46" s="66">
        <v>0</v>
      </c>
      <c r="P46" s="66">
        <v>0</v>
      </c>
      <c r="Q46" s="66">
        <v>0</v>
      </c>
      <c r="R46" s="295" t="s">
        <v>152</v>
      </c>
    </row>
    <row r="47" spans="1:18" s="63" customFormat="1" ht="15.6" x14ac:dyDescent="0.3">
      <c r="A47" s="75" t="s">
        <v>34</v>
      </c>
      <c r="B47" s="170" t="s">
        <v>152</v>
      </c>
      <c r="C47" s="67" t="s">
        <v>152</v>
      </c>
      <c r="D47" s="67" t="s">
        <v>152</v>
      </c>
      <c r="E47" s="67" t="s">
        <v>152</v>
      </c>
      <c r="F47" s="67" t="s">
        <v>152</v>
      </c>
      <c r="G47" s="67" t="s">
        <v>152</v>
      </c>
      <c r="H47" s="67" t="s">
        <v>152</v>
      </c>
      <c r="I47" s="67" t="s">
        <v>152</v>
      </c>
      <c r="J47" s="67" t="s">
        <v>152</v>
      </c>
      <c r="K47" s="66">
        <v>0</v>
      </c>
      <c r="L47" s="66">
        <v>0</v>
      </c>
      <c r="M47" s="66">
        <v>0</v>
      </c>
      <c r="N47" s="66">
        <v>0</v>
      </c>
      <c r="O47" s="66">
        <v>0</v>
      </c>
      <c r="P47" s="66">
        <v>0</v>
      </c>
      <c r="Q47" s="66">
        <v>0</v>
      </c>
      <c r="R47" s="295" t="s">
        <v>152</v>
      </c>
    </row>
    <row r="48" spans="1:18" s="63" customFormat="1" ht="16.2" thickBot="1" x14ac:dyDescent="0.35">
      <c r="A48" s="88" t="s">
        <v>36</v>
      </c>
      <c r="B48" s="87" t="s">
        <v>152</v>
      </c>
      <c r="C48" s="72" t="s">
        <v>152</v>
      </c>
      <c r="D48" s="72" t="s">
        <v>152</v>
      </c>
      <c r="E48" s="72" t="s">
        <v>152</v>
      </c>
      <c r="F48" s="72" t="s">
        <v>152</v>
      </c>
      <c r="G48" s="72" t="s">
        <v>152</v>
      </c>
      <c r="H48" s="72" t="s">
        <v>152</v>
      </c>
      <c r="I48" s="72" t="s">
        <v>152</v>
      </c>
      <c r="J48" s="72" t="s">
        <v>152</v>
      </c>
      <c r="K48" s="71">
        <v>0</v>
      </c>
      <c r="L48" s="71">
        <v>0</v>
      </c>
      <c r="M48" s="71">
        <v>0</v>
      </c>
      <c r="N48" s="71">
        <v>0</v>
      </c>
      <c r="O48" s="71">
        <v>0</v>
      </c>
      <c r="P48" s="71">
        <v>0</v>
      </c>
      <c r="Q48" s="71">
        <v>0</v>
      </c>
      <c r="R48" s="292" t="s">
        <v>152</v>
      </c>
    </row>
    <row r="49" spans="1:18" s="63" customFormat="1" ht="16.2" thickTop="1" x14ac:dyDescent="0.3">
      <c r="A49" s="89" t="s">
        <v>37</v>
      </c>
      <c r="B49" s="90" t="s">
        <v>152</v>
      </c>
      <c r="C49" s="73" t="s">
        <v>152</v>
      </c>
      <c r="D49" s="73" t="s">
        <v>152</v>
      </c>
      <c r="E49" s="73" t="s">
        <v>152</v>
      </c>
      <c r="F49" s="73" t="s">
        <v>152</v>
      </c>
      <c r="G49" s="73" t="s">
        <v>152</v>
      </c>
      <c r="H49" s="73" t="s">
        <v>152</v>
      </c>
      <c r="I49" s="73" t="s">
        <v>152</v>
      </c>
      <c r="J49" s="73" t="s">
        <v>152</v>
      </c>
      <c r="K49" s="273">
        <f t="shared" ref="K49:P49" si="4">SUM(K37:K48)</f>
        <v>0</v>
      </c>
      <c r="L49" s="273">
        <f t="shared" si="4"/>
        <v>0</v>
      </c>
      <c r="M49" s="273">
        <f t="shared" si="4"/>
        <v>-1</v>
      </c>
      <c r="N49" s="273">
        <f t="shared" si="4"/>
        <v>-3272</v>
      </c>
      <c r="O49" s="273">
        <f t="shared" si="4"/>
        <v>-375</v>
      </c>
      <c r="P49" s="273">
        <f t="shared" si="4"/>
        <v>-969</v>
      </c>
      <c r="Q49" s="273">
        <f t="shared" ref="Q49:R49" si="5">SUM(Q37:Q48)</f>
        <v>0</v>
      </c>
      <c r="R49" s="288">
        <f t="shared" si="5"/>
        <v>-80</v>
      </c>
    </row>
    <row r="50" spans="1:18" s="113" customFormat="1" ht="6.6" x14ac:dyDescent="0.3">
      <c r="A50" s="371" t="s">
        <v>174</v>
      </c>
      <c r="B50" s="371"/>
      <c r="C50" s="371"/>
      <c r="D50" s="371"/>
      <c r="E50" s="371"/>
      <c r="F50" s="371"/>
      <c r="G50" s="371"/>
      <c r="H50" s="371"/>
      <c r="I50" s="371"/>
      <c r="J50" s="371"/>
      <c r="K50" s="371"/>
      <c r="L50" s="371"/>
      <c r="M50" s="371"/>
      <c r="N50" s="371"/>
      <c r="O50" s="371"/>
      <c r="P50" s="371"/>
      <c r="Q50" s="371"/>
      <c r="R50" s="371"/>
    </row>
    <row r="51" spans="1:18" s="111" customFormat="1" ht="13.8" x14ac:dyDescent="0.3">
      <c r="A51" s="373" t="s">
        <v>156</v>
      </c>
      <c r="B51" s="373"/>
      <c r="C51" s="373"/>
      <c r="D51" s="373"/>
      <c r="E51" s="373"/>
      <c r="F51" s="373"/>
      <c r="G51" s="373"/>
      <c r="H51" s="373"/>
      <c r="I51" s="373"/>
      <c r="J51" s="373"/>
      <c r="K51" s="373"/>
      <c r="L51" s="373"/>
      <c r="M51" s="373"/>
      <c r="N51" s="373"/>
      <c r="O51" s="373"/>
      <c r="P51" s="373"/>
      <c r="Q51" s="373"/>
      <c r="R51" s="373"/>
    </row>
    <row r="52" spans="1:18" s="111" customFormat="1" ht="13.8" x14ac:dyDescent="0.3">
      <c r="A52" s="384" t="str">
        <f>'Local SUT'!A60</f>
        <v>Source:  Minnesota Department of Revenue, Tax Research Division, February 2021</v>
      </c>
      <c r="B52" s="384"/>
      <c r="C52" s="384"/>
      <c r="D52" s="384"/>
      <c r="E52" s="384"/>
      <c r="F52" s="384"/>
      <c r="G52" s="384"/>
      <c r="H52" s="384"/>
      <c r="I52" s="384"/>
      <c r="J52" s="384"/>
      <c r="K52" s="384"/>
      <c r="L52" s="384"/>
      <c r="M52" s="384"/>
      <c r="N52" s="384"/>
      <c r="O52" s="384"/>
      <c r="P52" s="384"/>
      <c r="Q52" s="384"/>
      <c r="R52" s="384"/>
    </row>
    <row r="53" spans="1:18" s="111" customFormat="1" ht="13.8" x14ac:dyDescent="0.3">
      <c r="A53" s="379" t="s">
        <v>151</v>
      </c>
      <c r="B53" s="379"/>
      <c r="C53" s="379"/>
      <c r="D53" s="379"/>
      <c r="E53" s="379"/>
      <c r="F53" s="379"/>
      <c r="G53" s="379"/>
      <c r="H53" s="379"/>
      <c r="I53" s="379"/>
      <c r="J53" s="379"/>
      <c r="K53" s="379"/>
      <c r="L53" s="379"/>
      <c r="M53" s="379"/>
      <c r="N53" s="379"/>
      <c r="O53" s="379"/>
      <c r="P53" s="379"/>
      <c r="Q53" s="379"/>
      <c r="R53" s="379"/>
    </row>
    <row r="54" spans="1:18" x14ac:dyDescent="0.3">
      <c r="R54" s="117"/>
    </row>
  </sheetData>
  <mergeCells count="11">
    <mergeCell ref="A53:R53"/>
    <mergeCell ref="A34:R34"/>
    <mergeCell ref="A35:R35"/>
    <mergeCell ref="A50:R50"/>
    <mergeCell ref="A51:R51"/>
    <mergeCell ref="A52:R52"/>
    <mergeCell ref="A1:R1"/>
    <mergeCell ref="A2:R2"/>
    <mergeCell ref="A3:R3"/>
    <mergeCell ref="A18:R18"/>
    <mergeCell ref="A19:R19"/>
  </mergeCells>
  <pageMargins left="0.4" right="0" top="0.75" bottom="0.75" header="0.3" footer="0.3"/>
  <pageSetup scale="83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7">
    <pageSetUpPr fitToPage="1"/>
  </sheetPr>
  <dimension ref="A1:R179"/>
  <sheetViews>
    <sheetView showGridLines="0" zoomScaleNormal="100" workbookViewId="0">
      <pane ySplit="1" topLeftCell="A2" activePane="bottomLeft" state="frozen"/>
      <selection pane="bottomLeft" sqref="A1:R1"/>
    </sheetView>
  </sheetViews>
  <sheetFormatPr defaultColWidth="12.5546875" defaultRowHeight="14.4" x14ac:dyDescent="0.3"/>
  <cols>
    <col min="1" max="1" width="12.5546875" style="180"/>
    <col min="2" max="17" width="13.5546875" style="173" customWidth="1"/>
    <col min="18" max="18" width="13.5546875" style="145" customWidth="1"/>
    <col min="19" max="16384" width="12.5546875" style="173"/>
  </cols>
  <sheetData>
    <row r="1" spans="1:18" s="112" customFormat="1" ht="21" x14ac:dyDescent="0.3">
      <c r="A1" s="380" t="s">
        <v>206</v>
      </c>
      <c r="B1" s="380"/>
      <c r="C1" s="380"/>
      <c r="D1" s="380"/>
      <c r="E1" s="380"/>
      <c r="F1" s="380"/>
      <c r="G1" s="380"/>
      <c r="H1" s="380"/>
      <c r="I1" s="380"/>
      <c r="J1" s="380"/>
      <c r="K1" s="380"/>
      <c r="L1" s="380"/>
      <c r="M1" s="380"/>
      <c r="N1" s="380"/>
      <c r="O1" s="380"/>
      <c r="P1" s="380"/>
      <c r="Q1" s="380"/>
      <c r="R1" s="380"/>
    </row>
    <row r="2" spans="1:18" s="106" customFormat="1" ht="18" x14ac:dyDescent="0.3">
      <c r="A2" s="381" t="str">
        <f>'Local SUT'!A2</f>
        <v>CY 2004-2020</v>
      </c>
      <c r="B2" s="381"/>
      <c r="C2" s="381"/>
      <c r="D2" s="381"/>
      <c r="E2" s="381"/>
      <c r="F2" s="381"/>
      <c r="G2" s="381"/>
      <c r="H2" s="381"/>
      <c r="I2" s="381"/>
      <c r="J2" s="381"/>
      <c r="K2" s="381"/>
      <c r="L2" s="381"/>
      <c r="M2" s="381"/>
      <c r="N2" s="381"/>
      <c r="O2" s="381"/>
      <c r="P2" s="381"/>
      <c r="Q2" s="381"/>
      <c r="R2" s="381"/>
    </row>
    <row r="3" spans="1:18" s="106" customFormat="1" ht="18" x14ac:dyDescent="0.3">
      <c r="A3" s="370" t="s">
        <v>54</v>
      </c>
      <c r="B3" s="370"/>
      <c r="C3" s="370"/>
      <c r="D3" s="370"/>
      <c r="E3" s="370"/>
      <c r="F3" s="370"/>
      <c r="G3" s="370"/>
      <c r="H3" s="370"/>
      <c r="I3" s="370"/>
      <c r="J3" s="370"/>
      <c r="K3" s="370"/>
      <c r="L3" s="370"/>
      <c r="M3" s="370"/>
      <c r="N3" s="370"/>
      <c r="O3" s="370"/>
      <c r="P3" s="370"/>
      <c r="Q3" s="370"/>
      <c r="R3" s="370"/>
    </row>
    <row r="4" spans="1:18" s="63" customFormat="1" ht="15.6" x14ac:dyDescent="0.3">
      <c r="A4" s="77" t="s">
        <v>23</v>
      </c>
      <c r="B4" s="91">
        <v>2004</v>
      </c>
      <c r="C4" s="64">
        <v>2005</v>
      </c>
      <c r="D4" s="64">
        <v>2006</v>
      </c>
      <c r="E4" s="64">
        <v>2007</v>
      </c>
      <c r="F4" s="64">
        <v>2008</v>
      </c>
      <c r="G4" s="64">
        <v>2009</v>
      </c>
      <c r="H4" s="64">
        <v>2010</v>
      </c>
      <c r="I4" s="64">
        <v>2011</v>
      </c>
      <c r="J4" s="65">
        <v>2012</v>
      </c>
      <c r="K4" s="65">
        <v>2013</v>
      </c>
      <c r="L4" s="65">
        <v>2014</v>
      </c>
      <c r="M4" s="65">
        <v>2015</v>
      </c>
      <c r="N4" s="65">
        <v>2016</v>
      </c>
      <c r="O4" s="65">
        <v>2017</v>
      </c>
      <c r="P4" s="65">
        <v>2018</v>
      </c>
      <c r="Q4" s="65">
        <v>2019</v>
      </c>
      <c r="R4" s="49">
        <v>2020</v>
      </c>
    </row>
    <row r="5" spans="1:18" s="63" customFormat="1" ht="15.6" x14ac:dyDescent="0.3">
      <c r="A5" s="175" t="s">
        <v>24</v>
      </c>
      <c r="B5" s="278">
        <v>2327880.12</v>
      </c>
      <c r="C5" s="272">
        <v>2580526.64</v>
      </c>
      <c r="D5" s="271">
        <v>2506590.02</v>
      </c>
      <c r="E5" s="271">
        <v>2581450.2599999998</v>
      </c>
      <c r="F5" s="271">
        <v>2532660.15</v>
      </c>
      <c r="G5" s="271">
        <v>2723768</v>
      </c>
      <c r="H5" s="271">
        <v>2301732</v>
      </c>
      <c r="I5" s="272">
        <v>2527168</v>
      </c>
      <c r="J5" s="272">
        <v>2608212</v>
      </c>
      <c r="K5" s="272">
        <v>2725902</v>
      </c>
      <c r="L5" s="272">
        <v>3074292</v>
      </c>
      <c r="M5" s="272">
        <v>3125722</v>
      </c>
      <c r="N5" s="272">
        <v>3129924</v>
      </c>
      <c r="O5" s="272">
        <v>3262441</v>
      </c>
      <c r="P5" s="272">
        <v>3060926</v>
      </c>
      <c r="Q5" s="272">
        <v>3245821</v>
      </c>
      <c r="R5" s="286">
        <v>3853340</v>
      </c>
    </row>
    <row r="6" spans="1:18" s="63" customFormat="1" ht="15.6" x14ac:dyDescent="0.3">
      <c r="A6" s="176" t="s">
        <v>25</v>
      </c>
      <c r="B6" s="170">
        <v>2005954.86</v>
      </c>
      <c r="C6" s="67">
        <v>2085759.11</v>
      </c>
      <c r="D6" s="66">
        <v>1939843.27</v>
      </c>
      <c r="E6" s="66">
        <v>2088663.24</v>
      </c>
      <c r="F6" s="66">
        <v>2140054.5099999998</v>
      </c>
      <c r="G6" s="66">
        <v>2259913</v>
      </c>
      <c r="H6" s="66">
        <v>1893322</v>
      </c>
      <c r="I6" s="66">
        <v>2115498</v>
      </c>
      <c r="J6" s="66">
        <v>2101283</v>
      </c>
      <c r="K6" s="66">
        <v>2230741</v>
      </c>
      <c r="L6" s="66">
        <v>2378513</v>
      </c>
      <c r="M6" s="66">
        <v>2603872</v>
      </c>
      <c r="N6" s="66">
        <v>2458372</v>
      </c>
      <c r="O6" s="66">
        <v>2499787</v>
      </c>
      <c r="P6" s="66">
        <v>2766396</v>
      </c>
      <c r="Q6" s="66">
        <v>2666398</v>
      </c>
      <c r="R6" s="287">
        <v>2957945</v>
      </c>
    </row>
    <row r="7" spans="1:18" s="63" customFormat="1" ht="15.6" x14ac:dyDescent="0.3">
      <c r="A7" s="176" t="s">
        <v>26</v>
      </c>
      <c r="B7" s="170">
        <v>1780700.4</v>
      </c>
      <c r="C7" s="67">
        <v>1942425.12</v>
      </c>
      <c r="D7" s="66">
        <v>1829655.48</v>
      </c>
      <c r="E7" s="66">
        <v>2191595.79</v>
      </c>
      <c r="F7" s="66">
        <v>2056420.71</v>
      </c>
      <c r="G7" s="66">
        <v>1952198</v>
      </c>
      <c r="H7" s="66">
        <v>1700643</v>
      </c>
      <c r="I7" s="66">
        <v>2133867</v>
      </c>
      <c r="J7" s="66">
        <v>1947559</v>
      </c>
      <c r="K7" s="66">
        <v>2058358</v>
      </c>
      <c r="L7" s="66">
        <v>2069834</v>
      </c>
      <c r="M7" s="66">
        <v>2296261</v>
      </c>
      <c r="N7" s="66">
        <v>2519349</v>
      </c>
      <c r="O7" s="66">
        <v>2418394</v>
      </c>
      <c r="P7" s="66">
        <v>2649160</v>
      </c>
      <c r="Q7" s="66">
        <v>2632582</v>
      </c>
      <c r="R7" s="287">
        <v>2719444</v>
      </c>
    </row>
    <row r="8" spans="1:18" s="63" customFormat="1" ht="15.6" x14ac:dyDescent="0.3">
      <c r="A8" s="176" t="s">
        <v>27</v>
      </c>
      <c r="B8" s="170">
        <v>2171308.92</v>
      </c>
      <c r="C8" s="67">
        <v>2235513.06</v>
      </c>
      <c r="D8" s="66">
        <v>2280410.69</v>
      </c>
      <c r="E8" s="66">
        <v>2434056.86</v>
      </c>
      <c r="F8" s="66">
        <v>2422632.04</v>
      </c>
      <c r="G8" s="66">
        <v>2154419</v>
      </c>
      <c r="H8" s="66">
        <v>2099513</v>
      </c>
      <c r="I8" s="66">
        <v>2233559</v>
      </c>
      <c r="J8" s="66">
        <v>2535817</v>
      </c>
      <c r="K8" s="66">
        <v>2443996</v>
      </c>
      <c r="L8" s="66">
        <v>2410691</v>
      </c>
      <c r="M8" s="66">
        <v>2662781</v>
      </c>
      <c r="N8" s="66">
        <v>2763230</v>
      </c>
      <c r="O8" s="66">
        <v>2775053</v>
      </c>
      <c r="P8" s="66">
        <v>2806374</v>
      </c>
      <c r="Q8" s="66">
        <v>3103733</v>
      </c>
      <c r="R8" s="287">
        <v>2631577</v>
      </c>
    </row>
    <row r="9" spans="1:18" s="63" customFormat="1" ht="15.6" x14ac:dyDescent="0.3">
      <c r="A9" s="176" t="s">
        <v>28</v>
      </c>
      <c r="B9" s="170">
        <v>1960443.49</v>
      </c>
      <c r="C9" s="67">
        <v>1956518.23</v>
      </c>
      <c r="D9" s="66">
        <v>2028969.21</v>
      </c>
      <c r="E9" s="66">
        <v>2070405.38</v>
      </c>
      <c r="F9" s="66">
        <v>2266911.27</v>
      </c>
      <c r="G9" s="66">
        <v>2178054</v>
      </c>
      <c r="H9" s="66">
        <v>1578756</v>
      </c>
      <c r="I9" s="66">
        <v>2473311</v>
      </c>
      <c r="J9" s="66">
        <v>2267038</v>
      </c>
      <c r="K9" s="66">
        <v>2579200</v>
      </c>
      <c r="L9" s="66">
        <v>2556002</v>
      </c>
      <c r="M9" s="66">
        <v>2588709</v>
      </c>
      <c r="N9" s="66">
        <v>2741085</v>
      </c>
      <c r="O9" s="66">
        <v>2669316</v>
      </c>
      <c r="P9" s="66">
        <v>2751840</v>
      </c>
      <c r="Q9" s="66">
        <v>3238731</v>
      </c>
      <c r="R9" s="287">
        <v>1939085</v>
      </c>
    </row>
    <row r="10" spans="1:18" s="63" customFormat="1" ht="15.6" x14ac:dyDescent="0.3">
      <c r="A10" s="176" t="s">
        <v>29</v>
      </c>
      <c r="B10" s="170">
        <v>2075997.91</v>
      </c>
      <c r="C10" s="67">
        <v>2013019.34</v>
      </c>
      <c r="D10" s="66">
        <v>2071287.33</v>
      </c>
      <c r="E10" s="66">
        <v>2600737.35</v>
      </c>
      <c r="F10" s="66">
        <v>2321264.94</v>
      </c>
      <c r="G10" s="66">
        <v>2197772</v>
      </c>
      <c r="H10" s="66">
        <v>2289039</v>
      </c>
      <c r="I10" s="66">
        <v>2394059</v>
      </c>
      <c r="J10" s="66">
        <v>2395336</v>
      </c>
      <c r="K10" s="66">
        <v>2600514</v>
      </c>
      <c r="L10" s="66">
        <v>2716650</v>
      </c>
      <c r="M10" s="66">
        <v>2877069</v>
      </c>
      <c r="N10" s="66">
        <v>2991082</v>
      </c>
      <c r="O10" s="66">
        <v>2829923</v>
      </c>
      <c r="P10" s="66">
        <v>3049682</v>
      </c>
      <c r="Q10" s="66">
        <v>3186191</v>
      </c>
      <c r="R10" s="287">
        <v>1935205</v>
      </c>
    </row>
    <row r="11" spans="1:18" s="63" customFormat="1" ht="15.6" x14ac:dyDescent="0.3">
      <c r="A11" s="176" t="s">
        <v>30</v>
      </c>
      <c r="B11" s="170">
        <v>1668310.94</v>
      </c>
      <c r="C11" s="67">
        <v>1685337.79</v>
      </c>
      <c r="D11" s="66">
        <v>1679937.3</v>
      </c>
      <c r="E11" s="66">
        <v>1993371.93</v>
      </c>
      <c r="F11" s="66">
        <v>1983541.79</v>
      </c>
      <c r="G11" s="66">
        <v>1672760</v>
      </c>
      <c r="H11" s="66">
        <v>1963017</v>
      </c>
      <c r="I11" s="66">
        <v>2080206</v>
      </c>
      <c r="J11" s="66">
        <v>2398216</v>
      </c>
      <c r="K11" s="66">
        <v>2446595</v>
      </c>
      <c r="L11" s="66">
        <v>2556229</v>
      </c>
      <c r="M11" s="66">
        <v>2820326</v>
      </c>
      <c r="N11" s="66">
        <v>2723652</v>
      </c>
      <c r="O11" s="66">
        <v>2789070</v>
      </c>
      <c r="P11" s="66">
        <v>2977367</v>
      </c>
      <c r="Q11" s="66">
        <v>3113670</v>
      </c>
      <c r="R11" s="291" t="s">
        <v>152</v>
      </c>
    </row>
    <row r="12" spans="1:18" s="63" customFormat="1" ht="15.6" x14ac:dyDescent="0.3">
      <c r="A12" s="176" t="s">
        <v>31</v>
      </c>
      <c r="B12" s="170">
        <v>2500680.35</v>
      </c>
      <c r="C12" s="67">
        <v>2542391.48</v>
      </c>
      <c r="D12" s="66">
        <v>2609179.11</v>
      </c>
      <c r="E12" s="66">
        <v>2708228.82</v>
      </c>
      <c r="F12" s="66">
        <v>2627216.21</v>
      </c>
      <c r="G12" s="66">
        <v>2317420</v>
      </c>
      <c r="H12" s="66">
        <v>2546429</v>
      </c>
      <c r="I12" s="66">
        <v>2721563</v>
      </c>
      <c r="J12" s="66">
        <v>2845142</v>
      </c>
      <c r="K12" s="66">
        <v>3002823</v>
      </c>
      <c r="L12" s="66">
        <v>3279214</v>
      </c>
      <c r="M12" s="66">
        <v>3187249</v>
      </c>
      <c r="N12" s="66">
        <v>3213603</v>
      </c>
      <c r="O12" s="66">
        <v>3397084</v>
      </c>
      <c r="P12" s="66">
        <v>3354965</v>
      </c>
      <c r="Q12" s="66">
        <v>3521142</v>
      </c>
      <c r="R12" s="295" t="s">
        <v>152</v>
      </c>
    </row>
    <row r="13" spans="1:18" s="63" customFormat="1" ht="15.6" x14ac:dyDescent="0.3">
      <c r="A13" s="176" t="s">
        <v>32</v>
      </c>
      <c r="B13" s="170">
        <v>1906141.21</v>
      </c>
      <c r="C13" s="67">
        <v>2043185.36</v>
      </c>
      <c r="D13" s="66">
        <v>2413804.09</v>
      </c>
      <c r="E13" s="66">
        <v>2094169.64</v>
      </c>
      <c r="F13" s="66">
        <v>2318126.42</v>
      </c>
      <c r="G13" s="66">
        <v>2023638</v>
      </c>
      <c r="H13" s="66">
        <v>2295132</v>
      </c>
      <c r="I13" s="66">
        <v>2698603</v>
      </c>
      <c r="J13" s="66">
        <v>2534668</v>
      </c>
      <c r="K13" s="66">
        <v>2644562</v>
      </c>
      <c r="L13" s="66">
        <v>2698691</v>
      </c>
      <c r="M13" s="66">
        <v>2794125</v>
      </c>
      <c r="N13" s="66">
        <v>2952400</v>
      </c>
      <c r="O13" s="66">
        <v>2965145</v>
      </c>
      <c r="P13" s="66">
        <v>3161840</v>
      </c>
      <c r="Q13" s="66">
        <v>3330830</v>
      </c>
      <c r="R13" s="295" t="s">
        <v>152</v>
      </c>
    </row>
    <row r="14" spans="1:18" s="63" customFormat="1" ht="15.6" x14ac:dyDescent="0.3">
      <c r="A14" s="176" t="s">
        <v>33</v>
      </c>
      <c r="B14" s="170">
        <v>2154138.84</v>
      </c>
      <c r="C14" s="67">
        <v>2181407.88</v>
      </c>
      <c r="D14" s="66">
        <v>2255023.27</v>
      </c>
      <c r="E14" s="66">
        <v>2212026.5699999998</v>
      </c>
      <c r="F14" s="66">
        <v>2638188.73</v>
      </c>
      <c r="G14" s="66">
        <v>2151968</v>
      </c>
      <c r="H14" s="66">
        <v>2605578</v>
      </c>
      <c r="I14" s="66">
        <v>2571578</v>
      </c>
      <c r="J14" s="66">
        <v>2791772</v>
      </c>
      <c r="K14" s="66">
        <v>2814688</v>
      </c>
      <c r="L14" s="66">
        <v>2780792</v>
      </c>
      <c r="M14" s="66">
        <v>2928902</v>
      </c>
      <c r="N14" s="66">
        <v>3154838</v>
      </c>
      <c r="O14" s="66">
        <v>3210028</v>
      </c>
      <c r="P14" s="66">
        <v>3573398</v>
      </c>
      <c r="Q14" s="66">
        <v>3561026</v>
      </c>
      <c r="R14" s="295" t="s">
        <v>152</v>
      </c>
    </row>
    <row r="15" spans="1:18" s="63" customFormat="1" ht="15.6" x14ac:dyDescent="0.3">
      <c r="A15" s="176" t="s">
        <v>34</v>
      </c>
      <c r="B15" s="170">
        <v>2006687.49</v>
      </c>
      <c r="C15" s="67">
        <v>2073990.76</v>
      </c>
      <c r="D15" s="66">
        <v>2136714.1800000002</v>
      </c>
      <c r="E15" s="66">
        <v>2373174.88</v>
      </c>
      <c r="F15" s="66" t="s">
        <v>35</v>
      </c>
      <c r="G15" s="66">
        <v>2034373</v>
      </c>
      <c r="H15" s="66">
        <v>2176039</v>
      </c>
      <c r="I15" s="66">
        <v>2315848</v>
      </c>
      <c r="J15" s="66">
        <v>2451745</v>
      </c>
      <c r="K15" s="66">
        <v>2685245</v>
      </c>
      <c r="L15" s="66">
        <v>2753579</v>
      </c>
      <c r="M15" s="66">
        <v>2791745</v>
      </c>
      <c r="N15" s="66">
        <v>2840985</v>
      </c>
      <c r="O15" s="66">
        <v>2893553</v>
      </c>
      <c r="P15" s="66">
        <v>3309295</v>
      </c>
      <c r="Q15" s="66">
        <v>3375805</v>
      </c>
      <c r="R15" s="295" t="s">
        <v>152</v>
      </c>
    </row>
    <row r="16" spans="1:18" s="63" customFormat="1" ht="16.2" thickBot="1" x14ac:dyDescent="0.35">
      <c r="A16" s="177" t="s">
        <v>36</v>
      </c>
      <c r="B16" s="87">
        <v>1867139.13</v>
      </c>
      <c r="C16" s="72">
        <v>1942694.37</v>
      </c>
      <c r="D16" s="72">
        <v>1915995.65</v>
      </c>
      <c r="E16" s="72">
        <v>2170796.79</v>
      </c>
      <c r="F16" s="72">
        <v>3703996</v>
      </c>
      <c r="G16" s="71">
        <v>1724864</v>
      </c>
      <c r="H16" s="71">
        <v>1936185</v>
      </c>
      <c r="I16" s="71">
        <v>2091896</v>
      </c>
      <c r="J16" s="71">
        <v>2195482</v>
      </c>
      <c r="K16" s="71">
        <v>2498441</v>
      </c>
      <c r="L16" s="71">
        <v>2454556</v>
      </c>
      <c r="M16" s="71">
        <v>2503885</v>
      </c>
      <c r="N16" s="71">
        <v>2609894</v>
      </c>
      <c r="O16" s="71">
        <v>2676063</v>
      </c>
      <c r="P16" s="71">
        <v>3021910</v>
      </c>
      <c r="Q16" s="71">
        <v>2986353</v>
      </c>
      <c r="R16" s="292" t="s">
        <v>152</v>
      </c>
    </row>
    <row r="17" spans="1:18" s="63" customFormat="1" ht="16.2" thickTop="1" x14ac:dyDescent="0.3">
      <c r="A17" s="89" t="s">
        <v>37</v>
      </c>
      <c r="B17" s="277">
        <f t="shared" ref="B17:P17" si="0">SUM(B5:B16)</f>
        <v>24425383.659999996</v>
      </c>
      <c r="C17" s="273">
        <f t="shared" si="0"/>
        <v>25282769.140000001</v>
      </c>
      <c r="D17" s="273">
        <f t="shared" si="0"/>
        <v>25667409.599999998</v>
      </c>
      <c r="E17" s="273">
        <f t="shared" si="0"/>
        <v>27518677.509999998</v>
      </c>
      <c r="F17" s="273">
        <f t="shared" si="0"/>
        <v>27011012.77</v>
      </c>
      <c r="G17" s="273">
        <f t="shared" si="0"/>
        <v>25391147</v>
      </c>
      <c r="H17" s="273">
        <f t="shared" si="0"/>
        <v>25385385</v>
      </c>
      <c r="I17" s="273">
        <f t="shared" si="0"/>
        <v>28357156</v>
      </c>
      <c r="J17" s="273">
        <f t="shared" si="0"/>
        <v>29072270</v>
      </c>
      <c r="K17" s="273">
        <f t="shared" si="0"/>
        <v>30731065</v>
      </c>
      <c r="L17" s="273">
        <f t="shared" si="0"/>
        <v>31729043</v>
      </c>
      <c r="M17" s="273">
        <f t="shared" si="0"/>
        <v>33180646</v>
      </c>
      <c r="N17" s="273">
        <f t="shared" si="0"/>
        <v>34098414</v>
      </c>
      <c r="O17" s="273">
        <f t="shared" si="0"/>
        <v>34385857</v>
      </c>
      <c r="P17" s="273">
        <f t="shared" si="0"/>
        <v>36483153</v>
      </c>
      <c r="Q17" s="273">
        <f t="shared" ref="Q17:R17" si="1">SUM(Q5:Q16)</f>
        <v>37962282</v>
      </c>
      <c r="R17" s="288">
        <f t="shared" si="1"/>
        <v>16036596</v>
      </c>
    </row>
    <row r="18" spans="1:18" s="113" customFormat="1" ht="6.6" x14ac:dyDescent="0.3">
      <c r="A18" s="371" t="s">
        <v>174</v>
      </c>
      <c r="B18" s="371"/>
      <c r="C18" s="371"/>
      <c r="D18" s="371"/>
      <c r="E18" s="371"/>
      <c r="F18" s="371"/>
      <c r="G18" s="371"/>
      <c r="H18" s="371"/>
      <c r="I18" s="371"/>
      <c r="J18" s="371"/>
      <c r="K18" s="371"/>
      <c r="L18" s="371"/>
      <c r="M18" s="371"/>
      <c r="N18" s="371"/>
      <c r="O18" s="371"/>
      <c r="P18" s="371"/>
      <c r="Q18" s="371"/>
      <c r="R18" s="371"/>
    </row>
    <row r="19" spans="1:18" s="106" customFormat="1" ht="18" x14ac:dyDescent="0.3">
      <c r="A19" s="370" t="s">
        <v>55</v>
      </c>
      <c r="B19" s="370"/>
      <c r="C19" s="370"/>
      <c r="D19" s="370"/>
      <c r="E19" s="370"/>
      <c r="F19" s="370"/>
      <c r="G19" s="370"/>
      <c r="H19" s="370"/>
      <c r="I19" s="370"/>
      <c r="J19" s="370"/>
      <c r="K19" s="370"/>
      <c r="L19" s="370"/>
      <c r="M19" s="370"/>
      <c r="N19" s="370"/>
      <c r="O19" s="370"/>
      <c r="P19" s="370"/>
      <c r="Q19" s="370"/>
      <c r="R19" s="370"/>
    </row>
    <row r="20" spans="1:18" s="63" customFormat="1" ht="15.6" x14ac:dyDescent="0.3">
      <c r="A20" s="77" t="s">
        <v>23</v>
      </c>
      <c r="B20" s="91">
        <v>2004</v>
      </c>
      <c r="C20" s="64">
        <v>2005</v>
      </c>
      <c r="D20" s="64">
        <v>2006</v>
      </c>
      <c r="E20" s="64">
        <v>2007</v>
      </c>
      <c r="F20" s="64">
        <v>2008</v>
      </c>
      <c r="G20" s="64">
        <v>2009</v>
      </c>
      <c r="H20" s="64">
        <v>2010</v>
      </c>
      <c r="I20" s="64">
        <v>2011</v>
      </c>
      <c r="J20" s="65">
        <v>2012</v>
      </c>
      <c r="K20" s="65">
        <v>2013</v>
      </c>
      <c r="L20" s="65">
        <v>2014</v>
      </c>
      <c r="M20" s="65">
        <v>2015</v>
      </c>
      <c r="N20" s="65">
        <v>2016</v>
      </c>
      <c r="O20" s="65">
        <v>2017</v>
      </c>
      <c r="P20" s="65">
        <v>2018</v>
      </c>
      <c r="Q20" s="65">
        <v>2019</v>
      </c>
      <c r="R20" s="49">
        <v>2020</v>
      </c>
    </row>
    <row r="21" spans="1:18" s="63" customFormat="1" ht="15.6" x14ac:dyDescent="0.3">
      <c r="A21" s="175" t="s">
        <v>24</v>
      </c>
      <c r="B21" s="278">
        <v>228084.52</v>
      </c>
      <c r="C21" s="272">
        <v>376140.31</v>
      </c>
      <c r="D21" s="271">
        <v>318065.5</v>
      </c>
      <c r="E21" s="271">
        <v>290725.40000000002</v>
      </c>
      <c r="F21" s="271">
        <v>303009.44</v>
      </c>
      <c r="G21" s="271">
        <v>385490</v>
      </c>
      <c r="H21" s="271">
        <v>270571</v>
      </c>
      <c r="I21" s="271">
        <v>369925</v>
      </c>
      <c r="J21" s="272">
        <v>256564</v>
      </c>
      <c r="K21" s="272">
        <v>322169</v>
      </c>
      <c r="L21" s="272">
        <v>298265</v>
      </c>
      <c r="M21" s="272">
        <v>359946</v>
      </c>
      <c r="N21" s="272">
        <v>410049</v>
      </c>
      <c r="O21" s="272">
        <v>625779</v>
      </c>
      <c r="P21" s="272">
        <v>620671</v>
      </c>
      <c r="Q21" s="272">
        <v>10060167</v>
      </c>
      <c r="R21" s="286">
        <v>436990</v>
      </c>
    </row>
    <row r="22" spans="1:18" s="63" customFormat="1" ht="15.6" x14ac:dyDescent="0.3">
      <c r="A22" s="176" t="s">
        <v>25</v>
      </c>
      <c r="B22" s="170">
        <v>190673.98</v>
      </c>
      <c r="C22" s="67">
        <v>762427.59</v>
      </c>
      <c r="D22" s="66">
        <v>226855.23</v>
      </c>
      <c r="E22" s="66">
        <v>250821.42</v>
      </c>
      <c r="F22" s="66">
        <v>216380.64</v>
      </c>
      <c r="G22" s="66">
        <v>208565</v>
      </c>
      <c r="H22" s="66">
        <v>306183</v>
      </c>
      <c r="I22" s="66">
        <v>201796</v>
      </c>
      <c r="J22" s="66">
        <v>748706</v>
      </c>
      <c r="K22" s="66">
        <v>224607</v>
      </c>
      <c r="L22" s="66">
        <v>341748</v>
      </c>
      <c r="M22" s="66">
        <v>268097</v>
      </c>
      <c r="N22" s="66">
        <v>375285</v>
      </c>
      <c r="O22" s="66">
        <v>226743</v>
      </c>
      <c r="P22" s="66">
        <v>390692</v>
      </c>
      <c r="Q22" s="66">
        <v>183185</v>
      </c>
      <c r="R22" s="287">
        <v>249807</v>
      </c>
    </row>
    <row r="23" spans="1:18" s="63" customFormat="1" ht="15.6" x14ac:dyDescent="0.3">
      <c r="A23" s="176" t="s">
        <v>26</v>
      </c>
      <c r="B23" s="170">
        <v>225023.95</v>
      </c>
      <c r="C23" s="67">
        <v>165199.6</v>
      </c>
      <c r="D23" s="66">
        <v>170995.64</v>
      </c>
      <c r="E23" s="66">
        <v>187980.29</v>
      </c>
      <c r="F23" s="66">
        <v>198803.12</v>
      </c>
      <c r="G23" s="66">
        <v>172267</v>
      </c>
      <c r="H23" s="66">
        <v>408879</v>
      </c>
      <c r="I23" s="66">
        <v>190889</v>
      </c>
      <c r="J23" s="66">
        <v>147534</v>
      </c>
      <c r="K23" s="66">
        <v>150098</v>
      </c>
      <c r="L23" s="66">
        <v>361289</v>
      </c>
      <c r="M23" s="66">
        <v>192231</v>
      </c>
      <c r="N23" s="66">
        <v>170939</v>
      </c>
      <c r="O23" s="66">
        <v>236085</v>
      </c>
      <c r="P23" s="66">
        <v>156667</v>
      </c>
      <c r="Q23" s="66">
        <v>295341</v>
      </c>
      <c r="R23" s="287">
        <v>261554</v>
      </c>
    </row>
    <row r="24" spans="1:18" s="63" customFormat="1" ht="15.6" x14ac:dyDescent="0.3">
      <c r="A24" s="176" t="s">
        <v>27</v>
      </c>
      <c r="B24" s="170">
        <v>168393.82</v>
      </c>
      <c r="C24" s="67">
        <v>219508.41</v>
      </c>
      <c r="D24" s="66">
        <v>248005.22</v>
      </c>
      <c r="E24" s="66">
        <v>253233.87</v>
      </c>
      <c r="F24" s="66">
        <v>307427.46000000002</v>
      </c>
      <c r="G24" s="66">
        <v>132932</v>
      </c>
      <c r="H24" s="66">
        <v>157422</v>
      </c>
      <c r="I24" s="66">
        <v>195168</v>
      </c>
      <c r="J24" s="66">
        <v>194663</v>
      </c>
      <c r="K24" s="66">
        <v>267763</v>
      </c>
      <c r="L24" s="66">
        <v>535387</v>
      </c>
      <c r="M24" s="66">
        <v>204193</v>
      </c>
      <c r="N24" s="66">
        <v>255341</v>
      </c>
      <c r="O24" s="66">
        <v>248482</v>
      </c>
      <c r="P24" s="66">
        <v>259252</v>
      </c>
      <c r="Q24" s="66">
        <v>270779</v>
      </c>
      <c r="R24" s="287">
        <v>356622</v>
      </c>
    </row>
    <row r="25" spans="1:18" s="63" customFormat="1" ht="15.6" x14ac:dyDescent="0.3">
      <c r="A25" s="176" t="s">
        <v>28</v>
      </c>
      <c r="B25" s="170">
        <v>163773.21</v>
      </c>
      <c r="C25" s="67">
        <v>208220.16</v>
      </c>
      <c r="D25" s="66">
        <v>197880.69</v>
      </c>
      <c r="E25" s="66">
        <v>210986.35</v>
      </c>
      <c r="F25" s="66">
        <v>270981.06</v>
      </c>
      <c r="G25" s="66">
        <v>156847</v>
      </c>
      <c r="H25" s="66">
        <v>187038</v>
      </c>
      <c r="I25" s="66">
        <v>260971</v>
      </c>
      <c r="J25" s="66">
        <v>211422</v>
      </c>
      <c r="K25" s="66">
        <v>213474</v>
      </c>
      <c r="L25" s="66">
        <v>186073</v>
      </c>
      <c r="M25" s="66">
        <v>257135</v>
      </c>
      <c r="N25" s="66">
        <v>326764</v>
      </c>
      <c r="O25" s="66">
        <v>196649</v>
      </c>
      <c r="P25" s="66">
        <v>186078</v>
      </c>
      <c r="Q25" s="66">
        <v>242224</v>
      </c>
      <c r="R25" s="287">
        <v>148109</v>
      </c>
    </row>
    <row r="26" spans="1:18" s="63" customFormat="1" ht="15.6" x14ac:dyDescent="0.3">
      <c r="A26" s="176" t="s">
        <v>29</v>
      </c>
      <c r="B26" s="170">
        <v>220367.65</v>
      </c>
      <c r="C26" s="67">
        <v>174555.86</v>
      </c>
      <c r="D26" s="66">
        <v>262725.34000000003</v>
      </c>
      <c r="E26" s="66">
        <v>245443.07</v>
      </c>
      <c r="F26" s="66">
        <v>215594.77</v>
      </c>
      <c r="G26" s="66">
        <v>113640</v>
      </c>
      <c r="H26" s="66">
        <v>203227</v>
      </c>
      <c r="I26" s="66">
        <v>141627</v>
      </c>
      <c r="J26" s="66">
        <v>234630</v>
      </c>
      <c r="K26" s="66">
        <v>224024</v>
      </c>
      <c r="L26" s="66">
        <v>163683</v>
      </c>
      <c r="M26" s="66">
        <v>253734</v>
      </c>
      <c r="N26" s="66">
        <v>212581</v>
      </c>
      <c r="O26" s="66">
        <v>244481</v>
      </c>
      <c r="P26" s="66">
        <v>272778</v>
      </c>
      <c r="Q26" s="66">
        <v>214058</v>
      </c>
      <c r="R26" s="287">
        <v>203691</v>
      </c>
    </row>
    <row r="27" spans="1:18" s="63" customFormat="1" ht="15.6" x14ac:dyDescent="0.3">
      <c r="A27" s="176" t="s">
        <v>30</v>
      </c>
      <c r="B27" s="170">
        <v>179658.16</v>
      </c>
      <c r="C27" s="67">
        <v>240286.2</v>
      </c>
      <c r="D27" s="66">
        <v>159098.68</v>
      </c>
      <c r="E27" s="66">
        <v>194069.17</v>
      </c>
      <c r="F27" s="66">
        <v>176363.96</v>
      </c>
      <c r="G27" s="66">
        <v>168985</v>
      </c>
      <c r="H27" s="66">
        <v>142564</v>
      </c>
      <c r="I27" s="66">
        <v>181544</v>
      </c>
      <c r="J27" s="66">
        <v>221467</v>
      </c>
      <c r="K27" s="66">
        <v>257334</v>
      </c>
      <c r="L27" s="66">
        <v>219557</v>
      </c>
      <c r="M27" s="66">
        <v>208964</v>
      </c>
      <c r="N27" s="66">
        <v>294924</v>
      </c>
      <c r="O27" s="66">
        <v>390226</v>
      </c>
      <c r="P27" s="66">
        <v>238713</v>
      </c>
      <c r="Q27" s="66">
        <v>282052</v>
      </c>
      <c r="R27" s="295" t="s">
        <v>152</v>
      </c>
    </row>
    <row r="28" spans="1:18" s="63" customFormat="1" ht="15.6" x14ac:dyDescent="0.3">
      <c r="A28" s="176" t="s">
        <v>31</v>
      </c>
      <c r="B28" s="170">
        <v>232069.52</v>
      </c>
      <c r="C28" s="67">
        <v>238546.63</v>
      </c>
      <c r="D28" s="66">
        <v>255943.51</v>
      </c>
      <c r="E28" s="66">
        <v>240836.16</v>
      </c>
      <c r="F28" s="66">
        <v>245689.81</v>
      </c>
      <c r="G28" s="66">
        <v>205980</v>
      </c>
      <c r="H28" s="66">
        <v>157891</v>
      </c>
      <c r="I28" s="66">
        <v>165674</v>
      </c>
      <c r="J28" s="66">
        <v>212762</v>
      </c>
      <c r="K28" s="66">
        <v>261361</v>
      </c>
      <c r="L28" s="66">
        <v>206191</v>
      </c>
      <c r="M28" s="66">
        <v>434831</v>
      </c>
      <c r="N28" s="66">
        <v>230780</v>
      </c>
      <c r="O28" s="66">
        <v>285164</v>
      </c>
      <c r="P28" s="66">
        <v>266717</v>
      </c>
      <c r="Q28" s="66">
        <v>228766</v>
      </c>
      <c r="R28" s="295" t="s">
        <v>152</v>
      </c>
    </row>
    <row r="29" spans="1:18" s="63" customFormat="1" ht="15.6" x14ac:dyDescent="0.3">
      <c r="A29" s="176" t="s">
        <v>32</v>
      </c>
      <c r="B29" s="170">
        <v>227544.22</v>
      </c>
      <c r="C29" s="67">
        <v>200103.17</v>
      </c>
      <c r="D29" s="66">
        <v>311246.15999999997</v>
      </c>
      <c r="E29" s="66">
        <v>271331.28999999998</v>
      </c>
      <c r="F29" s="66">
        <v>197004.01</v>
      </c>
      <c r="G29" s="66">
        <v>148812</v>
      </c>
      <c r="H29" s="66">
        <v>163801</v>
      </c>
      <c r="I29" s="66">
        <v>149434</v>
      </c>
      <c r="J29" s="66">
        <v>214153</v>
      </c>
      <c r="K29" s="66">
        <v>171069</v>
      </c>
      <c r="L29" s="66">
        <v>208370</v>
      </c>
      <c r="M29" s="66">
        <v>249791</v>
      </c>
      <c r="N29" s="66">
        <v>317555</v>
      </c>
      <c r="O29" s="66">
        <v>323193</v>
      </c>
      <c r="P29" s="66">
        <v>322129</v>
      </c>
      <c r="Q29" s="66">
        <v>268816</v>
      </c>
      <c r="R29" s="295" t="s">
        <v>152</v>
      </c>
    </row>
    <row r="30" spans="1:18" s="63" customFormat="1" ht="15.6" x14ac:dyDescent="0.3">
      <c r="A30" s="176" t="s">
        <v>33</v>
      </c>
      <c r="B30" s="170">
        <v>209801.36</v>
      </c>
      <c r="C30" s="67">
        <v>286096.84999999998</v>
      </c>
      <c r="D30" s="66">
        <v>207478.77</v>
      </c>
      <c r="E30" s="66">
        <v>296802.04000000004</v>
      </c>
      <c r="F30" s="66">
        <v>566573.92000000004</v>
      </c>
      <c r="G30" s="66">
        <v>184175</v>
      </c>
      <c r="H30" s="66">
        <v>158744</v>
      </c>
      <c r="I30" s="66">
        <v>157660</v>
      </c>
      <c r="J30" s="66">
        <v>610047</v>
      </c>
      <c r="K30" s="66">
        <v>323473</v>
      </c>
      <c r="L30" s="66">
        <v>329748</v>
      </c>
      <c r="M30" s="66">
        <v>263103</v>
      </c>
      <c r="N30" s="66">
        <v>292101</v>
      </c>
      <c r="O30" s="66">
        <v>395604</v>
      </c>
      <c r="P30" s="66">
        <v>413430</v>
      </c>
      <c r="Q30" s="66">
        <v>276429</v>
      </c>
      <c r="R30" s="295" t="s">
        <v>152</v>
      </c>
    </row>
    <row r="31" spans="1:18" s="63" customFormat="1" ht="15.6" x14ac:dyDescent="0.3">
      <c r="A31" s="176" t="s">
        <v>34</v>
      </c>
      <c r="B31" s="170">
        <v>212909.77</v>
      </c>
      <c r="C31" s="67">
        <v>184572.63</v>
      </c>
      <c r="D31" s="66">
        <v>237780.48000000001</v>
      </c>
      <c r="E31" s="66">
        <v>236514.24</v>
      </c>
      <c r="F31" s="66" t="s">
        <v>35</v>
      </c>
      <c r="G31" s="66">
        <v>186232</v>
      </c>
      <c r="H31" s="66">
        <v>187581</v>
      </c>
      <c r="I31" s="66">
        <v>224016</v>
      </c>
      <c r="J31" s="66">
        <v>249264</v>
      </c>
      <c r="K31" s="66">
        <v>190515</v>
      </c>
      <c r="L31" s="66">
        <v>279964</v>
      </c>
      <c r="M31" s="66">
        <v>239723</v>
      </c>
      <c r="N31" s="66">
        <v>376956</v>
      </c>
      <c r="O31" s="66">
        <v>461134</v>
      </c>
      <c r="P31" s="66">
        <v>366554</v>
      </c>
      <c r="Q31" s="66">
        <v>271667</v>
      </c>
      <c r="R31" s="295" t="s">
        <v>152</v>
      </c>
    </row>
    <row r="32" spans="1:18" s="63" customFormat="1" ht="16.2" thickBot="1" x14ac:dyDescent="0.35">
      <c r="A32" s="177" t="s">
        <v>36</v>
      </c>
      <c r="B32" s="87">
        <v>159965.07999999999</v>
      </c>
      <c r="C32" s="72">
        <v>217843.34</v>
      </c>
      <c r="D32" s="72">
        <v>230462.97</v>
      </c>
      <c r="E32" s="72">
        <v>227960.03</v>
      </c>
      <c r="F32" s="72">
        <v>399384</v>
      </c>
      <c r="G32" s="71">
        <v>148154</v>
      </c>
      <c r="H32" s="71">
        <v>184419</v>
      </c>
      <c r="I32" s="71">
        <v>163643</v>
      </c>
      <c r="J32" s="71">
        <v>187932</v>
      </c>
      <c r="K32" s="71">
        <v>211788</v>
      </c>
      <c r="L32" s="71">
        <v>231824</v>
      </c>
      <c r="M32" s="71">
        <v>264469</v>
      </c>
      <c r="N32" s="71">
        <v>262911</v>
      </c>
      <c r="O32" s="71">
        <v>277360</v>
      </c>
      <c r="P32" s="71">
        <v>366932</v>
      </c>
      <c r="Q32" s="71">
        <v>262989</v>
      </c>
      <c r="R32" s="292" t="s">
        <v>152</v>
      </c>
    </row>
    <row r="33" spans="1:18" s="63" customFormat="1" ht="16.2" thickTop="1" x14ac:dyDescent="0.3">
      <c r="A33" s="89" t="s">
        <v>37</v>
      </c>
      <c r="B33" s="277">
        <f t="shared" ref="B33:P33" si="2">SUM(B21:B32)</f>
        <v>2418265.2399999998</v>
      </c>
      <c r="C33" s="273">
        <f t="shared" si="2"/>
        <v>3273500.7499999995</v>
      </c>
      <c r="D33" s="273">
        <f t="shared" si="2"/>
        <v>2826538.1900000004</v>
      </c>
      <c r="E33" s="273">
        <f t="shared" si="2"/>
        <v>2906703.3299999996</v>
      </c>
      <c r="F33" s="273">
        <f t="shared" si="2"/>
        <v>3097212.19</v>
      </c>
      <c r="G33" s="273">
        <f t="shared" si="2"/>
        <v>2212079</v>
      </c>
      <c r="H33" s="273">
        <f t="shared" si="2"/>
        <v>2528320</v>
      </c>
      <c r="I33" s="273">
        <f t="shared" si="2"/>
        <v>2402347</v>
      </c>
      <c r="J33" s="273">
        <f t="shared" si="2"/>
        <v>3489144</v>
      </c>
      <c r="K33" s="273">
        <f t="shared" si="2"/>
        <v>2817675</v>
      </c>
      <c r="L33" s="273">
        <f t="shared" si="2"/>
        <v>3362099</v>
      </c>
      <c r="M33" s="273">
        <f t="shared" si="2"/>
        <v>3196217</v>
      </c>
      <c r="N33" s="273">
        <f t="shared" si="2"/>
        <v>3526186</v>
      </c>
      <c r="O33" s="273">
        <f t="shared" si="2"/>
        <v>3910900</v>
      </c>
      <c r="P33" s="273">
        <f t="shared" si="2"/>
        <v>3860613</v>
      </c>
      <c r="Q33" s="273">
        <f t="shared" ref="Q33:R33" si="3">SUM(Q21:Q32)</f>
        <v>12856473</v>
      </c>
      <c r="R33" s="288">
        <f t="shared" si="3"/>
        <v>1656773</v>
      </c>
    </row>
    <row r="34" spans="1:18" s="113" customFormat="1" ht="6.6" x14ac:dyDescent="0.3">
      <c r="A34" s="371" t="s">
        <v>174</v>
      </c>
      <c r="B34" s="371"/>
      <c r="C34" s="371"/>
      <c r="D34" s="371"/>
      <c r="E34" s="371"/>
      <c r="F34" s="371"/>
      <c r="G34" s="371"/>
      <c r="H34" s="371"/>
      <c r="I34" s="371"/>
      <c r="J34" s="371"/>
      <c r="K34" s="371"/>
      <c r="L34" s="371"/>
      <c r="M34" s="371"/>
      <c r="N34" s="371"/>
      <c r="O34" s="371"/>
      <c r="P34" s="371"/>
      <c r="Q34" s="371"/>
      <c r="R34" s="371"/>
    </row>
    <row r="35" spans="1:18" s="106" customFormat="1" ht="18" x14ac:dyDescent="0.3">
      <c r="A35" s="370" t="s">
        <v>121</v>
      </c>
      <c r="B35" s="370"/>
      <c r="C35" s="370"/>
      <c r="D35" s="370"/>
      <c r="E35" s="370"/>
      <c r="F35" s="370"/>
      <c r="G35" s="370"/>
      <c r="H35" s="370"/>
      <c r="I35" s="370"/>
      <c r="J35" s="370"/>
      <c r="K35" s="370"/>
      <c r="L35" s="370"/>
      <c r="M35" s="370"/>
      <c r="N35" s="370"/>
      <c r="O35" s="370"/>
      <c r="P35" s="370"/>
      <c r="Q35" s="370"/>
      <c r="R35" s="370"/>
    </row>
    <row r="36" spans="1:18" s="63" customFormat="1" ht="15.6" x14ac:dyDescent="0.3">
      <c r="A36" s="77" t="s">
        <v>23</v>
      </c>
      <c r="B36" s="91">
        <v>2004</v>
      </c>
      <c r="C36" s="64">
        <v>2005</v>
      </c>
      <c r="D36" s="64">
        <v>2006</v>
      </c>
      <c r="E36" s="64">
        <v>2007</v>
      </c>
      <c r="F36" s="64">
        <v>2008</v>
      </c>
      <c r="G36" s="64">
        <v>2009</v>
      </c>
      <c r="H36" s="64">
        <v>2010</v>
      </c>
      <c r="I36" s="64">
        <v>2011</v>
      </c>
      <c r="J36" s="65">
        <v>2012</v>
      </c>
      <c r="K36" s="65">
        <v>2013</v>
      </c>
      <c r="L36" s="65">
        <v>2014</v>
      </c>
      <c r="M36" s="65">
        <v>2015</v>
      </c>
      <c r="N36" s="65">
        <v>2016</v>
      </c>
      <c r="O36" s="65">
        <v>2017</v>
      </c>
      <c r="P36" s="65">
        <v>2018</v>
      </c>
      <c r="Q36" s="65">
        <v>2019</v>
      </c>
      <c r="R36" s="49">
        <v>2020</v>
      </c>
    </row>
    <row r="37" spans="1:18" s="63" customFormat="1" ht="15.6" x14ac:dyDescent="0.3">
      <c r="A37" s="175" t="s">
        <v>24</v>
      </c>
      <c r="B37" s="108" t="s">
        <v>152</v>
      </c>
      <c r="C37" s="107" t="s">
        <v>152</v>
      </c>
      <c r="D37" s="83" t="s">
        <v>152</v>
      </c>
      <c r="E37" s="83" t="s">
        <v>152</v>
      </c>
      <c r="F37" s="83" t="s">
        <v>152</v>
      </c>
      <c r="G37" s="271">
        <v>-67753</v>
      </c>
      <c r="H37" s="271">
        <v>-59734</v>
      </c>
      <c r="I37" s="271">
        <v>-3405</v>
      </c>
      <c r="J37" s="272">
        <v>-20421</v>
      </c>
      <c r="K37" s="272">
        <v>-13732</v>
      </c>
      <c r="L37" s="272">
        <v>-23770</v>
      </c>
      <c r="M37" s="272">
        <v>-67574</v>
      </c>
      <c r="N37" s="272">
        <v>-81295</v>
      </c>
      <c r="O37" s="272">
        <v>-14957</v>
      </c>
      <c r="P37" s="272">
        <v>-36178</v>
      </c>
      <c r="Q37" s="272">
        <v>-1129773</v>
      </c>
      <c r="R37" s="286">
        <v>-19992</v>
      </c>
    </row>
    <row r="38" spans="1:18" s="63" customFormat="1" ht="15.6" x14ac:dyDescent="0.3">
      <c r="A38" s="176" t="s">
        <v>25</v>
      </c>
      <c r="B38" s="170" t="s">
        <v>152</v>
      </c>
      <c r="C38" s="67" t="s">
        <v>152</v>
      </c>
      <c r="D38" s="66" t="s">
        <v>152</v>
      </c>
      <c r="E38" s="66" t="s">
        <v>152</v>
      </c>
      <c r="F38" s="66" t="s">
        <v>152</v>
      </c>
      <c r="G38" s="66">
        <v>0</v>
      </c>
      <c r="H38" s="66">
        <v>-28871</v>
      </c>
      <c r="I38" s="66">
        <v>-112202</v>
      </c>
      <c r="J38" s="66">
        <v>-100881</v>
      </c>
      <c r="K38" s="66">
        <v>-62758</v>
      </c>
      <c r="L38" s="66">
        <v>-70986</v>
      </c>
      <c r="M38" s="66">
        <v>-73765</v>
      </c>
      <c r="N38" s="66">
        <v>-62742</v>
      </c>
      <c r="O38" s="66">
        <v>-61700</v>
      </c>
      <c r="P38" s="66">
        <v>-21096</v>
      </c>
      <c r="Q38" s="66">
        <v>-150153</v>
      </c>
      <c r="R38" s="287">
        <v>-721492</v>
      </c>
    </row>
    <row r="39" spans="1:18" s="63" customFormat="1" ht="15.6" x14ac:dyDescent="0.3">
      <c r="A39" s="176" t="s">
        <v>26</v>
      </c>
      <c r="B39" s="170" t="s">
        <v>152</v>
      </c>
      <c r="C39" s="67" t="s">
        <v>152</v>
      </c>
      <c r="D39" s="66" t="s">
        <v>152</v>
      </c>
      <c r="E39" s="66" t="s">
        <v>152</v>
      </c>
      <c r="F39" s="66" t="s">
        <v>152</v>
      </c>
      <c r="G39" s="66">
        <v>-220867</v>
      </c>
      <c r="H39" s="66">
        <v>-53671</v>
      </c>
      <c r="I39" s="66">
        <v>-63001</v>
      </c>
      <c r="J39" s="66">
        <v>-106777</v>
      </c>
      <c r="K39" s="66">
        <v>-53146</v>
      </c>
      <c r="L39" s="66">
        <v>-24407</v>
      </c>
      <c r="M39" s="66">
        <v>-137560</v>
      </c>
      <c r="N39" s="66">
        <v>-21096</v>
      </c>
      <c r="O39" s="66">
        <v>-148697</v>
      </c>
      <c r="P39" s="66">
        <v>-27357</v>
      </c>
      <c r="Q39" s="66">
        <v>-41355</v>
      </c>
      <c r="R39" s="287">
        <v>-411177</v>
      </c>
    </row>
    <row r="40" spans="1:18" s="63" customFormat="1" ht="15.6" x14ac:dyDescent="0.3">
      <c r="A40" s="176" t="s">
        <v>27</v>
      </c>
      <c r="B40" s="170" t="s">
        <v>152</v>
      </c>
      <c r="C40" s="67" t="s">
        <v>152</v>
      </c>
      <c r="D40" s="66" t="s">
        <v>152</v>
      </c>
      <c r="E40" s="66" t="s">
        <v>152</v>
      </c>
      <c r="F40" s="66" t="s">
        <v>152</v>
      </c>
      <c r="G40" s="66">
        <v>-101989</v>
      </c>
      <c r="H40" s="66">
        <v>-27418</v>
      </c>
      <c r="I40" s="66">
        <v>-45691</v>
      </c>
      <c r="J40" s="66">
        <v>-18229</v>
      </c>
      <c r="K40" s="66">
        <v>-35173</v>
      </c>
      <c r="L40" s="66">
        <v>-61786</v>
      </c>
      <c r="M40" s="66">
        <v>-34767</v>
      </c>
      <c r="N40" s="66">
        <v>-71765</v>
      </c>
      <c r="O40" s="66">
        <v>-7771</v>
      </c>
      <c r="P40" s="66">
        <v>-402964</v>
      </c>
      <c r="Q40" s="66">
        <v>-87933</v>
      </c>
      <c r="R40" s="287">
        <v>-35048</v>
      </c>
    </row>
    <row r="41" spans="1:18" s="63" customFormat="1" ht="15.6" x14ac:dyDescent="0.3">
      <c r="A41" s="176" t="s">
        <v>28</v>
      </c>
      <c r="B41" s="170" t="s">
        <v>152</v>
      </c>
      <c r="C41" s="67" t="s">
        <v>152</v>
      </c>
      <c r="D41" s="66" t="s">
        <v>152</v>
      </c>
      <c r="E41" s="66" t="s">
        <v>152</v>
      </c>
      <c r="F41" s="66" t="s">
        <v>152</v>
      </c>
      <c r="G41" s="66">
        <v>-105276</v>
      </c>
      <c r="H41" s="66">
        <v>-17991</v>
      </c>
      <c r="I41" s="66">
        <v>-16940</v>
      </c>
      <c r="J41" s="66">
        <v>-30337</v>
      </c>
      <c r="K41" s="66">
        <v>-22841</v>
      </c>
      <c r="L41" s="66">
        <v>-64514</v>
      </c>
      <c r="M41" s="66">
        <v>-5005</v>
      </c>
      <c r="N41" s="66">
        <v>-46525</v>
      </c>
      <c r="O41" s="66">
        <v>-51032</v>
      </c>
      <c r="P41" s="66">
        <v>-260428</v>
      </c>
      <c r="Q41" s="66">
        <v>-96060</v>
      </c>
      <c r="R41" s="287">
        <v>-71367</v>
      </c>
    </row>
    <row r="42" spans="1:18" s="63" customFormat="1" ht="15.6" x14ac:dyDescent="0.3">
      <c r="A42" s="176" t="s">
        <v>29</v>
      </c>
      <c r="B42" s="170" t="s">
        <v>152</v>
      </c>
      <c r="C42" s="67" t="s">
        <v>152</v>
      </c>
      <c r="D42" s="66" t="s">
        <v>152</v>
      </c>
      <c r="E42" s="66" t="s">
        <v>152</v>
      </c>
      <c r="F42" s="66" t="s">
        <v>152</v>
      </c>
      <c r="G42" s="66">
        <v>-24403</v>
      </c>
      <c r="H42" s="66">
        <v>-10238</v>
      </c>
      <c r="I42" s="66">
        <v>-20173</v>
      </c>
      <c r="J42" s="66">
        <v>-67349</v>
      </c>
      <c r="K42" s="66">
        <v>-23063</v>
      </c>
      <c r="L42" s="66">
        <v>-24697</v>
      </c>
      <c r="M42" s="66">
        <v>-45478</v>
      </c>
      <c r="N42" s="66">
        <v>-81997</v>
      </c>
      <c r="O42" s="66">
        <v>-67991</v>
      </c>
      <c r="P42" s="66">
        <v>-35446</v>
      </c>
      <c r="Q42" s="66">
        <v>-30110</v>
      </c>
      <c r="R42" s="287">
        <v>-31148</v>
      </c>
    </row>
    <row r="43" spans="1:18" s="63" customFormat="1" ht="15.6" x14ac:dyDescent="0.3">
      <c r="A43" s="176" t="s">
        <v>30</v>
      </c>
      <c r="B43" s="170" t="s">
        <v>152</v>
      </c>
      <c r="C43" s="67" t="s">
        <v>152</v>
      </c>
      <c r="D43" s="66" t="s">
        <v>152</v>
      </c>
      <c r="E43" s="66" t="s">
        <v>152</v>
      </c>
      <c r="F43" s="66" t="s">
        <v>152</v>
      </c>
      <c r="G43" s="66">
        <v>-20861</v>
      </c>
      <c r="H43" s="66">
        <v>-1544</v>
      </c>
      <c r="I43" s="66">
        <v>-36693</v>
      </c>
      <c r="J43" s="66">
        <v>-8206</v>
      </c>
      <c r="K43" s="66">
        <v>-42930</v>
      </c>
      <c r="L43" s="66">
        <v>-31897</v>
      </c>
      <c r="M43" s="66">
        <v>-39954</v>
      </c>
      <c r="N43" s="66">
        <v>-81179</v>
      </c>
      <c r="O43" s="66">
        <v>-192356</v>
      </c>
      <c r="P43" s="66">
        <v>-92575</v>
      </c>
      <c r="Q43" s="66">
        <v>-23083</v>
      </c>
      <c r="R43" s="295" t="s">
        <v>152</v>
      </c>
    </row>
    <row r="44" spans="1:18" s="63" customFormat="1" ht="15.6" x14ac:dyDescent="0.3">
      <c r="A44" s="176" t="s">
        <v>31</v>
      </c>
      <c r="B44" s="170" t="s">
        <v>152</v>
      </c>
      <c r="C44" s="67" t="s">
        <v>152</v>
      </c>
      <c r="D44" s="66" t="s">
        <v>152</v>
      </c>
      <c r="E44" s="66" t="s">
        <v>152</v>
      </c>
      <c r="F44" s="66" t="s">
        <v>152</v>
      </c>
      <c r="G44" s="66">
        <v>-86124</v>
      </c>
      <c r="H44" s="66">
        <v>-11994</v>
      </c>
      <c r="I44" s="66">
        <v>-19600</v>
      </c>
      <c r="J44" s="66">
        <v>-36938</v>
      </c>
      <c r="K44" s="66">
        <v>-132578</v>
      </c>
      <c r="L44" s="66">
        <v>-27877</v>
      </c>
      <c r="M44" s="66">
        <v>-88299</v>
      </c>
      <c r="N44" s="66">
        <v>-35715</v>
      </c>
      <c r="O44" s="66">
        <v>-390456</v>
      </c>
      <c r="P44" s="66">
        <v>-4654</v>
      </c>
      <c r="Q44" s="66">
        <v>-15200</v>
      </c>
      <c r="R44" s="295" t="s">
        <v>152</v>
      </c>
    </row>
    <row r="45" spans="1:18" s="63" customFormat="1" ht="15.6" x14ac:dyDescent="0.3">
      <c r="A45" s="176" t="s">
        <v>32</v>
      </c>
      <c r="B45" s="170" t="s">
        <v>152</v>
      </c>
      <c r="C45" s="67" t="s">
        <v>152</v>
      </c>
      <c r="D45" s="66" t="s">
        <v>152</v>
      </c>
      <c r="E45" s="66" t="s">
        <v>152</v>
      </c>
      <c r="F45" s="66" t="s">
        <v>152</v>
      </c>
      <c r="G45" s="66">
        <v>-6190</v>
      </c>
      <c r="H45" s="66">
        <v>-23901</v>
      </c>
      <c r="I45" s="66">
        <v>-63407</v>
      </c>
      <c r="J45" s="66">
        <v>-139021</v>
      </c>
      <c r="K45" s="66">
        <v>-21604</v>
      </c>
      <c r="L45" s="66">
        <v>-3808</v>
      </c>
      <c r="M45" s="66">
        <v>-47179</v>
      </c>
      <c r="N45" s="66">
        <v>-30983</v>
      </c>
      <c r="O45" s="66">
        <v>-81838</v>
      </c>
      <c r="P45" s="66">
        <v>-394549</v>
      </c>
      <c r="Q45" s="66">
        <v>-2418</v>
      </c>
      <c r="R45" s="295" t="s">
        <v>152</v>
      </c>
    </row>
    <row r="46" spans="1:18" s="63" customFormat="1" ht="15.6" x14ac:dyDescent="0.3">
      <c r="A46" s="176" t="s">
        <v>33</v>
      </c>
      <c r="B46" s="170" t="s">
        <v>152</v>
      </c>
      <c r="C46" s="67" t="s">
        <v>152</v>
      </c>
      <c r="D46" s="66" t="s">
        <v>152</v>
      </c>
      <c r="E46" s="66" t="s">
        <v>152</v>
      </c>
      <c r="F46" s="66" t="s">
        <v>152</v>
      </c>
      <c r="G46" s="66">
        <v>-36002</v>
      </c>
      <c r="H46" s="66">
        <v>-7654</v>
      </c>
      <c r="I46" s="66">
        <v>-40174</v>
      </c>
      <c r="J46" s="66">
        <v>-20889</v>
      </c>
      <c r="K46" s="66">
        <v>-84716</v>
      </c>
      <c r="L46" s="66">
        <v>-63777</v>
      </c>
      <c r="M46" s="66">
        <v>-9847</v>
      </c>
      <c r="N46" s="66">
        <v>-28544</v>
      </c>
      <c r="O46" s="66">
        <v>-32443</v>
      </c>
      <c r="P46" s="66">
        <v>-66403</v>
      </c>
      <c r="Q46" s="66">
        <v>-314735</v>
      </c>
      <c r="R46" s="295" t="s">
        <v>152</v>
      </c>
    </row>
    <row r="47" spans="1:18" s="63" customFormat="1" ht="15.6" x14ac:dyDescent="0.3">
      <c r="A47" s="176" t="s">
        <v>34</v>
      </c>
      <c r="B47" s="170" t="s">
        <v>152</v>
      </c>
      <c r="C47" s="67" t="s">
        <v>152</v>
      </c>
      <c r="D47" s="66" t="s">
        <v>152</v>
      </c>
      <c r="E47" s="66" t="s">
        <v>152</v>
      </c>
      <c r="F47" s="66" t="s">
        <v>152</v>
      </c>
      <c r="G47" s="66">
        <v>-27814</v>
      </c>
      <c r="H47" s="66">
        <v>-201306</v>
      </c>
      <c r="I47" s="66">
        <v>-123617</v>
      </c>
      <c r="J47" s="66">
        <v>-62348</v>
      </c>
      <c r="K47" s="66">
        <v>-27045</v>
      </c>
      <c r="L47" s="66">
        <v>-34490</v>
      </c>
      <c r="M47" s="66">
        <v>-62301</v>
      </c>
      <c r="N47" s="66">
        <v>-12353</v>
      </c>
      <c r="O47" s="66">
        <v>-47354</v>
      </c>
      <c r="P47" s="66">
        <v>-24732</v>
      </c>
      <c r="Q47" s="66">
        <v>-400306</v>
      </c>
      <c r="R47" s="295" t="s">
        <v>152</v>
      </c>
    </row>
    <row r="48" spans="1:18" s="63" customFormat="1" ht="16.2" thickBot="1" x14ac:dyDescent="0.35">
      <c r="A48" s="177" t="s">
        <v>36</v>
      </c>
      <c r="B48" s="87" t="s">
        <v>152</v>
      </c>
      <c r="C48" s="72" t="s">
        <v>152</v>
      </c>
      <c r="D48" s="72" t="s">
        <v>152</v>
      </c>
      <c r="E48" s="72" t="s">
        <v>152</v>
      </c>
      <c r="F48" s="274">
        <v>-8340</v>
      </c>
      <c r="G48" s="71">
        <v>-40950</v>
      </c>
      <c r="H48" s="71">
        <v>-3911</v>
      </c>
      <c r="I48" s="71">
        <v>-83563</v>
      </c>
      <c r="J48" s="71">
        <v>-41182</v>
      </c>
      <c r="K48" s="71">
        <v>-36577</v>
      </c>
      <c r="L48" s="71">
        <v>-90990</v>
      </c>
      <c r="M48" s="71">
        <v>-40533</v>
      </c>
      <c r="N48" s="71">
        <v>-3857</v>
      </c>
      <c r="O48" s="71">
        <v>-58719</v>
      </c>
      <c r="P48" s="71">
        <v>-618</v>
      </c>
      <c r="Q48" s="71">
        <v>-21983</v>
      </c>
      <c r="R48" s="292" t="s">
        <v>152</v>
      </c>
    </row>
    <row r="49" spans="1:18" s="63" customFormat="1" ht="16.2" thickTop="1" x14ac:dyDescent="0.3">
      <c r="A49" s="89" t="s">
        <v>37</v>
      </c>
      <c r="B49" s="90" t="s">
        <v>152</v>
      </c>
      <c r="C49" s="73" t="s">
        <v>152</v>
      </c>
      <c r="D49" s="73" t="s">
        <v>152</v>
      </c>
      <c r="E49" s="73" t="s">
        <v>152</v>
      </c>
      <c r="F49" s="273">
        <f t="shared" ref="F49:P49" si="4">SUM(F37:F48)</f>
        <v>-8340</v>
      </c>
      <c r="G49" s="273">
        <f t="shared" si="4"/>
        <v>-738229</v>
      </c>
      <c r="H49" s="273">
        <f t="shared" si="4"/>
        <v>-448233</v>
      </c>
      <c r="I49" s="273">
        <f t="shared" si="4"/>
        <v>-628466</v>
      </c>
      <c r="J49" s="273">
        <f t="shared" si="4"/>
        <v>-652578</v>
      </c>
      <c r="K49" s="273">
        <f t="shared" si="4"/>
        <v>-556163</v>
      </c>
      <c r="L49" s="273">
        <f t="shared" si="4"/>
        <v>-522999</v>
      </c>
      <c r="M49" s="273">
        <f t="shared" si="4"/>
        <v>-652262</v>
      </c>
      <c r="N49" s="273">
        <f t="shared" si="4"/>
        <v>-558051</v>
      </c>
      <c r="O49" s="273">
        <f t="shared" si="4"/>
        <v>-1155314</v>
      </c>
      <c r="P49" s="273">
        <f t="shared" si="4"/>
        <v>-1367000</v>
      </c>
      <c r="Q49" s="273">
        <f t="shared" ref="Q49:R49" si="5">SUM(Q37:Q48)</f>
        <v>-2313109</v>
      </c>
      <c r="R49" s="288">
        <f t="shared" si="5"/>
        <v>-1290224</v>
      </c>
    </row>
    <row r="50" spans="1:18" s="113" customFormat="1" ht="6.6" x14ac:dyDescent="0.3">
      <c r="A50" s="371" t="s">
        <v>174</v>
      </c>
      <c r="B50" s="371"/>
      <c r="C50" s="371"/>
      <c r="D50" s="371"/>
      <c r="E50" s="371"/>
      <c r="F50" s="371"/>
      <c r="G50" s="371"/>
      <c r="H50" s="371"/>
      <c r="I50" s="371"/>
      <c r="J50" s="371"/>
      <c r="K50" s="371"/>
      <c r="L50" s="371"/>
      <c r="M50" s="371"/>
      <c r="N50" s="371"/>
      <c r="O50" s="371"/>
      <c r="P50" s="371"/>
      <c r="Q50" s="371"/>
      <c r="R50" s="371"/>
    </row>
    <row r="51" spans="1:18" s="111" customFormat="1" ht="13.8" x14ac:dyDescent="0.3">
      <c r="A51" s="388" t="s">
        <v>39</v>
      </c>
      <c r="B51" s="388"/>
      <c r="C51" s="388"/>
      <c r="D51" s="388"/>
      <c r="E51" s="388"/>
      <c r="F51" s="388"/>
      <c r="G51" s="388"/>
      <c r="H51" s="388"/>
      <c r="I51" s="388"/>
      <c r="J51" s="388"/>
      <c r="K51" s="388"/>
      <c r="L51" s="388"/>
      <c r="M51" s="388"/>
      <c r="N51" s="388"/>
      <c r="O51" s="388"/>
      <c r="P51" s="388"/>
      <c r="Q51" s="388"/>
      <c r="R51" s="388"/>
    </row>
    <row r="52" spans="1:18" s="111" customFormat="1" ht="13.8" x14ac:dyDescent="0.3">
      <c r="A52" s="383" t="str">
        <f>'Local SUT'!A60</f>
        <v>Source:  Minnesota Department of Revenue, Tax Research Division, February 2021</v>
      </c>
      <c r="B52" s="383"/>
      <c r="C52" s="383"/>
      <c r="D52" s="383"/>
      <c r="E52" s="383"/>
      <c r="F52" s="383"/>
      <c r="G52" s="383"/>
      <c r="H52" s="383"/>
      <c r="I52" s="383"/>
      <c r="J52" s="383"/>
      <c r="K52" s="383"/>
      <c r="L52" s="383"/>
      <c r="M52" s="383"/>
      <c r="N52" s="383"/>
      <c r="O52" s="383"/>
      <c r="P52" s="383"/>
      <c r="Q52" s="383"/>
      <c r="R52" s="383"/>
    </row>
    <row r="53" spans="1:18" s="111" customFormat="1" ht="13.8" x14ac:dyDescent="0.3">
      <c r="A53" s="379" t="s">
        <v>151</v>
      </c>
      <c r="B53" s="379"/>
      <c r="C53" s="379"/>
      <c r="D53" s="379"/>
      <c r="E53" s="379"/>
      <c r="F53" s="379"/>
      <c r="G53" s="379"/>
      <c r="H53" s="379"/>
      <c r="I53" s="379"/>
      <c r="J53" s="379"/>
      <c r="K53" s="379"/>
      <c r="L53" s="379"/>
      <c r="M53" s="379"/>
      <c r="N53" s="379"/>
      <c r="O53" s="379"/>
      <c r="P53" s="379"/>
      <c r="Q53" s="379"/>
      <c r="R53" s="379"/>
    </row>
    <row r="54" spans="1:18" x14ac:dyDescent="0.3">
      <c r="R54" s="117"/>
    </row>
    <row r="67" spans="1:1" x14ac:dyDescent="0.3">
      <c r="A67" s="182"/>
    </row>
    <row r="68" spans="1:1" x14ac:dyDescent="0.3">
      <c r="A68" s="183"/>
    </row>
    <row r="85" spans="1:1" x14ac:dyDescent="0.3">
      <c r="A85" s="182"/>
    </row>
    <row r="86" spans="1:1" x14ac:dyDescent="0.3">
      <c r="A86" s="183"/>
    </row>
    <row r="102" spans="1:10" x14ac:dyDescent="0.3">
      <c r="A102" s="182"/>
    </row>
    <row r="103" spans="1:10" x14ac:dyDescent="0.3">
      <c r="A103" s="183"/>
    </row>
    <row r="105" spans="1:10" x14ac:dyDescent="0.3">
      <c r="A105" s="181"/>
      <c r="B105" s="181"/>
      <c r="C105" s="181"/>
      <c r="D105" s="181"/>
      <c r="E105" s="181"/>
      <c r="F105" s="181"/>
      <c r="G105" s="181"/>
      <c r="H105" s="181"/>
      <c r="I105" s="181"/>
      <c r="J105" s="181"/>
    </row>
    <row r="107" spans="1:10" x14ac:dyDescent="0.3">
      <c r="A107" s="182"/>
    </row>
    <row r="108" spans="1:10" x14ac:dyDescent="0.3">
      <c r="A108" s="182"/>
    </row>
    <row r="109" spans="1:10" x14ac:dyDescent="0.3">
      <c r="A109" s="182"/>
    </row>
    <row r="110" spans="1:10" x14ac:dyDescent="0.3">
      <c r="A110" s="182"/>
    </row>
    <row r="111" spans="1:10" x14ac:dyDescent="0.3">
      <c r="A111" s="182"/>
    </row>
    <row r="112" spans="1:10" x14ac:dyDescent="0.3">
      <c r="A112" s="182"/>
    </row>
    <row r="113" spans="1:1" x14ac:dyDescent="0.3">
      <c r="A113" s="182"/>
    </row>
    <row r="114" spans="1:1" x14ac:dyDescent="0.3">
      <c r="A114" s="182"/>
    </row>
    <row r="115" spans="1:1" x14ac:dyDescent="0.3">
      <c r="A115" s="182"/>
    </row>
    <row r="116" spans="1:1" x14ac:dyDescent="0.3">
      <c r="A116" s="182"/>
    </row>
    <row r="117" spans="1:1" x14ac:dyDescent="0.3">
      <c r="A117" s="182"/>
    </row>
    <row r="118" spans="1:1" x14ac:dyDescent="0.3">
      <c r="A118" s="182"/>
    </row>
    <row r="119" spans="1:1" x14ac:dyDescent="0.3">
      <c r="A119" s="182"/>
    </row>
    <row r="120" spans="1:1" x14ac:dyDescent="0.3">
      <c r="A120" s="182"/>
    </row>
    <row r="121" spans="1:1" x14ac:dyDescent="0.3">
      <c r="A121" s="182"/>
    </row>
    <row r="122" spans="1:1" x14ac:dyDescent="0.3">
      <c r="A122" s="182"/>
    </row>
    <row r="123" spans="1:1" x14ac:dyDescent="0.3">
      <c r="A123" s="182"/>
    </row>
    <row r="124" spans="1:1" x14ac:dyDescent="0.3">
      <c r="A124" s="182"/>
    </row>
    <row r="125" spans="1:1" x14ac:dyDescent="0.3">
      <c r="A125" s="182"/>
    </row>
    <row r="126" spans="1:1" x14ac:dyDescent="0.3">
      <c r="A126" s="182"/>
    </row>
    <row r="127" spans="1:1" x14ac:dyDescent="0.3">
      <c r="A127" s="182"/>
    </row>
    <row r="128" spans="1:1" x14ac:dyDescent="0.3">
      <c r="A128" s="182"/>
    </row>
    <row r="129" spans="1:1" x14ac:dyDescent="0.3">
      <c r="A129" s="182"/>
    </row>
    <row r="130" spans="1:1" x14ac:dyDescent="0.3">
      <c r="A130" s="182"/>
    </row>
    <row r="131" spans="1:1" x14ac:dyDescent="0.3">
      <c r="A131" s="182"/>
    </row>
    <row r="132" spans="1:1" x14ac:dyDescent="0.3">
      <c r="A132" s="182"/>
    </row>
    <row r="133" spans="1:1" x14ac:dyDescent="0.3">
      <c r="A133" s="182"/>
    </row>
    <row r="134" spans="1:1" x14ac:dyDescent="0.3">
      <c r="A134" s="182"/>
    </row>
    <row r="135" spans="1:1" x14ac:dyDescent="0.3">
      <c r="A135" s="182"/>
    </row>
    <row r="136" spans="1:1" x14ac:dyDescent="0.3">
      <c r="A136" s="182"/>
    </row>
    <row r="137" spans="1:1" x14ac:dyDescent="0.3">
      <c r="A137" s="182"/>
    </row>
    <row r="138" spans="1:1" x14ac:dyDescent="0.3">
      <c r="A138" s="182"/>
    </row>
    <row r="139" spans="1:1" x14ac:dyDescent="0.3">
      <c r="A139" s="182"/>
    </row>
    <row r="140" spans="1:1" x14ac:dyDescent="0.3">
      <c r="A140" s="182"/>
    </row>
    <row r="141" spans="1:1" x14ac:dyDescent="0.3">
      <c r="A141" s="182"/>
    </row>
    <row r="142" spans="1:1" x14ac:dyDescent="0.3">
      <c r="A142" s="182"/>
    </row>
    <row r="143" spans="1:1" x14ac:dyDescent="0.3">
      <c r="A143" s="182"/>
    </row>
    <row r="144" spans="1:1" x14ac:dyDescent="0.3">
      <c r="A144" s="182"/>
    </row>
    <row r="145" spans="1:1" x14ac:dyDescent="0.3">
      <c r="A145" s="182"/>
    </row>
    <row r="146" spans="1:1" x14ac:dyDescent="0.3">
      <c r="A146" s="182"/>
    </row>
    <row r="147" spans="1:1" x14ac:dyDescent="0.3">
      <c r="A147" s="182"/>
    </row>
    <row r="148" spans="1:1" x14ac:dyDescent="0.3">
      <c r="A148" s="182"/>
    </row>
    <row r="149" spans="1:1" x14ac:dyDescent="0.3">
      <c r="A149" s="182"/>
    </row>
    <row r="150" spans="1:1" x14ac:dyDescent="0.3">
      <c r="A150" s="182"/>
    </row>
    <row r="151" spans="1:1" x14ac:dyDescent="0.3">
      <c r="A151" s="182"/>
    </row>
    <row r="152" spans="1:1" x14ac:dyDescent="0.3">
      <c r="A152" s="182"/>
    </row>
    <row r="153" spans="1:1" x14ac:dyDescent="0.3">
      <c r="A153" s="182"/>
    </row>
    <row r="154" spans="1:1" x14ac:dyDescent="0.3">
      <c r="A154" s="182"/>
    </row>
    <row r="155" spans="1:1" x14ac:dyDescent="0.3">
      <c r="A155" s="182"/>
    </row>
    <row r="156" spans="1:1" x14ac:dyDescent="0.3">
      <c r="A156" s="182"/>
    </row>
    <row r="157" spans="1:1" x14ac:dyDescent="0.3">
      <c r="A157" s="182"/>
    </row>
    <row r="158" spans="1:1" x14ac:dyDescent="0.3">
      <c r="A158" s="182"/>
    </row>
    <row r="159" spans="1:1" x14ac:dyDescent="0.3">
      <c r="A159" s="182"/>
    </row>
    <row r="160" spans="1:1" x14ac:dyDescent="0.3">
      <c r="A160" s="182"/>
    </row>
    <row r="161" spans="1:1" x14ac:dyDescent="0.3">
      <c r="A161" s="182"/>
    </row>
    <row r="162" spans="1:1" x14ac:dyDescent="0.3">
      <c r="A162" s="182"/>
    </row>
    <row r="163" spans="1:1" x14ac:dyDescent="0.3">
      <c r="A163" s="182"/>
    </row>
    <row r="164" spans="1:1" x14ac:dyDescent="0.3">
      <c r="A164" s="182"/>
    </row>
    <row r="165" spans="1:1" x14ac:dyDescent="0.3">
      <c r="A165" s="182"/>
    </row>
    <row r="166" spans="1:1" x14ac:dyDescent="0.3">
      <c r="A166" s="182"/>
    </row>
    <row r="167" spans="1:1" x14ac:dyDescent="0.3">
      <c r="A167" s="182"/>
    </row>
    <row r="168" spans="1:1" x14ac:dyDescent="0.3">
      <c r="A168" s="182"/>
    </row>
    <row r="169" spans="1:1" x14ac:dyDescent="0.3">
      <c r="A169" s="182"/>
    </row>
    <row r="170" spans="1:1" x14ac:dyDescent="0.3">
      <c r="A170" s="182"/>
    </row>
    <row r="171" spans="1:1" x14ac:dyDescent="0.3">
      <c r="A171" s="182"/>
    </row>
    <row r="172" spans="1:1" x14ac:dyDescent="0.3">
      <c r="A172" s="182"/>
    </row>
    <row r="173" spans="1:1" x14ac:dyDescent="0.3">
      <c r="A173" s="182"/>
    </row>
    <row r="174" spans="1:1" x14ac:dyDescent="0.3">
      <c r="A174" s="182"/>
    </row>
    <row r="175" spans="1:1" x14ac:dyDescent="0.3">
      <c r="A175" s="182"/>
    </row>
    <row r="176" spans="1:1" x14ac:dyDescent="0.3">
      <c r="A176" s="182"/>
    </row>
    <row r="177" spans="1:1" x14ac:dyDescent="0.3">
      <c r="A177" s="182"/>
    </row>
    <row r="178" spans="1:1" x14ac:dyDescent="0.3">
      <c r="A178" s="182"/>
    </row>
    <row r="179" spans="1:1" x14ac:dyDescent="0.3">
      <c r="A179" s="182"/>
    </row>
  </sheetData>
  <mergeCells count="11">
    <mergeCell ref="A53:R53"/>
    <mergeCell ref="A34:R34"/>
    <mergeCell ref="A35:R35"/>
    <mergeCell ref="A50:R50"/>
    <mergeCell ref="A51:R51"/>
    <mergeCell ref="A52:R52"/>
    <mergeCell ref="A1:R1"/>
    <mergeCell ref="A2:R2"/>
    <mergeCell ref="A3:R3"/>
    <mergeCell ref="A18:R18"/>
    <mergeCell ref="A19:R19"/>
  </mergeCells>
  <pageMargins left="0" right="0" top="0.75" bottom="0.75" header="0.3" footer="0.3"/>
  <pageSetup scale="59" orientation="portrait" r:id="rId1"/>
  <rowBreaks count="1" manualBreakCount="1">
    <brk id="68" max="16383" man="1"/>
  </rowBreak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32">
    <pageSetUpPr fitToPage="1"/>
  </sheetPr>
  <dimension ref="A1:T54"/>
  <sheetViews>
    <sheetView showGridLines="0" workbookViewId="0">
      <pane ySplit="1" topLeftCell="A2" activePane="bottomLeft" state="frozen"/>
      <selection pane="bottomLeft" sqref="A1:T1"/>
    </sheetView>
  </sheetViews>
  <sheetFormatPr defaultColWidth="12.5546875" defaultRowHeight="14.4" x14ac:dyDescent="0.3"/>
  <cols>
    <col min="1" max="1" width="12.5546875" style="180"/>
    <col min="2" max="14" width="13.5546875" style="173" hidden="1" customWidth="1"/>
    <col min="15" max="17" width="13.5546875" style="173" customWidth="1"/>
    <col min="18" max="18" width="13.5546875" style="145" customWidth="1"/>
    <col min="19" max="16384" width="12.5546875" style="173"/>
  </cols>
  <sheetData>
    <row r="1" spans="1:20" s="112" customFormat="1" ht="21" x14ac:dyDescent="0.3">
      <c r="A1" s="380" t="s">
        <v>207</v>
      </c>
      <c r="B1" s="380"/>
      <c r="C1" s="380"/>
      <c r="D1" s="380"/>
      <c r="E1" s="380"/>
      <c r="F1" s="380"/>
      <c r="G1" s="380"/>
      <c r="H1" s="380"/>
      <c r="I1" s="380"/>
      <c r="J1" s="380"/>
      <c r="K1" s="380"/>
      <c r="L1" s="380"/>
      <c r="M1" s="380"/>
      <c r="N1" s="380"/>
      <c r="O1" s="380"/>
      <c r="P1" s="380"/>
      <c r="Q1" s="380"/>
      <c r="R1" s="380"/>
      <c r="S1" s="380"/>
      <c r="T1" s="380"/>
    </row>
    <row r="2" spans="1:20" s="106" customFormat="1" ht="18" x14ac:dyDescent="0.3">
      <c r="A2" s="381" t="str">
        <f>'Local SUT'!A2</f>
        <v>CY 2004-2020</v>
      </c>
      <c r="B2" s="381"/>
      <c r="C2" s="381"/>
      <c r="D2" s="381"/>
      <c r="E2" s="381"/>
      <c r="F2" s="381"/>
      <c r="G2" s="381"/>
      <c r="H2" s="381"/>
      <c r="I2" s="381"/>
      <c r="J2" s="381"/>
      <c r="K2" s="381"/>
      <c r="L2" s="381"/>
      <c r="M2" s="381"/>
      <c r="N2" s="381"/>
      <c r="O2" s="381"/>
      <c r="P2" s="381"/>
      <c r="Q2" s="381"/>
      <c r="R2" s="381"/>
    </row>
    <row r="3" spans="1:20" s="106" customFormat="1" ht="18" x14ac:dyDescent="0.3">
      <c r="A3" s="370" t="s">
        <v>139</v>
      </c>
      <c r="B3" s="370"/>
      <c r="C3" s="370"/>
      <c r="D3" s="370"/>
      <c r="E3" s="370"/>
      <c r="F3" s="370"/>
      <c r="G3" s="370"/>
      <c r="H3" s="370"/>
      <c r="I3" s="370"/>
      <c r="J3" s="370"/>
      <c r="K3" s="370"/>
      <c r="L3" s="370"/>
      <c r="M3" s="370"/>
      <c r="N3" s="370"/>
      <c r="O3" s="370"/>
      <c r="P3" s="370"/>
      <c r="Q3" s="370"/>
      <c r="R3" s="370"/>
    </row>
    <row r="4" spans="1:20" s="63" customFormat="1" ht="15.6" x14ac:dyDescent="0.3">
      <c r="A4" s="77" t="s">
        <v>23</v>
      </c>
      <c r="B4" s="91">
        <v>2004</v>
      </c>
      <c r="C4" s="64">
        <v>2005</v>
      </c>
      <c r="D4" s="64">
        <v>2006</v>
      </c>
      <c r="E4" s="64">
        <v>2007</v>
      </c>
      <c r="F4" s="64">
        <v>2008</v>
      </c>
      <c r="G4" s="64">
        <v>2009</v>
      </c>
      <c r="H4" s="64">
        <v>2010</v>
      </c>
      <c r="I4" s="64">
        <v>2011</v>
      </c>
      <c r="J4" s="65">
        <v>2012</v>
      </c>
      <c r="K4" s="65">
        <v>2013</v>
      </c>
      <c r="L4" s="65">
        <v>2014</v>
      </c>
      <c r="M4" s="65">
        <v>2015</v>
      </c>
      <c r="N4" s="65">
        <v>2016</v>
      </c>
      <c r="O4" s="65">
        <v>2017</v>
      </c>
      <c r="P4" s="65">
        <v>2018</v>
      </c>
      <c r="Q4" s="65">
        <v>2019</v>
      </c>
      <c r="R4" s="49">
        <v>2020</v>
      </c>
    </row>
    <row r="5" spans="1:20" s="63" customFormat="1" ht="15.6" x14ac:dyDescent="0.3">
      <c r="A5" s="76" t="s">
        <v>24</v>
      </c>
      <c r="B5" s="108" t="s">
        <v>152</v>
      </c>
      <c r="C5" s="107" t="s">
        <v>152</v>
      </c>
      <c r="D5" s="107" t="s">
        <v>152</v>
      </c>
      <c r="E5" s="107" t="s">
        <v>152</v>
      </c>
      <c r="F5" s="107" t="s">
        <v>152</v>
      </c>
      <c r="G5" s="107" t="s">
        <v>152</v>
      </c>
      <c r="H5" s="107" t="s">
        <v>152</v>
      </c>
      <c r="I5" s="107" t="s">
        <v>152</v>
      </c>
      <c r="J5" s="107" t="s">
        <v>152</v>
      </c>
      <c r="K5" s="83" t="s">
        <v>152</v>
      </c>
      <c r="L5" s="83" t="s">
        <v>152</v>
      </c>
      <c r="M5" s="83" t="s">
        <v>152</v>
      </c>
      <c r="N5" s="83" t="s">
        <v>152</v>
      </c>
      <c r="O5" s="83" t="s">
        <v>152</v>
      </c>
      <c r="P5" s="271">
        <v>15003</v>
      </c>
      <c r="Q5" s="271">
        <v>17636</v>
      </c>
      <c r="R5" s="286">
        <v>22020</v>
      </c>
    </row>
    <row r="6" spans="1:20" s="63" customFormat="1" ht="15.6" x14ac:dyDescent="0.3">
      <c r="A6" s="75" t="s">
        <v>25</v>
      </c>
      <c r="B6" s="170" t="s">
        <v>152</v>
      </c>
      <c r="C6" s="67" t="s">
        <v>152</v>
      </c>
      <c r="D6" s="67" t="s">
        <v>152</v>
      </c>
      <c r="E6" s="67" t="s">
        <v>152</v>
      </c>
      <c r="F6" s="67" t="s">
        <v>152</v>
      </c>
      <c r="G6" s="67" t="s">
        <v>152</v>
      </c>
      <c r="H6" s="67" t="s">
        <v>152</v>
      </c>
      <c r="I6" s="67" t="s">
        <v>152</v>
      </c>
      <c r="J6" s="67" t="s">
        <v>152</v>
      </c>
      <c r="K6" s="66" t="s">
        <v>152</v>
      </c>
      <c r="L6" s="66" t="s">
        <v>152</v>
      </c>
      <c r="M6" s="66" t="s">
        <v>152</v>
      </c>
      <c r="N6" s="66" t="s">
        <v>152</v>
      </c>
      <c r="O6" s="66" t="s">
        <v>152</v>
      </c>
      <c r="P6" s="66">
        <v>11717</v>
      </c>
      <c r="Q6" s="66">
        <v>13816</v>
      </c>
      <c r="R6" s="287">
        <v>14532</v>
      </c>
    </row>
    <row r="7" spans="1:20" s="63" customFormat="1" ht="15.6" x14ac:dyDescent="0.3">
      <c r="A7" s="75" t="s">
        <v>26</v>
      </c>
      <c r="B7" s="170" t="s">
        <v>152</v>
      </c>
      <c r="C7" s="67" t="s">
        <v>152</v>
      </c>
      <c r="D7" s="67" t="s">
        <v>152</v>
      </c>
      <c r="E7" s="67" t="s">
        <v>152</v>
      </c>
      <c r="F7" s="67" t="s">
        <v>152</v>
      </c>
      <c r="G7" s="67" t="s">
        <v>152</v>
      </c>
      <c r="H7" s="67" t="s">
        <v>152</v>
      </c>
      <c r="I7" s="67" t="s">
        <v>152</v>
      </c>
      <c r="J7" s="67" t="s">
        <v>152</v>
      </c>
      <c r="K7" s="66" t="s">
        <v>152</v>
      </c>
      <c r="L7" s="66" t="s">
        <v>152</v>
      </c>
      <c r="M7" s="66" t="s">
        <v>152</v>
      </c>
      <c r="N7" s="66" t="s">
        <v>152</v>
      </c>
      <c r="O7" s="66" t="s">
        <v>152</v>
      </c>
      <c r="P7" s="66">
        <v>11784</v>
      </c>
      <c r="Q7" s="66">
        <v>12928</v>
      </c>
      <c r="R7" s="287">
        <v>14997</v>
      </c>
    </row>
    <row r="8" spans="1:20" s="63" customFormat="1" ht="15.6" x14ac:dyDescent="0.3">
      <c r="A8" s="75" t="s">
        <v>27</v>
      </c>
      <c r="B8" s="170" t="s">
        <v>152</v>
      </c>
      <c r="C8" s="67" t="s">
        <v>152</v>
      </c>
      <c r="D8" s="67" t="s">
        <v>152</v>
      </c>
      <c r="E8" s="67" t="s">
        <v>152</v>
      </c>
      <c r="F8" s="67" t="s">
        <v>152</v>
      </c>
      <c r="G8" s="67" t="s">
        <v>152</v>
      </c>
      <c r="H8" s="67" t="s">
        <v>152</v>
      </c>
      <c r="I8" s="67" t="s">
        <v>152</v>
      </c>
      <c r="J8" s="67" t="s">
        <v>152</v>
      </c>
      <c r="K8" s="66" t="s">
        <v>152</v>
      </c>
      <c r="L8" s="66" t="s">
        <v>152</v>
      </c>
      <c r="M8" s="66" t="s">
        <v>152</v>
      </c>
      <c r="N8" s="66" t="s">
        <v>152</v>
      </c>
      <c r="O8" s="66" t="s">
        <v>152</v>
      </c>
      <c r="P8" s="66">
        <v>14938</v>
      </c>
      <c r="Q8" s="66">
        <v>15781</v>
      </c>
      <c r="R8" s="287">
        <v>15254</v>
      </c>
    </row>
    <row r="9" spans="1:20" s="63" customFormat="1" ht="15.6" x14ac:dyDescent="0.3">
      <c r="A9" s="75" t="s">
        <v>28</v>
      </c>
      <c r="B9" s="170" t="s">
        <v>152</v>
      </c>
      <c r="C9" s="67" t="s">
        <v>152</v>
      </c>
      <c r="D9" s="67" t="s">
        <v>152</v>
      </c>
      <c r="E9" s="67" t="s">
        <v>152</v>
      </c>
      <c r="F9" s="67" t="s">
        <v>152</v>
      </c>
      <c r="G9" s="67" t="s">
        <v>152</v>
      </c>
      <c r="H9" s="67" t="s">
        <v>152</v>
      </c>
      <c r="I9" s="67" t="s">
        <v>152</v>
      </c>
      <c r="J9" s="67" t="s">
        <v>152</v>
      </c>
      <c r="K9" s="66" t="s">
        <v>152</v>
      </c>
      <c r="L9" s="66" t="s">
        <v>152</v>
      </c>
      <c r="M9" s="66" t="s">
        <v>152</v>
      </c>
      <c r="N9" s="66" t="s">
        <v>152</v>
      </c>
      <c r="O9" s="66" t="s">
        <v>152</v>
      </c>
      <c r="P9" s="66">
        <v>14369</v>
      </c>
      <c r="Q9" s="66">
        <v>15320</v>
      </c>
      <c r="R9" s="287">
        <v>16069</v>
      </c>
    </row>
    <row r="10" spans="1:20" s="63" customFormat="1" ht="15.6" x14ac:dyDescent="0.3">
      <c r="A10" s="75" t="s">
        <v>29</v>
      </c>
      <c r="B10" s="170" t="s">
        <v>152</v>
      </c>
      <c r="C10" s="67" t="s">
        <v>152</v>
      </c>
      <c r="D10" s="67" t="s">
        <v>152</v>
      </c>
      <c r="E10" s="67" t="s">
        <v>152</v>
      </c>
      <c r="F10" s="67" t="s">
        <v>152</v>
      </c>
      <c r="G10" s="67" t="s">
        <v>152</v>
      </c>
      <c r="H10" s="67" t="s">
        <v>152</v>
      </c>
      <c r="I10" s="67" t="s">
        <v>152</v>
      </c>
      <c r="J10" s="67" t="s">
        <v>152</v>
      </c>
      <c r="K10" s="66" t="s">
        <v>152</v>
      </c>
      <c r="L10" s="66" t="s">
        <v>152</v>
      </c>
      <c r="M10" s="66" t="s">
        <v>152</v>
      </c>
      <c r="N10" s="66" t="s">
        <v>152</v>
      </c>
      <c r="O10" s="66" t="s">
        <v>152</v>
      </c>
      <c r="P10" s="66">
        <v>20363</v>
      </c>
      <c r="Q10" s="66">
        <v>22130</v>
      </c>
      <c r="R10" s="287">
        <v>23975</v>
      </c>
    </row>
    <row r="11" spans="1:20" s="63" customFormat="1" ht="15.6" x14ac:dyDescent="0.3">
      <c r="A11" s="75" t="s">
        <v>30</v>
      </c>
      <c r="B11" s="170" t="s">
        <v>152</v>
      </c>
      <c r="C11" s="67" t="s">
        <v>152</v>
      </c>
      <c r="D11" s="67" t="s">
        <v>152</v>
      </c>
      <c r="E11" s="67" t="s">
        <v>152</v>
      </c>
      <c r="F11" s="67" t="s">
        <v>152</v>
      </c>
      <c r="G11" s="67" t="s">
        <v>152</v>
      </c>
      <c r="H11" s="67" t="s">
        <v>152</v>
      </c>
      <c r="I11" s="67" t="s">
        <v>152</v>
      </c>
      <c r="J11" s="67" t="s">
        <v>152</v>
      </c>
      <c r="K11" s="66" t="s">
        <v>152</v>
      </c>
      <c r="L11" s="66" t="s">
        <v>152</v>
      </c>
      <c r="M11" s="66" t="s">
        <v>152</v>
      </c>
      <c r="N11" s="66" t="s">
        <v>152</v>
      </c>
      <c r="O11" s="66" t="s">
        <v>152</v>
      </c>
      <c r="P11" s="66">
        <v>17418</v>
      </c>
      <c r="Q11" s="66">
        <v>19501</v>
      </c>
      <c r="R11" s="291" t="s">
        <v>152</v>
      </c>
    </row>
    <row r="12" spans="1:20" s="63" customFormat="1" ht="15.6" x14ac:dyDescent="0.3">
      <c r="A12" s="75" t="s">
        <v>31</v>
      </c>
      <c r="B12" s="170" t="s">
        <v>152</v>
      </c>
      <c r="C12" s="67" t="s">
        <v>152</v>
      </c>
      <c r="D12" s="67" t="s">
        <v>152</v>
      </c>
      <c r="E12" s="67" t="s">
        <v>152</v>
      </c>
      <c r="F12" s="67" t="s">
        <v>152</v>
      </c>
      <c r="G12" s="67" t="s">
        <v>152</v>
      </c>
      <c r="H12" s="67" t="s">
        <v>152</v>
      </c>
      <c r="I12" s="67" t="s">
        <v>152</v>
      </c>
      <c r="J12" s="67" t="s">
        <v>152</v>
      </c>
      <c r="K12" s="66" t="s">
        <v>152</v>
      </c>
      <c r="L12" s="66" t="s">
        <v>152</v>
      </c>
      <c r="M12" s="66" t="s">
        <v>152</v>
      </c>
      <c r="N12" s="66" t="s">
        <v>152</v>
      </c>
      <c r="O12" s="66" t="s">
        <v>152</v>
      </c>
      <c r="P12" s="66">
        <v>23254</v>
      </c>
      <c r="Q12" s="66">
        <v>20713</v>
      </c>
      <c r="R12" s="295" t="s">
        <v>152</v>
      </c>
    </row>
    <row r="13" spans="1:20" s="63" customFormat="1" ht="15.6" x14ac:dyDescent="0.3">
      <c r="A13" s="75" t="s">
        <v>32</v>
      </c>
      <c r="B13" s="170" t="s">
        <v>152</v>
      </c>
      <c r="C13" s="67" t="s">
        <v>152</v>
      </c>
      <c r="D13" s="67" t="s">
        <v>152</v>
      </c>
      <c r="E13" s="67" t="s">
        <v>152</v>
      </c>
      <c r="F13" s="67" t="s">
        <v>152</v>
      </c>
      <c r="G13" s="67" t="s">
        <v>152</v>
      </c>
      <c r="H13" s="67" t="s">
        <v>152</v>
      </c>
      <c r="I13" s="67" t="s">
        <v>152</v>
      </c>
      <c r="J13" s="67" t="s">
        <v>152</v>
      </c>
      <c r="K13" s="66" t="s">
        <v>152</v>
      </c>
      <c r="L13" s="66" t="s">
        <v>152</v>
      </c>
      <c r="M13" s="66" t="s">
        <v>152</v>
      </c>
      <c r="N13" s="66" t="s">
        <v>152</v>
      </c>
      <c r="O13" s="66" t="s">
        <v>152</v>
      </c>
      <c r="P13" s="66">
        <v>18489</v>
      </c>
      <c r="Q13" s="66">
        <v>18733</v>
      </c>
      <c r="R13" s="295" t="s">
        <v>152</v>
      </c>
    </row>
    <row r="14" spans="1:20" s="63" customFormat="1" ht="15.6" x14ac:dyDescent="0.3">
      <c r="A14" s="75" t="s">
        <v>33</v>
      </c>
      <c r="B14" s="170" t="s">
        <v>152</v>
      </c>
      <c r="C14" s="67" t="s">
        <v>152</v>
      </c>
      <c r="D14" s="67" t="s">
        <v>152</v>
      </c>
      <c r="E14" s="67" t="s">
        <v>152</v>
      </c>
      <c r="F14" s="67" t="s">
        <v>152</v>
      </c>
      <c r="G14" s="67" t="s">
        <v>152</v>
      </c>
      <c r="H14" s="67" t="s">
        <v>152</v>
      </c>
      <c r="I14" s="67" t="s">
        <v>152</v>
      </c>
      <c r="J14" s="67" t="s">
        <v>152</v>
      </c>
      <c r="K14" s="66" t="s">
        <v>152</v>
      </c>
      <c r="L14" s="66" t="s">
        <v>152</v>
      </c>
      <c r="M14" s="66" t="s">
        <v>152</v>
      </c>
      <c r="N14" s="66" t="s">
        <v>152</v>
      </c>
      <c r="O14" s="275">
        <v>22</v>
      </c>
      <c r="P14" s="66">
        <v>18082</v>
      </c>
      <c r="Q14" s="66">
        <v>18041</v>
      </c>
      <c r="R14" s="295" t="s">
        <v>152</v>
      </c>
    </row>
    <row r="15" spans="1:20" s="63" customFormat="1" ht="15.6" x14ac:dyDescent="0.3">
      <c r="A15" s="75" t="s">
        <v>34</v>
      </c>
      <c r="B15" s="170" t="s">
        <v>152</v>
      </c>
      <c r="C15" s="67" t="s">
        <v>152</v>
      </c>
      <c r="D15" s="67" t="s">
        <v>152</v>
      </c>
      <c r="E15" s="67" t="s">
        <v>152</v>
      </c>
      <c r="F15" s="67" t="s">
        <v>152</v>
      </c>
      <c r="G15" s="67" t="s">
        <v>152</v>
      </c>
      <c r="H15" s="67" t="s">
        <v>152</v>
      </c>
      <c r="I15" s="67" t="s">
        <v>152</v>
      </c>
      <c r="J15" s="67" t="s">
        <v>152</v>
      </c>
      <c r="K15" s="66" t="s">
        <v>152</v>
      </c>
      <c r="L15" s="66" t="s">
        <v>152</v>
      </c>
      <c r="M15" s="66" t="s">
        <v>152</v>
      </c>
      <c r="N15" s="66" t="s">
        <v>152</v>
      </c>
      <c r="O15" s="66">
        <v>13330</v>
      </c>
      <c r="P15" s="66">
        <v>17635</v>
      </c>
      <c r="Q15" s="66">
        <v>16504</v>
      </c>
      <c r="R15" s="295" t="s">
        <v>152</v>
      </c>
    </row>
    <row r="16" spans="1:20" s="63" customFormat="1" ht="16.2" thickBot="1" x14ac:dyDescent="0.35">
      <c r="A16" s="88" t="s">
        <v>36</v>
      </c>
      <c r="B16" s="87" t="s">
        <v>152</v>
      </c>
      <c r="C16" s="72" t="s">
        <v>152</v>
      </c>
      <c r="D16" s="72" t="s">
        <v>152</v>
      </c>
      <c r="E16" s="72" t="s">
        <v>152</v>
      </c>
      <c r="F16" s="72" t="s">
        <v>152</v>
      </c>
      <c r="G16" s="72" t="s">
        <v>152</v>
      </c>
      <c r="H16" s="72" t="s">
        <v>152</v>
      </c>
      <c r="I16" s="72" t="s">
        <v>152</v>
      </c>
      <c r="J16" s="72" t="s">
        <v>152</v>
      </c>
      <c r="K16" s="71" t="s">
        <v>152</v>
      </c>
      <c r="L16" s="71" t="s">
        <v>152</v>
      </c>
      <c r="M16" s="71" t="s">
        <v>152</v>
      </c>
      <c r="N16" s="71" t="s">
        <v>152</v>
      </c>
      <c r="O16" s="71">
        <v>13900</v>
      </c>
      <c r="P16" s="71">
        <v>14389</v>
      </c>
      <c r="Q16" s="71">
        <v>16927</v>
      </c>
      <c r="R16" s="292" t="s">
        <v>152</v>
      </c>
    </row>
    <row r="17" spans="1:18" s="63" customFormat="1" ht="16.2" thickTop="1" x14ac:dyDescent="0.3">
      <c r="A17" s="89" t="s">
        <v>37</v>
      </c>
      <c r="B17" s="90" t="s">
        <v>152</v>
      </c>
      <c r="C17" s="73" t="s">
        <v>152</v>
      </c>
      <c r="D17" s="73" t="s">
        <v>152</v>
      </c>
      <c r="E17" s="73" t="s">
        <v>152</v>
      </c>
      <c r="F17" s="73" t="s">
        <v>152</v>
      </c>
      <c r="G17" s="73" t="s">
        <v>152</v>
      </c>
      <c r="H17" s="73" t="s">
        <v>152</v>
      </c>
      <c r="I17" s="73" t="s">
        <v>152</v>
      </c>
      <c r="J17" s="73" t="s">
        <v>152</v>
      </c>
      <c r="K17" s="73" t="s">
        <v>152</v>
      </c>
      <c r="L17" s="73" t="s">
        <v>152</v>
      </c>
      <c r="M17" s="73" t="s">
        <v>152</v>
      </c>
      <c r="N17" s="73" t="s">
        <v>152</v>
      </c>
      <c r="O17" s="273">
        <f t="shared" ref="O17:P17" si="0">SUM(O5:O16)</f>
        <v>27252</v>
      </c>
      <c r="P17" s="273">
        <f t="shared" si="0"/>
        <v>197441</v>
      </c>
      <c r="Q17" s="273">
        <f t="shared" ref="Q17:R17" si="1">SUM(Q5:Q16)</f>
        <v>208030</v>
      </c>
      <c r="R17" s="288">
        <f t="shared" si="1"/>
        <v>106847</v>
      </c>
    </row>
    <row r="18" spans="1:18" s="113" customFormat="1" ht="6.6" x14ac:dyDescent="0.3">
      <c r="A18" s="371" t="s">
        <v>174</v>
      </c>
      <c r="B18" s="371"/>
      <c r="C18" s="371"/>
      <c r="D18" s="371"/>
      <c r="E18" s="371"/>
      <c r="F18" s="371"/>
      <c r="G18" s="371"/>
      <c r="H18" s="371"/>
      <c r="I18" s="371"/>
      <c r="J18" s="371"/>
      <c r="K18" s="371"/>
      <c r="L18" s="371"/>
      <c r="M18" s="371"/>
      <c r="N18" s="371"/>
      <c r="O18" s="371"/>
      <c r="P18" s="371"/>
      <c r="Q18" s="371"/>
      <c r="R18" s="371"/>
    </row>
    <row r="19" spans="1:18" s="106" customFormat="1" ht="18" x14ac:dyDescent="0.3">
      <c r="A19" s="370" t="s">
        <v>140</v>
      </c>
      <c r="B19" s="370"/>
      <c r="C19" s="370"/>
      <c r="D19" s="370"/>
      <c r="E19" s="370"/>
      <c r="F19" s="370"/>
      <c r="G19" s="370"/>
      <c r="H19" s="370"/>
      <c r="I19" s="370"/>
      <c r="J19" s="370"/>
      <c r="K19" s="370"/>
      <c r="L19" s="370"/>
      <c r="M19" s="370"/>
      <c r="N19" s="370"/>
      <c r="O19" s="370"/>
      <c r="P19" s="370"/>
      <c r="Q19" s="370"/>
      <c r="R19" s="370"/>
    </row>
    <row r="20" spans="1:18" s="63" customFormat="1" ht="15.6" x14ac:dyDescent="0.3">
      <c r="A20" s="77" t="s">
        <v>23</v>
      </c>
      <c r="B20" s="91">
        <v>2004</v>
      </c>
      <c r="C20" s="64">
        <v>2005</v>
      </c>
      <c r="D20" s="64">
        <v>2006</v>
      </c>
      <c r="E20" s="64">
        <v>2007</v>
      </c>
      <c r="F20" s="64">
        <v>2008</v>
      </c>
      <c r="G20" s="64">
        <v>2009</v>
      </c>
      <c r="H20" s="64">
        <v>2010</v>
      </c>
      <c r="I20" s="64">
        <v>2011</v>
      </c>
      <c r="J20" s="65">
        <v>2012</v>
      </c>
      <c r="K20" s="65">
        <v>2013</v>
      </c>
      <c r="L20" s="65">
        <v>2014</v>
      </c>
      <c r="M20" s="65">
        <v>2015</v>
      </c>
      <c r="N20" s="65">
        <v>2016</v>
      </c>
      <c r="O20" s="65">
        <v>2017</v>
      </c>
      <c r="P20" s="65">
        <v>2018</v>
      </c>
      <c r="Q20" s="65">
        <v>2019</v>
      </c>
      <c r="R20" s="49">
        <v>2020</v>
      </c>
    </row>
    <row r="21" spans="1:18" s="63" customFormat="1" ht="15.6" x14ac:dyDescent="0.3">
      <c r="A21" s="76" t="s">
        <v>24</v>
      </c>
      <c r="B21" s="108" t="s">
        <v>152</v>
      </c>
      <c r="C21" s="107" t="s">
        <v>152</v>
      </c>
      <c r="D21" s="107" t="s">
        <v>152</v>
      </c>
      <c r="E21" s="107" t="s">
        <v>152</v>
      </c>
      <c r="F21" s="107" t="s">
        <v>152</v>
      </c>
      <c r="G21" s="107" t="s">
        <v>152</v>
      </c>
      <c r="H21" s="107" t="s">
        <v>152</v>
      </c>
      <c r="I21" s="107" t="s">
        <v>152</v>
      </c>
      <c r="J21" s="107" t="s">
        <v>152</v>
      </c>
      <c r="K21" s="83" t="s">
        <v>152</v>
      </c>
      <c r="L21" s="83" t="s">
        <v>152</v>
      </c>
      <c r="M21" s="83" t="s">
        <v>152</v>
      </c>
      <c r="N21" s="83" t="s">
        <v>152</v>
      </c>
      <c r="O21" s="83" t="s">
        <v>152</v>
      </c>
      <c r="P21" s="271">
        <v>2913</v>
      </c>
      <c r="Q21" s="271">
        <v>2011</v>
      </c>
      <c r="R21" s="286">
        <v>2293</v>
      </c>
    </row>
    <row r="22" spans="1:18" s="63" customFormat="1" ht="15.6" x14ac:dyDescent="0.3">
      <c r="A22" s="75" t="s">
        <v>25</v>
      </c>
      <c r="B22" s="170" t="s">
        <v>152</v>
      </c>
      <c r="C22" s="67" t="s">
        <v>152</v>
      </c>
      <c r="D22" s="67" t="s">
        <v>152</v>
      </c>
      <c r="E22" s="67" t="s">
        <v>152</v>
      </c>
      <c r="F22" s="67" t="s">
        <v>152</v>
      </c>
      <c r="G22" s="67" t="s">
        <v>152</v>
      </c>
      <c r="H22" s="67" t="s">
        <v>152</v>
      </c>
      <c r="I22" s="67" t="s">
        <v>152</v>
      </c>
      <c r="J22" s="67" t="s">
        <v>152</v>
      </c>
      <c r="K22" s="66" t="s">
        <v>152</v>
      </c>
      <c r="L22" s="66" t="s">
        <v>152</v>
      </c>
      <c r="M22" s="66" t="s">
        <v>152</v>
      </c>
      <c r="N22" s="66" t="s">
        <v>152</v>
      </c>
      <c r="O22" s="66" t="s">
        <v>152</v>
      </c>
      <c r="P22" s="66">
        <v>3258</v>
      </c>
      <c r="Q22" s="66">
        <v>2702</v>
      </c>
      <c r="R22" s="287">
        <v>2668</v>
      </c>
    </row>
    <row r="23" spans="1:18" s="63" customFormat="1" ht="15.6" x14ac:dyDescent="0.3">
      <c r="A23" s="75" t="s">
        <v>26</v>
      </c>
      <c r="B23" s="170" t="s">
        <v>152</v>
      </c>
      <c r="C23" s="67" t="s">
        <v>152</v>
      </c>
      <c r="D23" s="67" t="s">
        <v>152</v>
      </c>
      <c r="E23" s="67" t="s">
        <v>152</v>
      </c>
      <c r="F23" s="67" t="s">
        <v>152</v>
      </c>
      <c r="G23" s="67" t="s">
        <v>152</v>
      </c>
      <c r="H23" s="67" t="s">
        <v>152</v>
      </c>
      <c r="I23" s="67" t="s">
        <v>152</v>
      </c>
      <c r="J23" s="67" t="s">
        <v>152</v>
      </c>
      <c r="K23" s="66" t="s">
        <v>152</v>
      </c>
      <c r="L23" s="66" t="s">
        <v>152</v>
      </c>
      <c r="M23" s="66" t="s">
        <v>152</v>
      </c>
      <c r="N23" s="66" t="s">
        <v>152</v>
      </c>
      <c r="O23" s="66" t="s">
        <v>152</v>
      </c>
      <c r="P23" s="66">
        <v>2317</v>
      </c>
      <c r="Q23" s="66">
        <v>2318</v>
      </c>
      <c r="R23" s="287">
        <v>2115</v>
      </c>
    </row>
    <row r="24" spans="1:18" s="63" customFormat="1" ht="15.6" x14ac:dyDescent="0.3">
      <c r="A24" s="75" t="s">
        <v>27</v>
      </c>
      <c r="B24" s="170" t="s">
        <v>152</v>
      </c>
      <c r="C24" s="67" t="s">
        <v>152</v>
      </c>
      <c r="D24" s="67" t="s">
        <v>152</v>
      </c>
      <c r="E24" s="67" t="s">
        <v>152</v>
      </c>
      <c r="F24" s="67" t="s">
        <v>152</v>
      </c>
      <c r="G24" s="67" t="s">
        <v>152</v>
      </c>
      <c r="H24" s="67" t="s">
        <v>152</v>
      </c>
      <c r="I24" s="67" t="s">
        <v>152</v>
      </c>
      <c r="J24" s="67" t="s">
        <v>152</v>
      </c>
      <c r="K24" s="66" t="s">
        <v>152</v>
      </c>
      <c r="L24" s="66" t="s">
        <v>152</v>
      </c>
      <c r="M24" s="66" t="s">
        <v>152</v>
      </c>
      <c r="N24" s="66" t="s">
        <v>152</v>
      </c>
      <c r="O24" s="66" t="s">
        <v>152</v>
      </c>
      <c r="P24" s="66">
        <v>1868</v>
      </c>
      <c r="Q24" s="66">
        <v>2266</v>
      </c>
      <c r="R24" s="287">
        <v>1487</v>
      </c>
    </row>
    <row r="25" spans="1:18" s="63" customFormat="1" ht="15.6" x14ac:dyDescent="0.3">
      <c r="A25" s="75" t="s">
        <v>28</v>
      </c>
      <c r="B25" s="170" t="s">
        <v>152</v>
      </c>
      <c r="C25" s="67" t="s">
        <v>152</v>
      </c>
      <c r="D25" s="67" t="s">
        <v>152</v>
      </c>
      <c r="E25" s="67" t="s">
        <v>152</v>
      </c>
      <c r="F25" s="67" t="s">
        <v>152</v>
      </c>
      <c r="G25" s="67" t="s">
        <v>152</v>
      </c>
      <c r="H25" s="67" t="s">
        <v>152</v>
      </c>
      <c r="I25" s="67" t="s">
        <v>152</v>
      </c>
      <c r="J25" s="67" t="s">
        <v>152</v>
      </c>
      <c r="K25" s="66" t="s">
        <v>152</v>
      </c>
      <c r="L25" s="66" t="s">
        <v>152</v>
      </c>
      <c r="M25" s="66" t="s">
        <v>152</v>
      </c>
      <c r="N25" s="66" t="s">
        <v>152</v>
      </c>
      <c r="O25" s="66" t="s">
        <v>152</v>
      </c>
      <c r="P25" s="66">
        <v>2701</v>
      </c>
      <c r="Q25" s="66">
        <v>1638</v>
      </c>
      <c r="R25" s="287">
        <v>1563</v>
      </c>
    </row>
    <row r="26" spans="1:18" s="63" customFormat="1" ht="15.6" x14ac:dyDescent="0.3">
      <c r="A26" s="75" t="s">
        <v>29</v>
      </c>
      <c r="B26" s="170" t="s">
        <v>152</v>
      </c>
      <c r="C26" s="67" t="s">
        <v>152</v>
      </c>
      <c r="D26" s="67" t="s">
        <v>152</v>
      </c>
      <c r="E26" s="67" t="s">
        <v>152</v>
      </c>
      <c r="F26" s="67" t="s">
        <v>152</v>
      </c>
      <c r="G26" s="67" t="s">
        <v>152</v>
      </c>
      <c r="H26" s="67" t="s">
        <v>152</v>
      </c>
      <c r="I26" s="67" t="s">
        <v>152</v>
      </c>
      <c r="J26" s="67" t="s">
        <v>152</v>
      </c>
      <c r="K26" s="66" t="s">
        <v>152</v>
      </c>
      <c r="L26" s="66" t="s">
        <v>152</v>
      </c>
      <c r="M26" s="66" t="s">
        <v>152</v>
      </c>
      <c r="N26" s="66" t="s">
        <v>152</v>
      </c>
      <c r="O26" s="66" t="s">
        <v>152</v>
      </c>
      <c r="P26" s="66">
        <v>3189</v>
      </c>
      <c r="Q26" s="66">
        <v>1831</v>
      </c>
      <c r="R26" s="287">
        <v>1512</v>
      </c>
    </row>
    <row r="27" spans="1:18" s="63" customFormat="1" ht="15.6" x14ac:dyDescent="0.3">
      <c r="A27" s="75" t="s">
        <v>30</v>
      </c>
      <c r="B27" s="170" t="s">
        <v>152</v>
      </c>
      <c r="C27" s="67" t="s">
        <v>152</v>
      </c>
      <c r="D27" s="67" t="s">
        <v>152</v>
      </c>
      <c r="E27" s="67" t="s">
        <v>152</v>
      </c>
      <c r="F27" s="67" t="s">
        <v>152</v>
      </c>
      <c r="G27" s="67" t="s">
        <v>152</v>
      </c>
      <c r="H27" s="67" t="s">
        <v>152</v>
      </c>
      <c r="I27" s="67" t="s">
        <v>152</v>
      </c>
      <c r="J27" s="67" t="s">
        <v>152</v>
      </c>
      <c r="K27" s="66" t="s">
        <v>152</v>
      </c>
      <c r="L27" s="66" t="s">
        <v>152</v>
      </c>
      <c r="M27" s="66" t="s">
        <v>152</v>
      </c>
      <c r="N27" s="66" t="s">
        <v>152</v>
      </c>
      <c r="O27" s="66" t="s">
        <v>152</v>
      </c>
      <c r="P27" s="66">
        <v>3334</v>
      </c>
      <c r="Q27" s="66">
        <v>3026</v>
      </c>
      <c r="R27" s="295" t="s">
        <v>152</v>
      </c>
    </row>
    <row r="28" spans="1:18" s="63" customFormat="1" ht="15.6" x14ac:dyDescent="0.3">
      <c r="A28" s="75" t="s">
        <v>31</v>
      </c>
      <c r="B28" s="170" t="s">
        <v>152</v>
      </c>
      <c r="C28" s="67" t="s">
        <v>152</v>
      </c>
      <c r="D28" s="67" t="s">
        <v>152</v>
      </c>
      <c r="E28" s="67" t="s">
        <v>152</v>
      </c>
      <c r="F28" s="67" t="s">
        <v>152</v>
      </c>
      <c r="G28" s="67" t="s">
        <v>152</v>
      </c>
      <c r="H28" s="67" t="s">
        <v>152</v>
      </c>
      <c r="I28" s="67" t="s">
        <v>152</v>
      </c>
      <c r="J28" s="67" t="s">
        <v>152</v>
      </c>
      <c r="K28" s="66" t="s">
        <v>152</v>
      </c>
      <c r="L28" s="66" t="s">
        <v>152</v>
      </c>
      <c r="M28" s="66" t="s">
        <v>152</v>
      </c>
      <c r="N28" s="66" t="s">
        <v>152</v>
      </c>
      <c r="O28" s="66" t="s">
        <v>152</v>
      </c>
      <c r="P28" s="66">
        <v>2982</v>
      </c>
      <c r="Q28" s="66">
        <v>2158</v>
      </c>
      <c r="R28" s="295" t="s">
        <v>152</v>
      </c>
    </row>
    <row r="29" spans="1:18" s="63" customFormat="1" ht="15.6" x14ac:dyDescent="0.3">
      <c r="A29" s="75" t="s">
        <v>32</v>
      </c>
      <c r="B29" s="170" t="s">
        <v>152</v>
      </c>
      <c r="C29" s="67" t="s">
        <v>152</v>
      </c>
      <c r="D29" s="67" t="s">
        <v>152</v>
      </c>
      <c r="E29" s="67" t="s">
        <v>152</v>
      </c>
      <c r="F29" s="67" t="s">
        <v>152</v>
      </c>
      <c r="G29" s="67" t="s">
        <v>152</v>
      </c>
      <c r="H29" s="67" t="s">
        <v>152</v>
      </c>
      <c r="I29" s="67" t="s">
        <v>152</v>
      </c>
      <c r="J29" s="67" t="s">
        <v>152</v>
      </c>
      <c r="K29" s="66" t="s">
        <v>152</v>
      </c>
      <c r="L29" s="66" t="s">
        <v>152</v>
      </c>
      <c r="M29" s="66" t="s">
        <v>152</v>
      </c>
      <c r="N29" s="66" t="s">
        <v>152</v>
      </c>
      <c r="O29" s="66" t="s">
        <v>152</v>
      </c>
      <c r="P29" s="66">
        <v>1498</v>
      </c>
      <c r="Q29" s="66">
        <v>1746</v>
      </c>
      <c r="R29" s="295" t="s">
        <v>152</v>
      </c>
    </row>
    <row r="30" spans="1:18" s="63" customFormat="1" ht="15.6" x14ac:dyDescent="0.3">
      <c r="A30" s="75" t="s">
        <v>33</v>
      </c>
      <c r="B30" s="170" t="s">
        <v>152</v>
      </c>
      <c r="C30" s="67" t="s">
        <v>152</v>
      </c>
      <c r="D30" s="67" t="s">
        <v>152</v>
      </c>
      <c r="E30" s="67" t="s">
        <v>152</v>
      </c>
      <c r="F30" s="67" t="s">
        <v>152</v>
      </c>
      <c r="G30" s="67" t="s">
        <v>152</v>
      </c>
      <c r="H30" s="67" t="s">
        <v>152</v>
      </c>
      <c r="I30" s="67" t="s">
        <v>152</v>
      </c>
      <c r="J30" s="67" t="s">
        <v>152</v>
      </c>
      <c r="K30" s="66" t="s">
        <v>152</v>
      </c>
      <c r="L30" s="66" t="s">
        <v>152</v>
      </c>
      <c r="M30" s="66" t="s">
        <v>152</v>
      </c>
      <c r="N30" s="66" t="s">
        <v>152</v>
      </c>
      <c r="O30" s="275">
        <v>0</v>
      </c>
      <c r="P30" s="66">
        <v>2410</v>
      </c>
      <c r="Q30" s="66">
        <v>2702</v>
      </c>
      <c r="R30" s="295" t="s">
        <v>152</v>
      </c>
    </row>
    <row r="31" spans="1:18" s="63" customFormat="1" ht="15.6" x14ac:dyDescent="0.3">
      <c r="A31" s="75" t="s">
        <v>34</v>
      </c>
      <c r="B31" s="170" t="s">
        <v>152</v>
      </c>
      <c r="C31" s="67" t="s">
        <v>152</v>
      </c>
      <c r="D31" s="67" t="s">
        <v>152</v>
      </c>
      <c r="E31" s="67" t="s">
        <v>152</v>
      </c>
      <c r="F31" s="67" t="s">
        <v>152</v>
      </c>
      <c r="G31" s="67" t="s">
        <v>152</v>
      </c>
      <c r="H31" s="67" t="s">
        <v>152</v>
      </c>
      <c r="I31" s="67" t="s">
        <v>152</v>
      </c>
      <c r="J31" s="67" t="s">
        <v>152</v>
      </c>
      <c r="K31" s="66" t="s">
        <v>152</v>
      </c>
      <c r="L31" s="66" t="s">
        <v>152</v>
      </c>
      <c r="M31" s="66" t="s">
        <v>152</v>
      </c>
      <c r="N31" s="66" t="s">
        <v>152</v>
      </c>
      <c r="O31" s="66">
        <v>1028</v>
      </c>
      <c r="P31" s="66">
        <v>1759</v>
      </c>
      <c r="Q31" s="66">
        <v>2141</v>
      </c>
      <c r="R31" s="295" t="s">
        <v>152</v>
      </c>
    </row>
    <row r="32" spans="1:18" s="63" customFormat="1" ht="16.2" thickBot="1" x14ac:dyDescent="0.35">
      <c r="A32" s="88" t="s">
        <v>36</v>
      </c>
      <c r="B32" s="87" t="s">
        <v>152</v>
      </c>
      <c r="C32" s="72" t="s">
        <v>152</v>
      </c>
      <c r="D32" s="72" t="s">
        <v>152</v>
      </c>
      <c r="E32" s="72" t="s">
        <v>152</v>
      </c>
      <c r="F32" s="72" t="s">
        <v>152</v>
      </c>
      <c r="G32" s="72" t="s">
        <v>152</v>
      </c>
      <c r="H32" s="72" t="s">
        <v>152</v>
      </c>
      <c r="I32" s="72" t="s">
        <v>152</v>
      </c>
      <c r="J32" s="72" t="s">
        <v>152</v>
      </c>
      <c r="K32" s="71" t="s">
        <v>152</v>
      </c>
      <c r="L32" s="71" t="s">
        <v>152</v>
      </c>
      <c r="M32" s="71" t="s">
        <v>152</v>
      </c>
      <c r="N32" s="71" t="s">
        <v>152</v>
      </c>
      <c r="O32" s="71">
        <v>2411</v>
      </c>
      <c r="P32" s="71">
        <v>1973</v>
      </c>
      <c r="Q32" s="71">
        <v>2299</v>
      </c>
      <c r="R32" s="292" t="s">
        <v>152</v>
      </c>
    </row>
    <row r="33" spans="1:18" s="63" customFormat="1" ht="16.2" thickTop="1" x14ac:dyDescent="0.3">
      <c r="A33" s="89" t="s">
        <v>37</v>
      </c>
      <c r="B33" s="90" t="s">
        <v>152</v>
      </c>
      <c r="C33" s="73" t="s">
        <v>152</v>
      </c>
      <c r="D33" s="73" t="s">
        <v>152</v>
      </c>
      <c r="E33" s="73" t="s">
        <v>152</v>
      </c>
      <c r="F33" s="73" t="s">
        <v>152</v>
      </c>
      <c r="G33" s="73" t="s">
        <v>152</v>
      </c>
      <c r="H33" s="73" t="s">
        <v>152</v>
      </c>
      <c r="I33" s="73" t="s">
        <v>152</v>
      </c>
      <c r="J33" s="73" t="s">
        <v>152</v>
      </c>
      <c r="K33" s="73" t="s">
        <v>152</v>
      </c>
      <c r="L33" s="73" t="s">
        <v>152</v>
      </c>
      <c r="M33" s="73" t="s">
        <v>152</v>
      </c>
      <c r="N33" s="73" t="s">
        <v>152</v>
      </c>
      <c r="O33" s="273">
        <f t="shared" ref="O33:P33" si="2">SUM(O21:O32)</f>
        <v>3439</v>
      </c>
      <c r="P33" s="273">
        <f t="shared" si="2"/>
        <v>30202</v>
      </c>
      <c r="Q33" s="273">
        <f t="shared" ref="Q33:R33" si="3">SUM(Q21:Q32)</f>
        <v>26838</v>
      </c>
      <c r="R33" s="288">
        <f t="shared" si="3"/>
        <v>11638</v>
      </c>
    </row>
    <row r="34" spans="1:18" s="113" customFormat="1" ht="6.6" x14ac:dyDescent="0.3">
      <c r="A34" s="371" t="s">
        <v>174</v>
      </c>
      <c r="B34" s="371"/>
      <c r="C34" s="371"/>
      <c r="D34" s="371"/>
      <c r="E34" s="371"/>
      <c r="F34" s="371"/>
      <c r="G34" s="371"/>
      <c r="H34" s="371"/>
      <c r="I34" s="371"/>
      <c r="J34" s="371"/>
      <c r="K34" s="371"/>
      <c r="L34" s="371"/>
      <c r="M34" s="371"/>
      <c r="N34" s="371"/>
      <c r="O34" s="371"/>
      <c r="P34" s="371"/>
      <c r="Q34" s="371"/>
      <c r="R34" s="371"/>
    </row>
    <row r="35" spans="1:18" s="106" customFormat="1" ht="18" x14ac:dyDescent="0.3">
      <c r="A35" s="370" t="s">
        <v>141</v>
      </c>
      <c r="B35" s="370"/>
      <c r="C35" s="370"/>
      <c r="D35" s="370"/>
      <c r="E35" s="370"/>
      <c r="F35" s="370"/>
      <c r="G35" s="370"/>
      <c r="H35" s="370"/>
      <c r="I35" s="370"/>
      <c r="J35" s="370"/>
      <c r="K35" s="370"/>
      <c r="L35" s="370"/>
      <c r="M35" s="370"/>
      <c r="N35" s="370"/>
      <c r="O35" s="370"/>
      <c r="P35" s="370"/>
      <c r="Q35" s="370"/>
      <c r="R35" s="370"/>
    </row>
    <row r="36" spans="1:18" s="63" customFormat="1" ht="15.6" x14ac:dyDescent="0.3">
      <c r="A36" s="77" t="s">
        <v>23</v>
      </c>
      <c r="B36" s="91">
        <v>2004</v>
      </c>
      <c r="C36" s="64">
        <v>2005</v>
      </c>
      <c r="D36" s="64">
        <v>2006</v>
      </c>
      <c r="E36" s="64">
        <v>2007</v>
      </c>
      <c r="F36" s="64">
        <v>2008</v>
      </c>
      <c r="G36" s="64">
        <v>2009</v>
      </c>
      <c r="H36" s="64">
        <v>2010</v>
      </c>
      <c r="I36" s="64">
        <v>2011</v>
      </c>
      <c r="J36" s="65">
        <v>2012</v>
      </c>
      <c r="K36" s="65">
        <v>2013</v>
      </c>
      <c r="L36" s="65">
        <v>2014</v>
      </c>
      <c r="M36" s="65">
        <v>2015</v>
      </c>
      <c r="N36" s="65">
        <v>2016</v>
      </c>
      <c r="O36" s="65">
        <v>2017</v>
      </c>
      <c r="P36" s="65">
        <v>2018</v>
      </c>
      <c r="Q36" s="65">
        <v>2019</v>
      </c>
      <c r="R36" s="49">
        <v>2020</v>
      </c>
    </row>
    <row r="37" spans="1:18" s="63" customFormat="1" ht="15.6" x14ac:dyDescent="0.3">
      <c r="A37" s="76" t="s">
        <v>24</v>
      </c>
      <c r="B37" s="108" t="s">
        <v>152</v>
      </c>
      <c r="C37" s="107" t="s">
        <v>152</v>
      </c>
      <c r="D37" s="107" t="s">
        <v>152</v>
      </c>
      <c r="E37" s="107" t="s">
        <v>152</v>
      </c>
      <c r="F37" s="107" t="s">
        <v>152</v>
      </c>
      <c r="G37" s="107" t="s">
        <v>152</v>
      </c>
      <c r="H37" s="107" t="s">
        <v>152</v>
      </c>
      <c r="I37" s="107" t="s">
        <v>152</v>
      </c>
      <c r="J37" s="107" t="s">
        <v>152</v>
      </c>
      <c r="K37" s="83" t="s">
        <v>152</v>
      </c>
      <c r="L37" s="83" t="s">
        <v>152</v>
      </c>
      <c r="M37" s="83" t="s">
        <v>152</v>
      </c>
      <c r="N37" s="83" t="s">
        <v>152</v>
      </c>
      <c r="O37" s="83" t="s">
        <v>152</v>
      </c>
      <c r="P37" s="271">
        <v>0</v>
      </c>
      <c r="Q37" s="271">
        <v>0</v>
      </c>
      <c r="R37" s="286">
        <v>0</v>
      </c>
    </row>
    <row r="38" spans="1:18" s="63" customFormat="1" ht="15.6" x14ac:dyDescent="0.3">
      <c r="A38" s="75" t="s">
        <v>25</v>
      </c>
      <c r="B38" s="170" t="s">
        <v>152</v>
      </c>
      <c r="C38" s="67" t="s">
        <v>152</v>
      </c>
      <c r="D38" s="67" t="s">
        <v>152</v>
      </c>
      <c r="E38" s="67" t="s">
        <v>152</v>
      </c>
      <c r="F38" s="67" t="s">
        <v>152</v>
      </c>
      <c r="G38" s="67" t="s">
        <v>152</v>
      </c>
      <c r="H38" s="67" t="s">
        <v>152</v>
      </c>
      <c r="I38" s="67" t="s">
        <v>152</v>
      </c>
      <c r="J38" s="67" t="s">
        <v>152</v>
      </c>
      <c r="K38" s="66" t="s">
        <v>152</v>
      </c>
      <c r="L38" s="66" t="s">
        <v>152</v>
      </c>
      <c r="M38" s="66" t="s">
        <v>152</v>
      </c>
      <c r="N38" s="66" t="s">
        <v>152</v>
      </c>
      <c r="O38" s="66" t="s">
        <v>152</v>
      </c>
      <c r="P38" s="66">
        <v>0</v>
      </c>
      <c r="Q38" s="66">
        <v>0</v>
      </c>
      <c r="R38" s="287">
        <v>0</v>
      </c>
    </row>
    <row r="39" spans="1:18" s="63" customFormat="1" ht="15.6" x14ac:dyDescent="0.3">
      <c r="A39" s="75" t="s">
        <v>26</v>
      </c>
      <c r="B39" s="170" t="s">
        <v>152</v>
      </c>
      <c r="C39" s="67" t="s">
        <v>152</v>
      </c>
      <c r="D39" s="67" t="s">
        <v>152</v>
      </c>
      <c r="E39" s="67" t="s">
        <v>152</v>
      </c>
      <c r="F39" s="67" t="s">
        <v>152</v>
      </c>
      <c r="G39" s="67" t="s">
        <v>152</v>
      </c>
      <c r="H39" s="67" t="s">
        <v>152</v>
      </c>
      <c r="I39" s="67" t="s">
        <v>152</v>
      </c>
      <c r="J39" s="67" t="s">
        <v>152</v>
      </c>
      <c r="K39" s="66" t="s">
        <v>152</v>
      </c>
      <c r="L39" s="66" t="s">
        <v>152</v>
      </c>
      <c r="M39" s="66" t="s">
        <v>152</v>
      </c>
      <c r="N39" s="66" t="s">
        <v>152</v>
      </c>
      <c r="O39" s="66" t="s">
        <v>152</v>
      </c>
      <c r="P39" s="66">
        <v>0</v>
      </c>
      <c r="Q39" s="66">
        <v>0</v>
      </c>
      <c r="R39" s="287">
        <v>0</v>
      </c>
    </row>
    <row r="40" spans="1:18" s="63" customFormat="1" ht="15.6" x14ac:dyDescent="0.3">
      <c r="A40" s="75" t="s">
        <v>27</v>
      </c>
      <c r="B40" s="170" t="s">
        <v>152</v>
      </c>
      <c r="C40" s="67" t="s">
        <v>152</v>
      </c>
      <c r="D40" s="67" t="s">
        <v>152</v>
      </c>
      <c r="E40" s="67" t="s">
        <v>152</v>
      </c>
      <c r="F40" s="67" t="s">
        <v>152</v>
      </c>
      <c r="G40" s="67" t="s">
        <v>152</v>
      </c>
      <c r="H40" s="67" t="s">
        <v>152</v>
      </c>
      <c r="I40" s="67" t="s">
        <v>152</v>
      </c>
      <c r="J40" s="67" t="s">
        <v>152</v>
      </c>
      <c r="K40" s="66" t="s">
        <v>152</v>
      </c>
      <c r="L40" s="66" t="s">
        <v>152</v>
      </c>
      <c r="M40" s="66" t="s">
        <v>152</v>
      </c>
      <c r="N40" s="66" t="s">
        <v>152</v>
      </c>
      <c r="O40" s="66" t="s">
        <v>152</v>
      </c>
      <c r="P40" s="66">
        <v>0</v>
      </c>
      <c r="Q40" s="66">
        <v>0</v>
      </c>
      <c r="R40" s="287">
        <v>0</v>
      </c>
    </row>
    <row r="41" spans="1:18" s="63" customFormat="1" ht="15.6" x14ac:dyDescent="0.3">
      <c r="A41" s="75" t="s">
        <v>28</v>
      </c>
      <c r="B41" s="170" t="s">
        <v>152</v>
      </c>
      <c r="C41" s="67" t="s">
        <v>152</v>
      </c>
      <c r="D41" s="67" t="s">
        <v>152</v>
      </c>
      <c r="E41" s="67" t="s">
        <v>152</v>
      </c>
      <c r="F41" s="67" t="s">
        <v>152</v>
      </c>
      <c r="G41" s="67" t="s">
        <v>152</v>
      </c>
      <c r="H41" s="67" t="s">
        <v>152</v>
      </c>
      <c r="I41" s="67" t="s">
        <v>152</v>
      </c>
      <c r="J41" s="67" t="s">
        <v>152</v>
      </c>
      <c r="K41" s="66" t="s">
        <v>152</v>
      </c>
      <c r="L41" s="66" t="s">
        <v>152</v>
      </c>
      <c r="M41" s="66" t="s">
        <v>152</v>
      </c>
      <c r="N41" s="66" t="s">
        <v>152</v>
      </c>
      <c r="O41" s="66" t="s">
        <v>152</v>
      </c>
      <c r="P41" s="66">
        <v>0</v>
      </c>
      <c r="Q41" s="66">
        <v>0</v>
      </c>
      <c r="R41" s="287">
        <v>0</v>
      </c>
    </row>
    <row r="42" spans="1:18" s="63" customFormat="1" ht="15.6" x14ac:dyDescent="0.3">
      <c r="A42" s="75" t="s">
        <v>29</v>
      </c>
      <c r="B42" s="170" t="s">
        <v>152</v>
      </c>
      <c r="C42" s="67" t="s">
        <v>152</v>
      </c>
      <c r="D42" s="67" t="s">
        <v>152</v>
      </c>
      <c r="E42" s="67" t="s">
        <v>152</v>
      </c>
      <c r="F42" s="67" t="s">
        <v>152</v>
      </c>
      <c r="G42" s="67" t="s">
        <v>152</v>
      </c>
      <c r="H42" s="67" t="s">
        <v>152</v>
      </c>
      <c r="I42" s="67" t="s">
        <v>152</v>
      </c>
      <c r="J42" s="67" t="s">
        <v>152</v>
      </c>
      <c r="K42" s="66" t="s">
        <v>152</v>
      </c>
      <c r="L42" s="66" t="s">
        <v>152</v>
      </c>
      <c r="M42" s="66" t="s">
        <v>152</v>
      </c>
      <c r="N42" s="66" t="s">
        <v>152</v>
      </c>
      <c r="O42" s="66" t="s">
        <v>152</v>
      </c>
      <c r="P42" s="66">
        <v>0</v>
      </c>
      <c r="Q42" s="66">
        <v>-43</v>
      </c>
      <c r="R42" s="287">
        <v>-37</v>
      </c>
    </row>
    <row r="43" spans="1:18" s="63" customFormat="1" ht="15.6" x14ac:dyDescent="0.3">
      <c r="A43" s="75" t="s">
        <v>30</v>
      </c>
      <c r="B43" s="170" t="s">
        <v>152</v>
      </c>
      <c r="C43" s="67" t="s">
        <v>152</v>
      </c>
      <c r="D43" s="67" t="s">
        <v>152</v>
      </c>
      <c r="E43" s="67" t="s">
        <v>152</v>
      </c>
      <c r="F43" s="67" t="s">
        <v>152</v>
      </c>
      <c r="G43" s="67" t="s">
        <v>152</v>
      </c>
      <c r="H43" s="67" t="s">
        <v>152</v>
      </c>
      <c r="I43" s="67" t="s">
        <v>152</v>
      </c>
      <c r="J43" s="67" t="s">
        <v>152</v>
      </c>
      <c r="K43" s="66" t="s">
        <v>152</v>
      </c>
      <c r="L43" s="66" t="s">
        <v>152</v>
      </c>
      <c r="M43" s="66" t="s">
        <v>152</v>
      </c>
      <c r="N43" s="66" t="s">
        <v>152</v>
      </c>
      <c r="O43" s="66" t="s">
        <v>152</v>
      </c>
      <c r="P43" s="66">
        <v>0</v>
      </c>
      <c r="Q43" s="66">
        <v>0</v>
      </c>
      <c r="R43" s="295" t="s">
        <v>152</v>
      </c>
    </row>
    <row r="44" spans="1:18" s="63" customFormat="1" ht="15.6" x14ac:dyDescent="0.3">
      <c r="A44" s="75" t="s">
        <v>31</v>
      </c>
      <c r="B44" s="170" t="s">
        <v>152</v>
      </c>
      <c r="C44" s="67" t="s">
        <v>152</v>
      </c>
      <c r="D44" s="67" t="s">
        <v>152</v>
      </c>
      <c r="E44" s="67" t="s">
        <v>152</v>
      </c>
      <c r="F44" s="67" t="s">
        <v>152</v>
      </c>
      <c r="G44" s="67" t="s">
        <v>152</v>
      </c>
      <c r="H44" s="67" t="s">
        <v>152</v>
      </c>
      <c r="I44" s="67" t="s">
        <v>152</v>
      </c>
      <c r="J44" s="67" t="s">
        <v>152</v>
      </c>
      <c r="K44" s="66" t="s">
        <v>152</v>
      </c>
      <c r="L44" s="66" t="s">
        <v>152</v>
      </c>
      <c r="M44" s="66" t="s">
        <v>152</v>
      </c>
      <c r="N44" s="66" t="s">
        <v>152</v>
      </c>
      <c r="O44" s="66" t="s">
        <v>152</v>
      </c>
      <c r="P44" s="66">
        <v>0</v>
      </c>
      <c r="Q44" s="66">
        <v>-37</v>
      </c>
      <c r="R44" s="295" t="s">
        <v>152</v>
      </c>
    </row>
    <row r="45" spans="1:18" s="63" customFormat="1" ht="15.6" x14ac:dyDescent="0.3">
      <c r="A45" s="75" t="s">
        <v>32</v>
      </c>
      <c r="B45" s="170" t="s">
        <v>152</v>
      </c>
      <c r="C45" s="67" t="s">
        <v>152</v>
      </c>
      <c r="D45" s="67" t="s">
        <v>152</v>
      </c>
      <c r="E45" s="67" t="s">
        <v>152</v>
      </c>
      <c r="F45" s="67" t="s">
        <v>152</v>
      </c>
      <c r="G45" s="67" t="s">
        <v>152</v>
      </c>
      <c r="H45" s="67" t="s">
        <v>152</v>
      </c>
      <c r="I45" s="67" t="s">
        <v>152</v>
      </c>
      <c r="J45" s="67" t="s">
        <v>152</v>
      </c>
      <c r="K45" s="66" t="s">
        <v>152</v>
      </c>
      <c r="L45" s="66" t="s">
        <v>152</v>
      </c>
      <c r="M45" s="66" t="s">
        <v>152</v>
      </c>
      <c r="N45" s="66" t="s">
        <v>152</v>
      </c>
      <c r="O45" s="66" t="s">
        <v>152</v>
      </c>
      <c r="P45" s="66">
        <v>0</v>
      </c>
      <c r="Q45" s="66">
        <v>0</v>
      </c>
      <c r="R45" s="295" t="s">
        <v>152</v>
      </c>
    </row>
    <row r="46" spans="1:18" s="63" customFormat="1" ht="15.6" x14ac:dyDescent="0.3">
      <c r="A46" s="75" t="s">
        <v>33</v>
      </c>
      <c r="B46" s="170" t="s">
        <v>152</v>
      </c>
      <c r="C46" s="67" t="s">
        <v>152</v>
      </c>
      <c r="D46" s="67" t="s">
        <v>152</v>
      </c>
      <c r="E46" s="67" t="s">
        <v>152</v>
      </c>
      <c r="F46" s="67" t="s">
        <v>152</v>
      </c>
      <c r="G46" s="67" t="s">
        <v>152</v>
      </c>
      <c r="H46" s="67" t="s">
        <v>152</v>
      </c>
      <c r="I46" s="67" t="s">
        <v>152</v>
      </c>
      <c r="J46" s="67" t="s">
        <v>152</v>
      </c>
      <c r="K46" s="66" t="s">
        <v>152</v>
      </c>
      <c r="L46" s="66" t="s">
        <v>152</v>
      </c>
      <c r="M46" s="66" t="s">
        <v>152</v>
      </c>
      <c r="N46" s="66" t="s">
        <v>152</v>
      </c>
      <c r="O46" s="275">
        <v>0</v>
      </c>
      <c r="P46" s="66">
        <v>0</v>
      </c>
      <c r="Q46" s="66">
        <v>0</v>
      </c>
      <c r="R46" s="295" t="s">
        <v>152</v>
      </c>
    </row>
    <row r="47" spans="1:18" s="63" customFormat="1" ht="15.6" x14ac:dyDescent="0.3">
      <c r="A47" s="75" t="s">
        <v>34</v>
      </c>
      <c r="B47" s="170" t="s">
        <v>152</v>
      </c>
      <c r="C47" s="67" t="s">
        <v>152</v>
      </c>
      <c r="D47" s="67" t="s">
        <v>152</v>
      </c>
      <c r="E47" s="67" t="s">
        <v>152</v>
      </c>
      <c r="F47" s="67" t="s">
        <v>152</v>
      </c>
      <c r="G47" s="67" t="s">
        <v>152</v>
      </c>
      <c r="H47" s="67" t="s">
        <v>152</v>
      </c>
      <c r="I47" s="67" t="s">
        <v>152</v>
      </c>
      <c r="J47" s="67" t="s">
        <v>152</v>
      </c>
      <c r="K47" s="66" t="s">
        <v>152</v>
      </c>
      <c r="L47" s="66" t="s">
        <v>152</v>
      </c>
      <c r="M47" s="66" t="s">
        <v>152</v>
      </c>
      <c r="N47" s="66" t="s">
        <v>152</v>
      </c>
      <c r="O47" s="66">
        <v>0</v>
      </c>
      <c r="P47" s="66">
        <v>0</v>
      </c>
      <c r="Q47" s="66">
        <v>0</v>
      </c>
      <c r="R47" s="295" t="s">
        <v>152</v>
      </c>
    </row>
    <row r="48" spans="1:18" s="63" customFormat="1" ht="16.2" thickBot="1" x14ac:dyDescent="0.35">
      <c r="A48" s="88" t="s">
        <v>36</v>
      </c>
      <c r="B48" s="87" t="s">
        <v>152</v>
      </c>
      <c r="C48" s="72" t="s">
        <v>152</v>
      </c>
      <c r="D48" s="72" t="s">
        <v>152</v>
      </c>
      <c r="E48" s="72" t="s">
        <v>152</v>
      </c>
      <c r="F48" s="72" t="s">
        <v>152</v>
      </c>
      <c r="G48" s="72" t="s">
        <v>152</v>
      </c>
      <c r="H48" s="72" t="s">
        <v>152</v>
      </c>
      <c r="I48" s="72" t="s">
        <v>152</v>
      </c>
      <c r="J48" s="72" t="s">
        <v>152</v>
      </c>
      <c r="K48" s="71" t="s">
        <v>152</v>
      </c>
      <c r="L48" s="71" t="s">
        <v>152</v>
      </c>
      <c r="M48" s="71" t="s">
        <v>152</v>
      </c>
      <c r="N48" s="71" t="s">
        <v>152</v>
      </c>
      <c r="O48" s="71">
        <v>0</v>
      </c>
      <c r="P48" s="71">
        <v>0</v>
      </c>
      <c r="Q48" s="71">
        <v>0</v>
      </c>
      <c r="R48" s="292" t="s">
        <v>152</v>
      </c>
    </row>
    <row r="49" spans="1:19" s="63" customFormat="1" ht="16.2" thickTop="1" x14ac:dyDescent="0.3">
      <c r="A49" s="89" t="s">
        <v>37</v>
      </c>
      <c r="B49" s="90" t="s">
        <v>152</v>
      </c>
      <c r="C49" s="73" t="s">
        <v>152</v>
      </c>
      <c r="D49" s="73" t="s">
        <v>152</v>
      </c>
      <c r="E49" s="73" t="s">
        <v>152</v>
      </c>
      <c r="F49" s="73" t="s">
        <v>152</v>
      </c>
      <c r="G49" s="73" t="s">
        <v>152</v>
      </c>
      <c r="H49" s="73" t="s">
        <v>152</v>
      </c>
      <c r="I49" s="73" t="s">
        <v>152</v>
      </c>
      <c r="J49" s="73" t="s">
        <v>152</v>
      </c>
      <c r="K49" s="73" t="s">
        <v>152</v>
      </c>
      <c r="L49" s="73" t="s">
        <v>152</v>
      </c>
      <c r="M49" s="73" t="s">
        <v>152</v>
      </c>
      <c r="N49" s="73" t="s">
        <v>152</v>
      </c>
      <c r="O49" s="273">
        <f t="shared" ref="O49:P49" si="4">SUM(O37:O48)</f>
        <v>0</v>
      </c>
      <c r="P49" s="273">
        <f t="shared" si="4"/>
        <v>0</v>
      </c>
      <c r="Q49" s="273">
        <f t="shared" ref="Q49:R49" si="5">SUM(Q37:Q48)</f>
        <v>-80</v>
      </c>
      <c r="R49" s="288">
        <f t="shared" si="5"/>
        <v>-37</v>
      </c>
    </row>
    <row r="50" spans="1:19" s="113" customFormat="1" ht="6.6" x14ac:dyDescent="0.3">
      <c r="A50" s="371" t="s">
        <v>174</v>
      </c>
      <c r="B50" s="371"/>
      <c r="C50" s="371"/>
      <c r="D50" s="371"/>
      <c r="E50" s="371"/>
      <c r="F50" s="371"/>
      <c r="G50" s="371"/>
      <c r="H50" s="371"/>
      <c r="I50" s="371"/>
      <c r="J50" s="371"/>
      <c r="K50" s="371"/>
      <c r="L50" s="371"/>
      <c r="M50" s="371"/>
      <c r="N50" s="371"/>
      <c r="O50" s="371"/>
      <c r="P50" s="371"/>
      <c r="Q50" s="371"/>
      <c r="R50" s="371"/>
    </row>
    <row r="51" spans="1:19" s="111" customFormat="1" ht="13.8" x14ac:dyDescent="0.3">
      <c r="A51" s="373" t="s">
        <v>177</v>
      </c>
      <c r="B51" s="373"/>
      <c r="C51" s="373"/>
      <c r="D51" s="373"/>
      <c r="E51" s="373"/>
      <c r="F51" s="373"/>
      <c r="G51" s="373"/>
      <c r="H51" s="373"/>
      <c r="I51" s="373"/>
      <c r="J51" s="373"/>
      <c r="K51" s="373"/>
      <c r="L51" s="373"/>
      <c r="M51" s="373"/>
      <c r="N51" s="373"/>
      <c r="O51" s="373"/>
      <c r="P51" s="373"/>
      <c r="Q51" s="373"/>
      <c r="R51" s="373"/>
    </row>
    <row r="52" spans="1:19" s="111" customFormat="1" ht="13.8" x14ac:dyDescent="0.3">
      <c r="A52" s="384" t="str">
        <f>'Local SUT'!A60</f>
        <v>Source:  Minnesota Department of Revenue, Tax Research Division, February 2021</v>
      </c>
      <c r="B52" s="384"/>
      <c r="C52" s="384"/>
      <c r="D52" s="384"/>
      <c r="E52" s="384"/>
      <c r="F52" s="384"/>
      <c r="G52" s="384"/>
      <c r="H52" s="384"/>
      <c r="I52" s="384"/>
      <c r="J52" s="384"/>
      <c r="K52" s="384"/>
      <c r="L52" s="384"/>
      <c r="M52" s="384"/>
      <c r="N52" s="384"/>
      <c r="O52" s="384"/>
      <c r="P52" s="384"/>
      <c r="Q52" s="384"/>
      <c r="R52" s="384"/>
      <c r="S52" s="300"/>
    </row>
    <row r="53" spans="1:19" s="111" customFormat="1" ht="13.8" x14ac:dyDescent="0.3">
      <c r="A53" s="379" t="s">
        <v>151</v>
      </c>
      <c r="B53" s="379"/>
      <c r="C53" s="379"/>
      <c r="D53" s="379"/>
      <c r="E53" s="379"/>
      <c r="F53" s="379"/>
      <c r="G53" s="379"/>
      <c r="H53" s="379"/>
      <c r="I53" s="379"/>
      <c r="J53" s="379"/>
      <c r="K53" s="379"/>
      <c r="L53" s="379"/>
      <c r="M53" s="379"/>
      <c r="N53" s="379"/>
      <c r="O53" s="379"/>
      <c r="P53" s="379"/>
      <c r="Q53" s="379"/>
      <c r="R53" s="379"/>
    </row>
    <row r="54" spans="1:19" x14ac:dyDescent="0.3">
      <c r="R54" s="117"/>
    </row>
  </sheetData>
  <mergeCells count="11">
    <mergeCell ref="A1:T1"/>
    <mergeCell ref="A2:R2"/>
    <mergeCell ref="A3:R3"/>
    <mergeCell ref="A18:R18"/>
    <mergeCell ref="A19:R19"/>
    <mergeCell ref="A53:R53"/>
    <mergeCell ref="A34:R34"/>
    <mergeCell ref="A35:R35"/>
    <mergeCell ref="A50:R50"/>
    <mergeCell ref="A51:R51"/>
    <mergeCell ref="A52:R52"/>
  </mergeCells>
  <pageMargins left="0.5" right="0.5" top="0.75" bottom="0.75" header="0.3" footer="0.3"/>
  <pageSetup scale="86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33">
    <pageSetUpPr fitToPage="1"/>
  </sheetPr>
  <dimension ref="A1:T54"/>
  <sheetViews>
    <sheetView showGridLines="0" workbookViewId="0">
      <pane ySplit="1" topLeftCell="A2" activePane="bottomLeft" state="frozen"/>
      <selection pane="bottomLeft" sqref="A1:T1"/>
    </sheetView>
  </sheetViews>
  <sheetFormatPr defaultColWidth="12.5546875" defaultRowHeight="14.4" x14ac:dyDescent="0.3"/>
  <cols>
    <col min="1" max="1" width="12.5546875" style="180"/>
    <col min="2" max="14" width="13.5546875" style="173" hidden="1" customWidth="1"/>
    <col min="15" max="17" width="13.5546875" style="173" customWidth="1"/>
    <col min="18" max="18" width="13.5546875" style="145" customWidth="1"/>
    <col min="19" max="16384" width="12.5546875" style="173"/>
  </cols>
  <sheetData>
    <row r="1" spans="1:20" s="112" customFormat="1" ht="21" x14ac:dyDescent="0.3">
      <c r="A1" s="380" t="s">
        <v>208</v>
      </c>
      <c r="B1" s="380"/>
      <c r="C1" s="380"/>
      <c r="D1" s="380"/>
      <c r="E1" s="380"/>
      <c r="F1" s="380"/>
      <c r="G1" s="380"/>
      <c r="H1" s="380"/>
      <c r="I1" s="380"/>
      <c r="J1" s="380"/>
      <c r="K1" s="380"/>
      <c r="L1" s="380"/>
      <c r="M1" s="380"/>
      <c r="N1" s="380"/>
      <c r="O1" s="380"/>
      <c r="P1" s="380"/>
      <c r="Q1" s="380"/>
      <c r="R1" s="380"/>
      <c r="S1" s="380"/>
      <c r="T1" s="380"/>
    </row>
    <row r="2" spans="1:20" s="106" customFormat="1" ht="18" x14ac:dyDescent="0.3">
      <c r="A2" s="381" t="str">
        <f>'Local SUT'!A2</f>
        <v>CY 2004-2020</v>
      </c>
      <c r="B2" s="381"/>
      <c r="C2" s="381"/>
      <c r="D2" s="381"/>
      <c r="E2" s="381"/>
      <c r="F2" s="381"/>
      <c r="G2" s="381"/>
      <c r="H2" s="381"/>
      <c r="I2" s="381"/>
      <c r="J2" s="381"/>
      <c r="K2" s="381"/>
      <c r="L2" s="381"/>
      <c r="M2" s="381"/>
      <c r="N2" s="381"/>
      <c r="O2" s="381"/>
      <c r="P2" s="381"/>
      <c r="Q2" s="381"/>
      <c r="R2" s="381"/>
    </row>
    <row r="3" spans="1:20" s="106" customFormat="1" ht="18" x14ac:dyDescent="0.3">
      <c r="A3" s="370" t="s">
        <v>142</v>
      </c>
      <c r="B3" s="370"/>
      <c r="C3" s="370"/>
      <c r="D3" s="370"/>
      <c r="E3" s="370"/>
      <c r="F3" s="370"/>
      <c r="G3" s="370"/>
      <c r="H3" s="370"/>
      <c r="I3" s="370"/>
      <c r="J3" s="370"/>
      <c r="K3" s="370"/>
      <c r="L3" s="370"/>
      <c r="M3" s="370"/>
      <c r="N3" s="370"/>
      <c r="O3" s="370"/>
      <c r="P3" s="370"/>
      <c r="Q3" s="370"/>
      <c r="R3" s="370"/>
    </row>
    <row r="4" spans="1:20" s="63" customFormat="1" ht="15.6" x14ac:dyDescent="0.3">
      <c r="A4" s="77" t="s">
        <v>23</v>
      </c>
      <c r="B4" s="91">
        <v>2004</v>
      </c>
      <c r="C4" s="64">
        <v>2005</v>
      </c>
      <c r="D4" s="64">
        <v>2006</v>
      </c>
      <c r="E4" s="64">
        <v>2007</v>
      </c>
      <c r="F4" s="64">
        <v>2008</v>
      </c>
      <c r="G4" s="64">
        <v>2009</v>
      </c>
      <c r="H4" s="64">
        <v>2010</v>
      </c>
      <c r="I4" s="64">
        <v>2011</v>
      </c>
      <c r="J4" s="65">
        <v>2012</v>
      </c>
      <c r="K4" s="65">
        <v>2013</v>
      </c>
      <c r="L4" s="65">
        <v>2014</v>
      </c>
      <c r="M4" s="65">
        <v>2015</v>
      </c>
      <c r="N4" s="65">
        <v>2016</v>
      </c>
      <c r="O4" s="65">
        <v>2017</v>
      </c>
      <c r="P4" s="65">
        <v>2018</v>
      </c>
      <c r="Q4" s="65">
        <v>2019</v>
      </c>
      <c r="R4" s="49">
        <v>2020</v>
      </c>
    </row>
    <row r="5" spans="1:20" s="63" customFormat="1" ht="15.6" x14ac:dyDescent="0.3">
      <c r="A5" s="76" t="s">
        <v>24</v>
      </c>
      <c r="B5" s="108" t="s">
        <v>152</v>
      </c>
      <c r="C5" s="107" t="s">
        <v>152</v>
      </c>
      <c r="D5" s="107" t="s">
        <v>152</v>
      </c>
      <c r="E5" s="107" t="s">
        <v>152</v>
      </c>
      <c r="F5" s="107" t="s">
        <v>152</v>
      </c>
      <c r="G5" s="107" t="s">
        <v>152</v>
      </c>
      <c r="H5" s="107" t="s">
        <v>152</v>
      </c>
      <c r="I5" s="107" t="s">
        <v>152</v>
      </c>
      <c r="J5" s="107" t="s">
        <v>152</v>
      </c>
      <c r="K5" s="83" t="s">
        <v>152</v>
      </c>
      <c r="L5" s="83" t="s">
        <v>152</v>
      </c>
      <c r="M5" s="83" t="s">
        <v>152</v>
      </c>
      <c r="N5" s="83" t="s">
        <v>152</v>
      </c>
      <c r="O5" s="83" t="s">
        <v>152</v>
      </c>
      <c r="P5" s="271">
        <v>7305</v>
      </c>
      <c r="Q5" s="271">
        <v>12005</v>
      </c>
      <c r="R5" s="286">
        <v>9747</v>
      </c>
    </row>
    <row r="6" spans="1:20" s="63" customFormat="1" ht="15.6" x14ac:dyDescent="0.3">
      <c r="A6" s="75" t="s">
        <v>25</v>
      </c>
      <c r="B6" s="170" t="s">
        <v>152</v>
      </c>
      <c r="C6" s="67" t="s">
        <v>152</v>
      </c>
      <c r="D6" s="67" t="s">
        <v>152</v>
      </c>
      <c r="E6" s="67" t="s">
        <v>152</v>
      </c>
      <c r="F6" s="67" t="s">
        <v>152</v>
      </c>
      <c r="G6" s="67" t="s">
        <v>152</v>
      </c>
      <c r="H6" s="67" t="s">
        <v>152</v>
      </c>
      <c r="I6" s="67" t="s">
        <v>152</v>
      </c>
      <c r="J6" s="67" t="s">
        <v>152</v>
      </c>
      <c r="K6" s="66" t="s">
        <v>152</v>
      </c>
      <c r="L6" s="66" t="s">
        <v>152</v>
      </c>
      <c r="M6" s="66" t="s">
        <v>152</v>
      </c>
      <c r="N6" s="66" t="s">
        <v>152</v>
      </c>
      <c r="O6" s="66" t="s">
        <v>152</v>
      </c>
      <c r="P6" s="66">
        <v>6145</v>
      </c>
      <c r="Q6" s="66">
        <v>8872</v>
      </c>
      <c r="R6" s="287">
        <v>6417</v>
      </c>
    </row>
    <row r="7" spans="1:20" s="63" customFormat="1" ht="15.6" x14ac:dyDescent="0.3">
      <c r="A7" s="75" t="s">
        <v>26</v>
      </c>
      <c r="B7" s="170" t="s">
        <v>152</v>
      </c>
      <c r="C7" s="67" t="s">
        <v>152</v>
      </c>
      <c r="D7" s="67" t="s">
        <v>152</v>
      </c>
      <c r="E7" s="67" t="s">
        <v>152</v>
      </c>
      <c r="F7" s="67" t="s">
        <v>152</v>
      </c>
      <c r="G7" s="67" t="s">
        <v>152</v>
      </c>
      <c r="H7" s="67" t="s">
        <v>152</v>
      </c>
      <c r="I7" s="67" t="s">
        <v>152</v>
      </c>
      <c r="J7" s="67" t="s">
        <v>152</v>
      </c>
      <c r="K7" s="66" t="s">
        <v>152</v>
      </c>
      <c r="L7" s="66" t="s">
        <v>152</v>
      </c>
      <c r="M7" s="66" t="s">
        <v>152</v>
      </c>
      <c r="N7" s="66" t="s">
        <v>152</v>
      </c>
      <c r="O7" s="66" t="s">
        <v>152</v>
      </c>
      <c r="P7" s="66">
        <v>4798</v>
      </c>
      <c r="Q7" s="66">
        <v>6032</v>
      </c>
      <c r="R7" s="287">
        <v>6000</v>
      </c>
    </row>
    <row r="8" spans="1:20" s="63" customFormat="1" ht="15.6" x14ac:dyDescent="0.3">
      <c r="A8" s="75" t="s">
        <v>27</v>
      </c>
      <c r="B8" s="170" t="s">
        <v>152</v>
      </c>
      <c r="C8" s="67" t="s">
        <v>152</v>
      </c>
      <c r="D8" s="67" t="s">
        <v>152</v>
      </c>
      <c r="E8" s="67" t="s">
        <v>152</v>
      </c>
      <c r="F8" s="67" t="s">
        <v>152</v>
      </c>
      <c r="G8" s="67" t="s">
        <v>152</v>
      </c>
      <c r="H8" s="67" t="s">
        <v>152</v>
      </c>
      <c r="I8" s="67" t="s">
        <v>152</v>
      </c>
      <c r="J8" s="67" t="s">
        <v>152</v>
      </c>
      <c r="K8" s="66" t="s">
        <v>152</v>
      </c>
      <c r="L8" s="66" t="s">
        <v>152</v>
      </c>
      <c r="M8" s="66" t="s">
        <v>152</v>
      </c>
      <c r="N8" s="66" t="s">
        <v>152</v>
      </c>
      <c r="O8" s="66" t="s">
        <v>152</v>
      </c>
      <c r="P8" s="66">
        <v>7041</v>
      </c>
      <c r="Q8" s="66">
        <v>8164</v>
      </c>
      <c r="R8" s="287">
        <v>6439</v>
      </c>
    </row>
    <row r="9" spans="1:20" s="63" customFormat="1" ht="15.6" x14ac:dyDescent="0.3">
      <c r="A9" s="75" t="s">
        <v>28</v>
      </c>
      <c r="B9" s="170" t="s">
        <v>152</v>
      </c>
      <c r="C9" s="67" t="s">
        <v>152</v>
      </c>
      <c r="D9" s="67" t="s">
        <v>152</v>
      </c>
      <c r="E9" s="67" t="s">
        <v>152</v>
      </c>
      <c r="F9" s="67" t="s">
        <v>152</v>
      </c>
      <c r="G9" s="67" t="s">
        <v>152</v>
      </c>
      <c r="H9" s="67" t="s">
        <v>152</v>
      </c>
      <c r="I9" s="67" t="s">
        <v>152</v>
      </c>
      <c r="J9" s="67" t="s">
        <v>152</v>
      </c>
      <c r="K9" s="66" t="s">
        <v>152</v>
      </c>
      <c r="L9" s="66" t="s">
        <v>152</v>
      </c>
      <c r="M9" s="66" t="s">
        <v>152</v>
      </c>
      <c r="N9" s="66" t="s">
        <v>152</v>
      </c>
      <c r="O9" s="66" t="s">
        <v>152</v>
      </c>
      <c r="P9" s="66">
        <v>5881</v>
      </c>
      <c r="Q9" s="66">
        <v>6686</v>
      </c>
      <c r="R9" s="287">
        <v>6154</v>
      </c>
    </row>
    <row r="10" spans="1:20" s="63" customFormat="1" ht="15.6" x14ac:dyDescent="0.3">
      <c r="A10" s="75" t="s">
        <v>29</v>
      </c>
      <c r="B10" s="170" t="s">
        <v>152</v>
      </c>
      <c r="C10" s="67" t="s">
        <v>152</v>
      </c>
      <c r="D10" s="67" t="s">
        <v>152</v>
      </c>
      <c r="E10" s="67" t="s">
        <v>152</v>
      </c>
      <c r="F10" s="67" t="s">
        <v>152</v>
      </c>
      <c r="G10" s="67" t="s">
        <v>152</v>
      </c>
      <c r="H10" s="67" t="s">
        <v>152</v>
      </c>
      <c r="I10" s="67" t="s">
        <v>152</v>
      </c>
      <c r="J10" s="67" t="s">
        <v>152</v>
      </c>
      <c r="K10" s="66" t="s">
        <v>152</v>
      </c>
      <c r="L10" s="66" t="s">
        <v>152</v>
      </c>
      <c r="M10" s="66" t="s">
        <v>152</v>
      </c>
      <c r="N10" s="66" t="s">
        <v>152</v>
      </c>
      <c r="O10" s="66" t="s">
        <v>152</v>
      </c>
      <c r="P10" s="66">
        <v>8137</v>
      </c>
      <c r="Q10" s="66">
        <v>7671</v>
      </c>
      <c r="R10" s="287">
        <v>7565</v>
      </c>
    </row>
    <row r="11" spans="1:20" s="63" customFormat="1" ht="15.6" x14ac:dyDescent="0.3">
      <c r="A11" s="75" t="s">
        <v>30</v>
      </c>
      <c r="B11" s="170" t="s">
        <v>152</v>
      </c>
      <c r="C11" s="67" t="s">
        <v>152</v>
      </c>
      <c r="D11" s="67" t="s">
        <v>152</v>
      </c>
      <c r="E11" s="67" t="s">
        <v>152</v>
      </c>
      <c r="F11" s="67" t="s">
        <v>152</v>
      </c>
      <c r="G11" s="67" t="s">
        <v>152</v>
      </c>
      <c r="H11" s="67" t="s">
        <v>152</v>
      </c>
      <c r="I11" s="67" t="s">
        <v>152</v>
      </c>
      <c r="J11" s="67" t="s">
        <v>152</v>
      </c>
      <c r="K11" s="66" t="s">
        <v>152</v>
      </c>
      <c r="L11" s="66" t="s">
        <v>152</v>
      </c>
      <c r="M11" s="66" t="s">
        <v>152</v>
      </c>
      <c r="N11" s="66" t="s">
        <v>152</v>
      </c>
      <c r="O11" s="66" t="s">
        <v>152</v>
      </c>
      <c r="P11" s="66">
        <v>8729</v>
      </c>
      <c r="Q11" s="66">
        <v>9150</v>
      </c>
      <c r="R11" s="291" t="s">
        <v>152</v>
      </c>
    </row>
    <row r="12" spans="1:20" s="63" customFormat="1" ht="15.6" x14ac:dyDescent="0.3">
      <c r="A12" s="75" t="s">
        <v>31</v>
      </c>
      <c r="B12" s="170" t="s">
        <v>152</v>
      </c>
      <c r="C12" s="67" t="s">
        <v>152</v>
      </c>
      <c r="D12" s="67" t="s">
        <v>152</v>
      </c>
      <c r="E12" s="67" t="s">
        <v>152</v>
      </c>
      <c r="F12" s="67" t="s">
        <v>152</v>
      </c>
      <c r="G12" s="67" t="s">
        <v>152</v>
      </c>
      <c r="H12" s="67" t="s">
        <v>152</v>
      </c>
      <c r="I12" s="67" t="s">
        <v>152</v>
      </c>
      <c r="J12" s="67" t="s">
        <v>152</v>
      </c>
      <c r="K12" s="66" t="s">
        <v>152</v>
      </c>
      <c r="L12" s="66" t="s">
        <v>152</v>
      </c>
      <c r="M12" s="66" t="s">
        <v>152</v>
      </c>
      <c r="N12" s="66" t="s">
        <v>152</v>
      </c>
      <c r="O12" s="66" t="s">
        <v>152</v>
      </c>
      <c r="P12" s="66">
        <v>9134</v>
      </c>
      <c r="Q12" s="66">
        <v>9238</v>
      </c>
      <c r="R12" s="295" t="s">
        <v>152</v>
      </c>
    </row>
    <row r="13" spans="1:20" s="63" customFormat="1" ht="15.6" x14ac:dyDescent="0.3">
      <c r="A13" s="75" t="s">
        <v>32</v>
      </c>
      <c r="B13" s="170" t="s">
        <v>152</v>
      </c>
      <c r="C13" s="67" t="s">
        <v>152</v>
      </c>
      <c r="D13" s="67" t="s">
        <v>152</v>
      </c>
      <c r="E13" s="67" t="s">
        <v>152</v>
      </c>
      <c r="F13" s="67" t="s">
        <v>152</v>
      </c>
      <c r="G13" s="67" t="s">
        <v>152</v>
      </c>
      <c r="H13" s="67" t="s">
        <v>152</v>
      </c>
      <c r="I13" s="67" t="s">
        <v>152</v>
      </c>
      <c r="J13" s="67" t="s">
        <v>152</v>
      </c>
      <c r="K13" s="66" t="s">
        <v>152</v>
      </c>
      <c r="L13" s="66" t="s">
        <v>152</v>
      </c>
      <c r="M13" s="66" t="s">
        <v>152</v>
      </c>
      <c r="N13" s="66" t="s">
        <v>152</v>
      </c>
      <c r="O13" s="66" t="s">
        <v>152</v>
      </c>
      <c r="P13" s="66">
        <v>8787</v>
      </c>
      <c r="Q13" s="66">
        <v>9091</v>
      </c>
      <c r="R13" s="295" t="s">
        <v>152</v>
      </c>
    </row>
    <row r="14" spans="1:20" s="63" customFormat="1" ht="15.6" x14ac:dyDescent="0.3">
      <c r="A14" s="75" t="s">
        <v>33</v>
      </c>
      <c r="B14" s="170" t="s">
        <v>152</v>
      </c>
      <c r="C14" s="67" t="s">
        <v>152</v>
      </c>
      <c r="D14" s="67" t="s">
        <v>152</v>
      </c>
      <c r="E14" s="67" t="s">
        <v>152</v>
      </c>
      <c r="F14" s="67" t="s">
        <v>152</v>
      </c>
      <c r="G14" s="67" t="s">
        <v>152</v>
      </c>
      <c r="H14" s="67" t="s">
        <v>152</v>
      </c>
      <c r="I14" s="67" t="s">
        <v>152</v>
      </c>
      <c r="J14" s="67" t="s">
        <v>152</v>
      </c>
      <c r="K14" s="66" t="s">
        <v>152</v>
      </c>
      <c r="L14" s="66" t="s">
        <v>152</v>
      </c>
      <c r="M14" s="66" t="s">
        <v>152</v>
      </c>
      <c r="N14" s="66" t="s">
        <v>152</v>
      </c>
      <c r="O14" s="66" t="s">
        <v>152</v>
      </c>
      <c r="P14" s="66">
        <v>8228</v>
      </c>
      <c r="Q14" s="66">
        <v>8419</v>
      </c>
      <c r="R14" s="295" t="s">
        <v>152</v>
      </c>
    </row>
    <row r="15" spans="1:20" s="63" customFormat="1" ht="15.6" x14ac:dyDescent="0.3">
      <c r="A15" s="75" t="s">
        <v>34</v>
      </c>
      <c r="B15" s="170" t="s">
        <v>152</v>
      </c>
      <c r="C15" s="67" t="s">
        <v>152</v>
      </c>
      <c r="D15" s="67" t="s">
        <v>152</v>
      </c>
      <c r="E15" s="67" t="s">
        <v>152</v>
      </c>
      <c r="F15" s="67" t="s">
        <v>152</v>
      </c>
      <c r="G15" s="67" t="s">
        <v>152</v>
      </c>
      <c r="H15" s="67" t="s">
        <v>152</v>
      </c>
      <c r="I15" s="67" t="s">
        <v>152</v>
      </c>
      <c r="J15" s="67" t="s">
        <v>152</v>
      </c>
      <c r="K15" s="66" t="s">
        <v>152</v>
      </c>
      <c r="L15" s="66" t="s">
        <v>152</v>
      </c>
      <c r="M15" s="66" t="s">
        <v>152</v>
      </c>
      <c r="N15" s="66" t="s">
        <v>152</v>
      </c>
      <c r="O15" s="275">
        <v>5629</v>
      </c>
      <c r="P15" s="66">
        <v>10920</v>
      </c>
      <c r="Q15" s="66">
        <v>7318</v>
      </c>
      <c r="R15" s="295" t="s">
        <v>152</v>
      </c>
    </row>
    <row r="16" spans="1:20" s="63" customFormat="1" ht="16.2" thickBot="1" x14ac:dyDescent="0.35">
      <c r="A16" s="88" t="s">
        <v>36</v>
      </c>
      <c r="B16" s="87" t="s">
        <v>152</v>
      </c>
      <c r="C16" s="72" t="s">
        <v>152</v>
      </c>
      <c r="D16" s="72" t="s">
        <v>152</v>
      </c>
      <c r="E16" s="72" t="s">
        <v>152</v>
      </c>
      <c r="F16" s="72" t="s">
        <v>152</v>
      </c>
      <c r="G16" s="72" t="s">
        <v>152</v>
      </c>
      <c r="H16" s="72" t="s">
        <v>152</v>
      </c>
      <c r="I16" s="72" t="s">
        <v>152</v>
      </c>
      <c r="J16" s="72" t="s">
        <v>152</v>
      </c>
      <c r="K16" s="71" t="s">
        <v>152</v>
      </c>
      <c r="L16" s="71" t="s">
        <v>152</v>
      </c>
      <c r="M16" s="71" t="s">
        <v>152</v>
      </c>
      <c r="N16" s="71" t="s">
        <v>152</v>
      </c>
      <c r="O16" s="71">
        <v>7257</v>
      </c>
      <c r="P16" s="71">
        <v>12463</v>
      </c>
      <c r="Q16" s="71">
        <v>7095</v>
      </c>
      <c r="R16" s="292" t="s">
        <v>152</v>
      </c>
    </row>
    <row r="17" spans="1:18" s="63" customFormat="1" ht="16.2" thickTop="1" x14ac:dyDescent="0.3">
      <c r="A17" s="89" t="s">
        <v>37</v>
      </c>
      <c r="B17" s="90" t="s">
        <v>152</v>
      </c>
      <c r="C17" s="73" t="s">
        <v>152</v>
      </c>
      <c r="D17" s="73" t="s">
        <v>152</v>
      </c>
      <c r="E17" s="73" t="s">
        <v>152</v>
      </c>
      <c r="F17" s="73" t="s">
        <v>152</v>
      </c>
      <c r="G17" s="73" t="s">
        <v>152</v>
      </c>
      <c r="H17" s="73" t="s">
        <v>152</v>
      </c>
      <c r="I17" s="73" t="s">
        <v>152</v>
      </c>
      <c r="J17" s="73" t="s">
        <v>152</v>
      </c>
      <c r="K17" s="73" t="s">
        <v>152</v>
      </c>
      <c r="L17" s="73" t="s">
        <v>152</v>
      </c>
      <c r="M17" s="73" t="s">
        <v>152</v>
      </c>
      <c r="N17" s="73" t="s">
        <v>152</v>
      </c>
      <c r="O17" s="273">
        <f t="shared" ref="O17:P17" si="0">SUM(O5:O16)</f>
        <v>12886</v>
      </c>
      <c r="P17" s="273">
        <f t="shared" si="0"/>
        <v>97568</v>
      </c>
      <c r="Q17" s="273">
        <f t="shared" ref="Q17:R17" si="1">SUM(Q5:Q16)</f>
        <v>99741</v>
      </c>
      <c r="R17" s="288">
        <f t="shared" si="1"/>
        <v>42322</v>
      </c>
    </row>
    <row r="18" spans="1:18" s="113" customFormat="1" ht="6.6" x14ac:dyDescent="0.3">
      <c r="A18" s="371" t="s">
        <v>174</v>
      </c>
      <c r="B18" s="371"/>
      <c r="C18" s="371"/>
      <c r="D18" s="371"/>
      <c r="E18" s="371"/>
      <c r="F18" s="371"/>
      <c r="G18" s="371"/>
      <c r="H18" s="371"/>
      <c r="I18" s="371"/>
      <c r="J18" s="371"/>
      <c r="K18" s="371"/>
      <c r="L18" s="371"/>
      <c r="M18" s="371"/>
      <c r="N18" s="371"/>
      <c r="O18" s="371"/>
      <c r="P18" s="371"/>
      <c r="Q18" s="371"/>
      <c r="R18" s="371"/>
    </row>
    <row r="19" spans="1:18" s="106" customFormat="1" ht="18" x14ac:dyDescent="0.3">
      <c r="A19" s="370" t="s">
        <v>143</v>
      </c>
      <c r="B19" s="370"/>
      <c r="C19" s="370"/>
      <c r="D19" s="370"/>
      <c r="E19" s="370"/>
      <c r="F19" s="370"/>
      <c r="G19" s="370"/>
      <c r="H19" s="370"/>
      <c r="I19" s="370"/>
      <c r="J19" s="370"/>
      <c r="K19" s="370"/>
      <c r="L19" s="370"/>
      <c r="M19" s="370"/>
      <c r="N19" s="370"/>
      <c r="O19" s="370"/>
      <c r="P19" s="370"/>
      <c r="Q19" s="370"/>
      <c r="R19" s="370"/>
    </row>
    <row r="20" spans="1:18" s="63" customFormat="1" ht="15.6" x14ac:dyDescent="0.3">
      <c r="A20" s="77" t="s">
        <v>23</v>
      </c>
      <c r="B20" s="91">
        <v>2004</v>
      </c>
      <c r="C20" s="64">
        <v>2005</v>
      </c>
      <c r="D20" s="64">
        <v>2006</v>
      </c>
      <c r="E20" s="64">
        <v>2007</v>
      </c>
      <c r="F20" s="64">
        <v>2008</v>
      </c>
      <c r="G20" s="64">
        <v>2009</v>
      </c>
      <c r="H20" s="64">
        <v>2010</v>
      </c>
      <c r="I20" s="64">
        <v>2011</v>
      </c>
      <c r="J20" s="65">
        <v>2012</v>
      </c>
      <c r="K20" s="65">
        <v>2013</v>
      </c>
      <c r="L20" s="65">
        <v>2014</v>
      </c>
      <c r="M20" s="65">
        <v>2015</v>
      </c>
      <c r="N20" s="65">
        <v>2016</v>
      </c>
      <c r="O20" s="65">
        <v>2017</v>
      </c>
      <c r="P20" s="65">
        <v>2018</v>
      </c>
      <c r="Q20" s="65">
        <v>2019</v>
      </c>
      <c r="R20" s="49">
        <v>2020</v>
      </c>
    </row>
    <row r="21" spans="1:18" s="63" customFormat="1" ht="15.6" x14ac:dyDescent="0.3">
      <c r="A21" s="76" t="s">
        <v>24</v>
      </c>
      <c r="B21" s="108" t="s">
        <v>152</v>
      </c>
      <c r="C21" s="107" t="s">
        <v>152</v>
      </c>
      <c r="D21" s="107" t="s">
        <v>152</v>
      </c>
      <c r="E21" s="107" t="s">
        <v>152</v>
      </c>
      <c r="F21" s="107" t="s">
        <v>152</v>
      </c>
      <c r="G21" s="107" t="s">
        <v>152</v>
      </c>
      <c r="H21" s="107" t="s">
        <v>152</v>
      </c>
      <c r="I21" s="107" t="s">
        <v>152</v>
      </c>
      <c r="J21" s="107" t="s">
        <v>152</v>
      </c>
      <c r="K21" s="83" t="s">
        <v>152</v>
      </c>
      <c r="L21" s="83" t="s">
        <v>152</v>
      </c>
      <c r="M21" s="83" t="s">
        <v>152</v>
      </c>
      <c r="N21" s="83" t="s">
        <v>152</v>
      </c>
      <c r="O21" s="83" t="s">
        <v>152</v>
      </c>
      <c r="P21" s="271">
        <v>359</v>
      </c>
      <c r="Q21" s="271">
        <v>458</v>
      </c>
      <c r="R21" s="286">
        <v>319</v>
      </c>
    </row>
    <row r="22" spans="1:18" s="63" customFormat="1" ht="15.6" x14ac:dyDescent="0.3">
      <c r="A22" s="75" t="s">
        <v>25</v>
      </c>
      <c r="B22" s="170" t="s">
        <v>152</v>
      </c>
      <c r="C22" s="67" t="s">
        <v>152</v>
      </c>
      <c r="D22" s="67" t="s">
        <v>152</v>
      </c>
      <c r="E22" s="67" t="s">
        <v>152</v>
      </c>
      <c r="F22" s="67" t="s">
        <v>152</v>
      </c>
      <c r="G22" s="67" t="s">
        <v>152</v>
      </c>
      <c r="H22" s="67" t="s">
        <v>152</v>
      </c>
      <c r="I22" s="67" t="s">
        <v>152</v>
      </c>
      <c r="J22" s="67" t="s">
        <v>152</v>
      </c>
      <c r="K22" s="66" t="s">
        <v>152</v>
      </c>
      <c r="L22" s="66" t="s">
        <v>152</v>
      </c>
      <c r="M22" s="66" t="s">
        <v>152</v>
      </c>
      <c r="N22" s="66" t="s">
        <v>152</v>
      </c>
      <c r="O22" s="66" t="s">
        <v>152</v>
      </c>
      <c r="P22" s="66">
        <v>57</v>
      </c>
      <c r="Q22" s="66">
        <v>654</v>
      </c>
      <c r="R22" s="287">
        <v>126</v>
      </c>
    </row>
    <row r="23" spans="1:18" s="63" customFormat="1" ht="15.6" x14ac:dyDescent="0.3">
      <c r="A23" s="75" t="s">
        <v>26</v>
      </c>
      <c r="B23" s="170" t="s">
        <v>152</v>
      </c>
      <c r="C23" s="67" t="s">
        <v>152</v>
      </c>
      <c r="D23" s="67" t="s">
        <v>152</v>
      </c>
      <c r="E23" s="67" t="s">
        <v>152</v>
      </c>
      <c r="F23" s="67" t="s">
        <v>152</v>
      </c>
      <c r="G23" s="67" t="s">
        <v>152</v>
      </c>
      <c r="H23" s="67" t="s">
        <v>152</v>
      </c>
      <c r="I23" s="67" t="s">
        <v>152</v>
      </c>
      <c r="J23" s="67" t="s">
        <v>152</v>
      </c>
      <c r="K23" s="66" t="s">
        <v>152</v>
      </c>
      <c r="L23" s="66" t="s">
        <v>152</v>
      </c>
      <c r="M23" s="66" t="s">
        <v>152</v>
      </c>
      <c r="N23" s="66" t="s">
        <v>152</v>
      </c>
      <c r="O23" s="66" t="s">
        <v>152</v>
      </c>
      <c r="P23" s="66">
        <v>38</v>
      </c>
      <c r="Q23" s="66">
        <v>387</v>
      </c>
      <c r="R23" s="287">
        <v>305</v>
      </c>
    </row>
    <row r="24" spans="1:18" s="63" customFormat="1" ht="15.6" x14ac:dyDescent="0.3">
      <c r="A24" s="75" t="s">
        <v>27</v>
      </c>
      <c r="B24" s="170" t="s">
        <v>152</v>
      </c>
      <c r="C24" s="67" t="s">
        <v>152</v>
      </c>
      <c r="D24" s="67" t="s">
        <v>152</v>
      </c>
      <c r="E24" s="67" t="s">
        <v>152</v>
      </c>
      <c r="F24" s="67" t="s">
        <v>152</v>
      </c>
      <c r="G24" s="67" t="s">
        <v>152</v>
      </c>
      <c r="H24" s="67" t="s">
        <v>152</v>
      </c>
      <c r="I24" s="67" t="s">
        <v>152</v>
      </c>
      <c r="J24" s="67" t="s">
        <v>152</v>
      </c>
      <c r="K24" s="66" t="s">
        <v>152</v>
      </c>
      <c r="L24" s="66" t="s">
        <v>152</v>
      </c>
      <c r="M24" s="66" t="s">
        <v>152</v>
      </c>
      <c r="N24" s="66" t="s">
        <v>152</v>
      </c>
      <c r="O24" s="66" t="s">
        <v>152</v>
      </c>
      <c r="P24" s="66">
        <v>401</v>
      </c>
      <c r="Q24" s="66">
        <v>231</v>
      </c>
      <c r="R24" s="287">
        <v>255</v>
      </c>
    </row>
    <row r="25" spans="1:18" s="63" customFormat="1" ht="15.6" x14ac:dyDescent="0.3">
      <c r="A25" s="75" t="s">
        <v>28</v>
      </c>
      <c r="B25" s="170" t="s">
        <v>152</v>
      </c>
      <c r="C25" s="67" t="s">
        <v>152</v>
      </c>
      <c r="D25" s="67" t="s">
        <v>152</v>
      </c>
      <c r="E25" s="67" t="s">
        <v>152</v>
      </c>
      <c r="F25" s="67" t="s">
        <v>152</v>
      </c>
      <c r="G25" s="67" t="s">
        <v>152</v>
      </c>
      <c r="H25" s="67" t="s">
        <v>152</v>
      </c>
      <c r="I25" s="67" t="s">
        <v>152</v>
      </c>
      <c r="J25" s="67" t="s">
        <v>152</v>
      </c>
      <c r="K25" s="66" t="s">
        <v>152</v>
      </c>
      <c r="L25" s="66" t="s">
        <v>152</v>
      </c>
      <c r="M25" s="66" t="s">
        <v>152</v>
      </c>
      <c r="N25" s="66" t="s">
        <v>152</v>
      </c>
      <c r="O25" s="66" t="s">
        <v>152</v>
      </c>
      <c r="P25" s="66">
        <v>291</v>
      </c>
      <c r="Q25" s="66">
        <v>188</v>
      </c>
      <c r="R25" s="287">
        <v>142</v>
      </c>
    </row>
    <row r="26" spans="1:18" s="63" customFormat="1" ht="15.6" x14ac:dyDescent="0.3">
      <c r="A26" s="75" t="s">
        <v>29</v>
      </c>
      <c r="B26" s="170" t="s">
        <v>152</v>
      </c>
      <c r="C26" s="67" t="s">
        <v>152</v>
      </c>
      <c r="D26" s="67" t="s">
        <v>152</v>
      </c>
      <c r="E26" s="67" t="s">
        <v>152</v>
      </c>
      <c r="F26" s="67" t="s">
        <v>152</v>
      </c>
      <c r="G26" s="67" t="s">
        <v>152</v>
      </c>
      <c r="H26" s="67" t="s">
        <v>152</v>
      </c>
      <c r="I26" s="67" t="s">
        <v>152</v>
      </c>
      <c r="J26" s="67" t="s">
        <v>152</v>
      </c>
      <c r="K26" s="66" t="s">
        <v>152</v>
      </c>
      <c r="L26" s="66" t="s">
        <v>152</v>
      </c>
      <c r="M26" s="66" t="s">
        <v>152</v>
      </c>
      <c r="N26" s="66" t="s">
        <v>152</v>
      </c>
      <c r="O26" s="66" t="s">
        <v>152</v>
      </c>
      <c r="P26" s="66">
        <v>257</v>
      </c>
      <c r="Q26" s="66">
        <v>109</v>
      </c>
      <c r="R26" s="287">
        <v>312</v>
      </c>
    </row>
    <row r="27" spans="1:18" s="63" customFormat="1" ht="15.6" x14ac:dyDescent="0.3">
      <c r="A27" s="75" t="s">
        <v>30</v>
      </c>
      <c r="B27" s="170" t="s">
        <v>152</v>
      </c>
      <c r="C27" s="67" t="s">
        <v>152</v>
      </c>
      <c r="D27" s="67" t="s">
        <v>152</v>
      </c>
      <c r="E27" s="67" t="s">
        <v>152</v>
      </c>
      <c r="F27" s="67" t="s">
        <v>152</v>
      </c>
      <c r="G27" s="67" t="s">
        <v>152</v>
      </c>
      <c r="H27" s="67" t="s">
        <v>152</v>
      </c>
      <c r="I27" s="67" t="s">
        <v>152</v>
      </c>
      <c r="J27" s="67" t="s">
        <v>152</v>
      </c>
      <c r="K27" s="66" t="s">
        <v>152</v>
      </c>
      <c r="L27" s="66" t="s">
        <v>152</v>
      </c>
      <c r="M27" s="66" t="s">
        <v>152</v>
      </c>
      <c r="N27" s="66" t="s">
        <v>152</v>
      </c>
      <c r="O27" s="66" t="s">
        <v>152</v>
      </c>
      <c r="P27" s="66">
        <v>493</v>
      </c>
      <c r="Q27" s="66">
        <v>453</v>
      </c>
      <c r="R27" s="295" t="s">
        <v>152</v>
      </c>
    </row>
    <row r="28" spans="1:18" s="63" customFormat="1" ht="15.6" x14ac:dyDescent="0.3">
      <c r="A28" s="75" t="s">
        <v>31</v>
      </c>
      <c r="B28" s="170" t="s">
        <v>152</v>
      </c>
      <c r="C28" s="67" t="s">
        <v>152</v>
      </c>
      <c r="D28" s="67" t="s">
        <v>152</v>
      </c>
      <c r="E28" s="67" t="s">
        <v>152</v>
      </c>
      <c r="F28" s="67" t="s">
        <v>152</v>
      </c>
      <c r="G28" s="67" t="s">
        <v>152</v>
      </c>
      <c r="H28" s="67" t="s">
        <v>152</v>
      </c>
      <c r="I28" s="67" t="s">
        <v>152</v>
      </c>
      <c r="J28" s="67" t="s">
        <v>152</v>
      </c>
      <c r="K28" s="66" t="s">
        <v>152</v>
      </c>
      <c r="L28" s="66" t="s">
        <v>152</v>
      </c>
      <c r="M28" s="66" t="s">
        <v>152</v>
      </c>
      <c r="N28" s="66" t="s">
        <v>152</v>
      </c>
      <c r="O28" s="66" t="s">
        <v>152</v>
      </c>
      <c r="P28" s="66">
        <v>584</v>
      </c>
      <c r="Q28" s="66">
        <v>667</v>
      </c>
      <c r="R28" s="295" t="s">
        <v>152</v>
      </c>
    </row>
    <row r="29" spans="1:18" s="63" customFormat="1" ht="15.6" x14ac:dyDescent="0.3">
      <c r="A29" s="75" t="s">
        <v>32</v>
      </c>
      <c r="B29" s="170" t="s">
        <v>152</v>
      </c>
      <c r="C29" s="67" t="s">
        <v>152</v>
      </c>
      <c r="D29" s="67" t="s">
        <v>152</v>
      </c>
      <c r="E29" s="67" t="s">
        <v>152</v>
      </c>
      <c r="F29" s="67" t="s">
        <v>152</v>
      </c>
      <c r="G29" s="67" t="s">
        <v>152</v>
      </c>
      <c r="H29" s="67" t="s">
        <v>152</v>
      </c>
      <c r="I29" s="67" t="s">
        <v>152</v>
      </c>
      <c r="J29" s="67" t="s">
        <v>152</v>
      </c>
      <c r="K29" s="66" t="s">
        <v>152</v>
      </c>
      <c r="L29" s="66" t="s">
        <v>152</v>
      </c>
      <c r="M29" s="66" t="s">
        <v>152</v>
      </c>
      <c r="N29" s="66" t="s">
        <v>152</v>
      </c>
      <c r="O29" s="66" t="s">
        <v>152</v>
      </c>
      <c r="P29" s="66">
        <v>267</v>
      </c>
      <c r="Q29" s="66">
        <v>363</v>
      </c>
      <c r="R29" s="295" t="s">
        <v>152</v>
      </c>
    </row>
    <row r="30" spans="1:18" s="63" customFormat="1" ht="15.6" x14ac:dyDescent="0.3">
      <c r="A30" s="75" t="s">
        <v>33</v>
      </c>
      <c r="B30" s="170" t="s">
        <v>152</v>
      </c>
      <c r="C30" s="67" t="s">
        <v>152</v>
      </c>
      <c r="D30" s="67" t="s">
        <v>152</v>
      </c>
      <c r="E30" s="67" t="s">
        <v>152</v>
      </c>
      <c r="F30" s="67" t="s">
        <v>152</v>
      </c>
      <c r="G30" s="67" t="s">
        <v>152</v>
      </c>
      <c r="H30" s="67" t="s">
        <v>152</v>
      </c>
      <c r="I30" s="67" t="s">
        <v>152</v>
      </c>
      <c r="J30" s="67" t="s">
        <v>152</v>
      </c>
      <c r="K30" s="66" t="s">
        <v>152</v>
      </c>
      <c r="L30" s="66" t="s">
        <v>152</v>
      </c>
      <c r="M30" s="66" t="s">
        <v>152</v>
      </c>
      <c r="N30" s="66" t="s">
        <v>152</v>
      </c>
      <c r="O30" s="66" t="s">
        <v>152</v>
      </c>
      <c r="P30" s="66">
        <v>315</v>
      </c>
      <c r="Q30" s="66">
        <v>477</v>
      </c>
      <c r="R30" s="295" t="s">
        <v>152</v>
      </c>
    </row>
    <row r="31" spans="1:18" s="63" customFormat="1" ht="15.6" x14ac:dyDescent="0.3">
      <c r="A31" s="75" t="s">
        <v>34</v>
      </c>
      <c r="B31" s="170" t="s">
        <v>152</v>
      </c>
      <c r="C31" s="67" t="s">
        <v>152</v>
      </c>
      <c r="D31" s="67" t="s">
        <v>152</v>
      </c>
      <c r="E31" s="67" t="s">
        <v>152</v>
      </c>
      <c r="F31" s="67" t="s">
        <v>152</v>
      </c>
      <c r="G31" s="67" t="s">
        <v>152</v>
      </c>
      <c r="H31" s="67" t="s">
        <v>152</v>
      </c>
      <c r="I31" s="67" t="s">
        <v>152</v>
      </c>
      <c r="J31" s="67" t="s">
        <v>152</v>
      </c>
      <c r="K31" s="66" t="s">
        <v>152</v>
      </c>
      <c r="L31" s="66" t="s">
        <v>152</v>
      </c>
      <c r="M31" s="66" t="s">
        <v>152</v>
      </c>
      <c r="N31" s="66" t="s">
        <v>152</v>
      </c>
      <c r="O31" s="275">
        <v>199</v>
      </c>
      <c r="P31" s="66">
        <v>608</v>
      </c>
      <c r="Q31" s="66">
        <v>297</v>
      </c>
      <c r="R31" s="295" t="s">
        <v>152</v>
      </c>
    </row>
    <row r="32" spans="1:18" s="63" customFormat="1" ht="16.2" thickBot="1" x14ac:dyDescent="0.35">
      <c r="A32" s="88" t="s">
        <v>36</v>
      </c>
      <c r="B32" s="87" t="s">
        <v>152</v>
      </c>
      <c r="C32" s="72" t="s">
        <v>152</v>
      </c>
      <c r="D32" s="72" t="s">
        <v>152</v>
      </c>
      <c r="E32" s="72" t="s">
        <v>152</v>
      </c>
      <c r="F32" s="72" t="s">
        <v>152</v>
      </c>
      <c r="G32" s="72" t="s">
        <v>152</v>
      </c>
      <c r="H32" s="72" t="s">
        <v>152</v>
      </c>
      <c r="I32" s="72" t="s">
        <v>152</v>
      </c>
      <c r="J32" s="72" t="s">
        <v>152</v>
      </c>
      <c r="K32" s="71" t="s">
        <v>152</v>
      </c>
      <c r="L32" s="71" t="s">
        <v>152</v>
      </c>
      <c r="M32" s="71" t="s">
        <v>152</v>
      </c>
      <c r="N32" s="71" t="s">
        <v>152</v>
      </c>
      <c r="O32" s="71">
        <v>540</v>
      </c>
      <c r="P32" s="71">
        <v>237</v>
      </c>
      <c r="Q32" s="71">
        <v>434</v>
      </c>
      <c r="R32" s="292" t="s">
        <v>152</v>
      </c>
    </row>
    <row r="33" spans="1:18" s="63" customFormat="1" ht="16.2" thickTop="1" x14ac:dyDescent="0.3">
      <c r="A33" s="89" t="s">
        <v>37</v>
      </c>
      <c r="B33" s="90" t="s">
        <v>152</v>
      </c>
      <c r="C33" s="73" t="s">
        <v>152</v>
      </c>
      <c r="D33" s="73" t="s">
        <v>152</v>
      </c>
      <c r="E33" s="73" t="s">
        <v>152</v>
      </c>
      <c r="F33" s="73" t="s">
        <v>152</v>
      </c>
      <c r="G33" s="73" t="s">
        <v>152</v>
      </c>
      <c r="H33" s="73" t="s">
        <v>152</v>
      </c>
      <c r="I33" s="73" t="s">
        <v>152</v>
      </c>
      <c r="J33" s="73" t="s">
        <v>152</v>
      </c>
      <c r="K33" s="73" t="s">
        <v>152</v>
      </c>
      <c r="L33" s="73" t="s">
        <v>152</v>
      </c>
      <c r="M33" s="73" t="s">
        <v>152</v>
      </c>
      <c r="N33" s="73" t="s">
        <v>152</v>
      </c>
      <c r="O33" s="273">
        <f t="shared" ref="O33:P33" si="2">SUM(O21:O32)</f>
        <v>739</v>
      </c>
      <c r="P33" s="273">
        <f t="shared" si="2"/>
        <v>3907</v>
      </c>
      <c r="Q33" s="273">
        <f t="shared" ref="Q33:R33" si="3">SUM(Q21:Q32)</f>
        <v>4718</v>
      </c>
      <c r="R33" s="288">
        <f t="shared" si="3"/>
        <v>1459</v>
      </c>
    </row>
    <row r="34" spans="1:18" s="113" customFormat="1" ht="6.6" x14ac:dyDescent="0.3">
      <c r="A34" s="371" t="s">
        <v>174</v>
      </c>
      <c r="B34" s="371"/>
      <c r="C34" s="371"/>
      <c r="D34" s="371"/>
      <c r="E34" s="371"/>
      <c r="F34" s="371"/>
      <c r="G34" s="371"/>
      <c r="H34" s="371"/>
      <c r="I34" s="371"/>
      <c r="J34" s="371"/>
      <c r="K34" s="371"/>
      <c r="L34" s="371"/>
      <c r="M34" s="371"/>
      <c r="N34" s="371"/>
      <c r="O34" s="371"/>
      <c r="P34" s="371"/>
      <c r="Q34" s="371"/>
      <c r="R34" s="371"/>
    </row>
    <row r="35" spans="1:18" s="106" customFormat="1" ht="18" x14ac:dyDescent="0.3">
      <c r="A35" s="370" t="s">
        <v>144</v>
      </c>
      <c r="B35" s="370"/>
      <c r="C35" s="370"/>
      <c r="D35" s="370"/>
      <c r="E35" s="370"/>
      <c r="F35" s="370"/>
      <c r="G35" s="370"/>
      <c r="H35" s="370"/>
      <c r="I35" s="370"/>
      <c r="J35" s="370"/>
      <c r="K35" s="370"/>
      <c r="L35" s="370"/>
      <c r="M35" s="370"/>
      <c r="N35" s="370"/>
      <c r="O35" s="370"/>
      <c r="P35" s="370"/>
      <c r="Q35" s="370"/>
      <c r="R35" s="370"/>
    </row>
    <row r="36" spans="1:18" s="63" customFormat="1" ht="15.6" x14ac:dyDescent="0.3">
      <c r="A36" s="77" t="s">
        <v>23</v>
      </c>
      <c r="B36" s="91">
        <v>2004</v>
      </c>
      <c r="C36" s="64">
        <v>2005</v>
      </c>
      <c r="D36" s="64">
        <v>2006</v>
      </c>
      <c r="E36" s="64">
        <v>2007</v>
      </c>
      <c r="F36" s="64">
        <v>2008</v>
      </c>
      <c r="G36" s="64">
        <v>2009</v>
      </c>
      <c r="H36" s="64">
        <v>2010</v>
      </c>
      <c r="I36" s="64">
        <v>2011</v>
      </c>
      <c r="J36" s="65">
        <v>2012</v>
      </c>
      <c r="K36" s="65">
        <v>2013</v>
      </c>
      <c r="L36" s="65">
        <v>2014</v>
      </c>
      <c r="M36" s="65">
        <v>2015</v>
      </c>
      <c r="N36" s="65">
        <v>2016</v>
      </c>
      <c r="O36" s="65">
        <v>2017</v>
      </c>
      <c r="P36" s="65">
        <v>2018</v>
      </c>
      <c r="Q36" s="65">
        <v>2019</v>
      </c>
      <c r="R36" s="49">
        <v>2020</v>
      </c>
    </row>
    <row r="37" spans="1:18" s="63" customFormat="1" ht="15.6" x14ac:dyDescent="0.3">
      <c r="A37" s="76" t="s">
        <v>24</v>
      </c>
      <c r="B37" s="108" t="s">
        <v>152</v>
      </c>
      <c r="C37" s="107" t="s">
        <v>152</v>
      </c>
      <c r="D37" s="107" t="s">
        <v>152</v>
      </c>
      <c r="E37" s="107" t="s">
        <v>152</v>
      </c>
      <c r="F37" s="107" t="s">
        <v>152</v>
      </c>
      <c r="G37" s="107" t="s">
        <v>152</v>
      </c>
      <c r="H37" s="107" t="s">
        <v>152</v>
      </c>
      <c r="I37" s="107" t="s">
        <v>152</v>
      </c>
      <c r="J37" s="107" t="s">
        <v>152</v>
      </c>
      <c r="K37" s="83" t="s">
        <v>152</v>
      </c>
      <c r="L37" s="83" t="s">
        <v>152</v>
      </c>
      <c r="M37" s="83" t="s">
        <v>152</v>
      </c>
      <c r="N37" s="83" t="s">
        <v>152</v>
      </c>
      <c r="O37" s="83" t="s">
        <v>152</v>
      </c>
      <c r="P37" s="271">
        <v>0</v>
      </c>
      <c r="Q37" s="271">
        <v>0</v>
      </c>
      <c r="R37" s="286">
        <v>-47</v>
      </c>
    </row>
    <row r="38" spans="1:18" s="63" customFormat="1" ht="15.6" x14ac:dyDescent="0.3">
      <c r="A38" s="75" t="s">
        <v>25</v>
      </c>
      <c r="B38" s="170" t="s">
        <v>152</v>
      </c>
      <c r="C38" s="67" t="s">
        <v>152</v>
      </c>
      <c r="D38" s="67" t="s">
        <v>152</v>
      </c>
      <c r="E38" s="67" t="s">
        <v>152</v>
      </c>
      <c r="F38" s="67" t="s">
        <v>152</v>
      </c>
      <c r="G38" s="67" t="s">
        <v>152</v>
      </c>
      <c r="H38" s="67" t="s">
        <v>152</v>
      </c>
      <c r="I38" s="67" t="s">
        <v>152</v>
      </c>
      <c r="J38" s="67" t="s">
        <v>152</v>
      </c>
      <c r="K38" s="66" t="s">
        <v>152</v>
      </c>
      <c r="L38" s="66" t="s">
        <v>152</v>
      </c>
      <c r="M38" s="66" t="s">
        <v>152</v>
      </c>
      <c r="N38" s="66" t="s">
        <v>152</v>
      </c>
      <c r="O38" s="66" t="s">
        <v>152</v>
      </c>
      <c r="P38" s="66">
        <v>0</v>
      </c>
      <c r="Q38" s="66">
        <v>0</v>
      </c>
      <c r="R38" s="287">
        <v>0</v>
      </c>
    </row>
    <row r="39" spans="1:18" s="63" customFormat="1" ht="15.6" x14ac:dyDescent="0.3">
      <c r="A39" s="75" t="s">
        <v>26</v>
      </c>
      <c r="B39" s="170" t="s">
        <v>152</v>
      </c>
      <c r="C39" s="67" t="s">
        <v>152</v>
      </c>
      <c r="D39" s="67" t="s">
        <v>152</v>
      </c>
      <c r="E39" s="67" t="s">
        <v>152</v>
      </c>
      <c r="F39" s="67" t="s">
        <v>152</v>
      </c>
      <c r="G39" s="67" t="s">
        <v>152</v>
      </c>
      <c r="H39" s="67" t="s">
        <v>152</v>
      </c>
      <c r="I39" s="67" t="s">
        <v>152</v>
      </c>
      <c r="J39" s="67" t="s">
        <v>152</v>
      </c>
      <c r="K39" s="66" t="s">
        <v>152</v>
      </c>
      <c r="L39" s="66" t="s">
        <v>152</v>
      </c>
      <c r="M39" s="66" t="s">
        <v>152</v>
      </c>
      <c r="N39" s="66" t="s">
        <v>152</v>
      </c>
      <c r="O39" s="66" t="s">
        <v>152</v>
      </c>
      <c r="P39" s="66">
        <v>0</v>
      </c>
      <c r="Q39" s="66">
        <v>-2</v>
      </c>
      <c r="R39" s="287">
        <v>0</v>
      </c>
    </row>
    <row r="40" spans="1:18" s="63" customFormat="1" ht="15.6" x14ac:dyDescent="0.3">
      <c r="A40" s="75" t="s">
        <v>27</v>
      </c>
      <c r="B40" s="170" t="s">
        <v>152</v>
      </c>
      <c r="C40" s="67" t="s">
        <v>152</v>
      </c>
      <c r="D40" s="67" t="s">
        <v>152</v>
      </c>
      <c r="E40" s="67" t="s">
        <v>152</v>
      </c>
      <c r="F40" s="67" t="s">
        <v>152</v>
      </c>
      <c r="G40" s="67" t="s">
        <v>152</v>
      </c>
      <c r="H40" s="67" t="s">
        <v>152</v>
      </c>
      <c r="I40" s="67" t="s">
        <v>152</v>
      </c>
      <c r="J40" s="67" t="s">
        <v>152</v>
      </c>
      <c r="K40" s="66" t="s">
        <v>152</v>
      </c>
      <c r="L40" s="66" t="s">
        <v>152</v>
      </c>
      <c r="M40" s="66" t="s">
        <v>152</v>
      </c>
      <c r="N40" s="66" t="s">
        <v>152</v>
      </c>
      <c r="O40" s="66" t="s">
        <v>152</v>
      </c>
      <c r="P40" s="66">
        <v>0</v>
      </c>
      <c r="Q40" s="66">
        <v>0</v>
      </c>
      <c r="R40" s="287">
        <v>-47</v>
      </c>
    </row>
    <row r="41" spans="1:18" s="63" customFormat="1" ht="15.6" x14ac:dyDescent="0.3">
      <c r="A41" s="75" t="s">
        <v>28</v>
      </c>
      <c r="B41" s="170" t="s">
        <v>152</v>
      </c>
      <c r="C41" s="67" t="s">
        <v>152</v>
      </c>
      <c r="D41" s="67" t="s">
        <v>152</v>
      </c>
      <c r="E41" s="67" t="s">
        <v>152</v>
      </c>
      <c r="F41" s="67" t="s">
        <v>152</v>
      </c>
      <c r="G41" s="67" t="s">
        <v>152</v>
      </c>
      <c r="H41" s="67" t="s">
        <v>152</v>
      </c>
      <c r="I41" s="67" t="s">
        <v>152</v>
      </c>
      <c r="J41" s="67" t="s">
        <v>152</v>
      </c>
      <c r="K41" s="66" t="s">
        <v>152</v>
      </c>
      <c r="L41" s="66" t="s">
        <v>152</v>
      </c>
      <c r="M41" s="66" t="s">
        <v>152</v>
      </c>
      <c r="N41" s="66" t="s">
        <v>152</v>
      </c>
      <c r="O41" s="66" t="s">
        <v>152</v>
      </c>
      <c r="P41" s="66">
        <v>0</v>
      </c>
      <c r="Q41" s="66">
        <v>0</v>
      </c>
      <c r="R41" s="287">
        <v>0</v>
      </c>
    </row>
    <row r="42" spans="1:18" s="63" customFormat="1" ht="15.6" x14ac:dyDescent="0.3">
      <c r="A42" s="75" t="s">
        <v>29</v>
      </c>
      <c r="B42" s="170" t="s">
        <v>152</v>
      </c>
      <c r="C42" s="67" t="s">
        <v>152</v>
      </c>
      <c r="D42" s="67" t="s">
        <v>152</v>
      </c>
      <c r="E42" s="67" t="s">
        <v>152</v>
      </c>
      <c r="F42" s="67" t="s">
        <v>152</v>
      </c>
      <c r="G42" s="67" t="s">
        <v>152</v>
      </c>
      <c r="H42" s="67" t="s">
        <v>152</v>
      </c>
      <c r="I42" s="67" t="s">
        <v>152</v>
      </c>
      <c r="J42" s="67" t="s">
        <v>152</v>
      </c>
      <c r="K42" s="66" t="s">
        <v>152</v>
      </c>
      <c r="L42" s="66" t="s">
        <v>152</v>
      </c>
      <c r="M42" s="66" t="s">
        <v>152</v>
      </c>
      <c r="N42" s="66" t="s">
        <v>152</v>
      </c>
      <c r="O42" s="66" t="s">
        <v>152</v>
      </c>
      <c r="P42" s="66">
        <v>0</v>
      </c>
      <c r="Q42" s="66">
        <v>0</v>
      </c>
      <c r="R42" s="287">
        <v>0</v>
      </c>
    </row>
    <row r="43" spans="1:18" s="63" customFormat="1" ht="15.6" x14ac:dyDescent="0.3">
      <c r="A43" s="75" t="s">
        <v>30</v>
      </c>
      <c r="B43" s="170" t="s">
        <v>152</v>
      </c>
      <c r="C43" s="67" t="s">
        <v>152</v>
      </c>
      <c r="D43" s="67" t="s">
        <v>152</v>
      </c>
      <c r="E43" s="67" t="s">
        <v>152</v>
      </c>
      <c r="F43" s="67" t="s">
        <v>152</v>
      </c>
      <c r="G43" s="67" t="s">
        <v>152</v>
      </c>
      <c r="H43" s="67" t="s">
        <v>152</v>
      </c>
      <c r="I43" s="67" t="s">
        <v>152</v>
      </c>
      <c r="J43" s="67" t="s">
        <v>152</v>
      </c>
      <c r="K43" s="66" t="s">
        <v>152</v>
      </c>
      <c r="L43" s="66" t="s">
        <v>152</v>
      </c>
      <c r="M43" s="66" t="s">
        <v>152</v>
      </c>
      <c r="N43" s="66" t="s">
        <v>152</v>
      </c>
      <c r="O43" s="66" t="s">
        <v>152</v>
      </c>
      <c r="P43" s="66">
        <v>0</v>
      </c>
      <c r="Q43" s="66">
        <v>0</v>
      </c>
      <c r="R43" s="295" t="s">
        <v>152</v>
      </c>
    </row>
    <row r="44" spans="1:18" s="63" customFormat="1" ht="15.6" x14ac:dyDescent="0.3">
      <c r="A44" s="75" t="s">
        <v>31</v>
      </c>
      <c r="B44" s="170" t="s">
        <v>152</v>
      </c>
      <c r="C44" s="67" t="s">
        <v>152</v>
      </c>
      <c r="D44" s="67" t="s">
        <v>152</v>
      </c>
      <c r="E44" s="67" t="s">
        <v>152</v>
      </c>
      <c r="F44" s="67" t="s">
        <v>152</v>
      </c>
      <c r="G44" s="67" t="s">
        <v>152</v>
      </c>
      <c r="H44" s="67" t="s">
        <v>152</v>
      </c>
      <c r="I44" s="67" t="s">
        <v>152</v>
      </c>
      <c r="J44" s="67" t="s">
        <v>152</v>
      </c>
      <c r="K44" s="66" t="s">
        <v>152</v>
      </c>
      <c r="L44" s="66" t="s">
        <v>152</v>
      </c>
      <c r="M44" s="66" t="s">
        <v>152</v>
      </c>
      <c r="N44" s="66" t="s">
        <v>152</v>
      </c>
      <c r="O44" s="66" t="s">
        <v>152</v>
      </c>
      <c r="P44" s="66">
        <v>0</v>
      </c>
      <c r="Q44" s="66">
        <v>0</v>
      </c>
      <c r="R44" s="295" t="s">
        <v>152</v>
      </c>
    </row>
    <row r="45" spans="1:18" s="63" customFormat="1" ht="15.6" x14ac:dyDescent="0.3">
      <c r="A45" s="75" t="s">
        <v>32</v>
      </c>
      <c r="B45" s="170" t="s">
        <v>152</v>
      </c>
      <c r="C45" s="67" t="s">
        <v>152</v>
      </c>
      <c r="D45" s="67" t="s">
        <v>152</v>
      </c>
      <c r="E45" s="67" t="s">
        <v>152</v>
      </c>
      <c r="F45" s="67" t="s">
        <v>152</v>
      </c>
      <c r="G45" s="67" t="s">
        <v>152</v>
      </c>
      <c r="H45" s="67" t="s">
        <v>152</v>
      </c>
      <c r="I45" s="67" t="s">
        <v>152</v>
      </c>
      <c r="J45" s="67" t="s">
        <v>152</v>
      </c>
      <c r="K45" s="66" t="s">
        <v>152</v>
      </c>
      <c r="L45" s="66" t="s">
        <v>152</v>
      </c>
      <c r="M45" s="66" t="s">
        <v>152</v>
      </c>
      <c r="N45" s="66" t="s">
        <v>152</v>
      </c>
      <c r="O45" s="66" t="s">
        <v>152</v>
      </c>
      <c r="P45" s="66">
        <v>0</v>
      </c>
      <c r="Q45" s="66">
        <v>0</v>
      </c>
      <c r="R45" s="295" t="s">
        <v>152</v>
      </c>
    </row>
    <row r="46" spans="1:18" s="63" customFormat="1" ht="15.6" x14ac:dyDescent="0.3">
      <c r="A46" s="75" t="s">
        <v>33</v>
      </c>
      <c r="B46" s="170" t="s">
        <v>152</v>
      </c>
      <c r="C46" s="67" t="s">
        <v>152</v>
      </c>
      <c r="D46" s="67" t="s">
        <v>152</v>
      </c>
      <c r="E46" s="67" t="s">
        <v>152</v>
      </c>
      <c r="F46" s="67" t="s">
        <v>152</v>
      </c>
      <c r="G46" s="67" t="s">
        <v>152</v>
      </c>
      <c r="H46" s="67" t="s">
        <v>152</v>
      </c>
      <c r="I46" s="67" t="s">
        <v>152</v>
      </c>
      <c r="J46" s="67" t="s">
        <v>152</v>
      </c>
      <c r="K46" s="66" t="s">
        <v>152</v>
      </c>
      <c r="L46" s="66" t="s">
        <v>152</v>
      </c>
      <c r="M46" s="66" t="s">
        <v>152</v>
      </c>
      <c r="N46" s="66" t="s">
        <v>152</v>
      </c>
      <c r="O46" s="66" t="s">
        <v>152</v>
      </c>
      <c r="P46" s="66">
        <v>-4</v>
      </c>
      <c r="Q46" s="66">
        <v>0</v>
      </c>
      <c r="R46" s="295" t="s">
        <v>152</v>
      </c>
    </row>
    <row r="47" spans="1:18" s="63" customFormat="1" ht="15.6" x14ac:dyDescent="0.3">
      <c r="A47" s="75" t="s">
        <v>34</v>
      </c>
      <c r="B47" s="170" t="s">
        <v>152</v>
      </c>
      <c r="C47" s="67" t="s">
        <v>152</v>
      </c>
      <c r="D47" s="67" t="s">
        <v>152</v>
      </c>
      <c r="E47" s="67" t="s">
        <v>152</v>
      </c>
      <c r="F47" s="67" t="s">
        <v>152</v>
      </c>
      <c r="G47" s="67" t="s">
        <v>152</v>
      </c>
      <c r="H47" s="67" t="s">
        <v>152</v>
      </c>
      <c r="I47" s="67" t="s">
        <v>152</v>
      </c>
      <c r="J47" s="67" t="s">
        <v>152</v>
      </c>
      <c r="K47" s="66" t="s">
        <v>152</v>
      </c>
      <c r="L47" s="66" t="s">
        <v>152</v>
      </c>
      <c r="M47" s="66" t="s">
        <v>152</v>
      </c>
      <c r="N47" s="66" t="s">
        <v>152</v>
      </c>
      <c r="O47" s="275">
        <v>0</v>
      </c>
      <c r="P47" s="66">
        <v>0</v>
      </c>
      <c r="Q47" s="66">
        <v>0</v>
      </c>
      <c r="R47" s="295" t="s">
        <v>152</v>
      </c>
    </row>
    <row r="48" spans="1:18" s="63" customFormat="1" ht="16.2" thickBot="1" x14ac:dyDescent="0.35">
      <c r="A48" s="88" t="s">
        <v>36</v>
      </c>
      <c r="B48" s="87" t="s">
        <v>152</v>
      </c>
      <c r="C48" s="72" t="s">
        <v>152</v>
      </c>
      <c r="D48" s="72" t="s">
        <v>152</v>
      </c>
      <c r="E48" s="72" t="s">
        <v>152</v>
      </c>
      <c r="F48" s="72" t="s">
        <v>152</v>
      </c>
      <c r="G48" s="72" t="s">
        <v>152</v>
      </c>
      <c r="H48" s="72" t="s">
        <v>152</v>
      </c>
      <c r="I48" s="72" t="s">
        <v>152</v>
      </c>
      <c r="J48" s="72" t="s">
        <v>152</v>
      </c>
      <c r="K48" s="71" t="s">
        <v>152</v>
      </c>
      <c r="L48" s="71" t="s">
        <v>152</v>
      </c>
      <c r="M48" s="71" t="s">
        <v>152</v>
      </c>
      <c r="N48" s="71" t="s">
        <v>152</v>
      </c>
      <c r="O48" s="71">
        <v>0</v>
      </c>
      <c r="P48" s="71">
        <v>-27</v>
      </c>
      <c r="Q48" s="71">
        <v>0</v>
      </c>
      <c r="R48" s="292" t="s">
        <v>152</v>
      </c>
    </row>
    <row r="49" spans="1:19" s="63" customFormat="1" ht="16.2" thickTop="1" x14ac:dyDescent="0.3">
      <c r="A49" s="89" t="s">
        <v>37</v>
      </c>
      <c r="B49" s="90" t="s">
        <v>152</v>
      </c>
      <c r="C49" s="73" t="s">
        <v>152</v>
      </c>
      <c r="D49" s="73" t="s">
        <v>152</v>
      </c>
      <c r="E49" s="73" t="s">
        <v>152</v>
      </c>
      <c r="F49" s="73" t="s">
        <v>152</v>
      </c>
      <c r="G49" s="73" t="s">
        <v>152</v>
      </c>
      <c r="H49" s="73" t="s">
        <v>152</v>
      </c>
      <c r="I49" s="73" t="s">
        <v>152</v>
      </c>
      <c r="J49" s="73" t="s">
        <v>152</v>
      </c>
      <c r="K49" s="73" t="s">
        <v>152</v>
      </c>
      <c r="L49" s="73" t="s">
        <v>152</v>
      </c>
      <c r="M49" s="73" t="s">
        <v>152</v>
      </c>
      <c r="N49" s="73" t="s">
        <v>152</v>
      </c>
      <c r="O49" s="273">
        <f t="shared" ref="O49:P49" si="4">SUM(O37:O48)</f>
        <v>0</v>
      </c>
      <c r="P49" s="273">
        <f t="shared" si="4"/>
        <v>-31</v>
      </c>
      <c r="Q49" s="273">
        <f t="shared" ref="Q49:R49" si="5">SUM(Q37:Q48)</f>
        <v>-2</v>
      </c>
      <c r="R49" s="288">
        <f t="shared" si="5"/>
        <v>-94</v>
      </c>
    </row>
    <row r="50" spans="1:19" s="113" customFormat="1" ht="6.6" x14ac:dyDescent="0.3">
      <c r="A50" s="371" t="s">
        <v>174</v>
      </c>
      <c r="B50" s="371"/>
      <c r="C50" s="371"/>
      <c r="D50" s="371"/>
      <c r="E50" s="371"/>
      <c r="F50" s="371"/>
      <c r="G50" s="371"/>
      <c r="H50" s="371"/>
      <c r="I50" s="371"/>
      <c r="J50" s="371"/>
      <c r="K50" s="371"/>
      <c r="L50" s="371"/>
      <c r="M50" s="371"/>
      <c r="N50" s="371"/>
      <c r="O50" s="371"/>
      <c r="P50" s="371"/>
      <c r="Q50" s="371"/>
      <c r="R50" s="371"/>
    </row>
    <row r="51" spans="1:19" s="111" customFormat="1" ht="13.8" x14ac:dyDescent="0.3">
      <c r="A51" s="373" t="s">
        <v>176</v>
      </c>
      <c r="B51" s="373"/>
      <c r="C51" s="373"/>
      <c r="D51" s="373"/>
      <c r="E51" s="373"/>
      <c r="F51" s="373"/>
      <c r="G51" s="373"/>
      <c r="H51" s="373"/>
      <c r="I51" s="373"/>
      <c r="J51" s="373"/>
      <c r="K51" s="373"/>
      <c r="L51" s="373"/>
      <c r="M51" s="373"/>
      <c r="N51" s="373"/>
      <c r="O51" s="373"/>
      <c r="P51" s="373"/>
      <c r="Q51" s="373"/>
      <c r="R51" s="373"/>
    </row>
    <row r="52" spans="1:19" s="111" customFormat="1" ht="13.8" x14ac:dyDescent="0.3">
      <c r="A52" s="384" t="str">
        <f>'Local SUT'!A60</f>
        <v>Source:  Minnesota Department of Revenue, Tax Research Division, February 2021</v>
      </c>
      <c r="B52" s="384"/>
      <c r="C52" s="384"/>
      <c r="D52" s="384"/>
      <c r="E52" s="384"/>
      <c r="F52" s="384"/>
      <c r="G52" s="384"/>
      <c r="H52" s="384"/>
      <c r="I52" s="384"/>
      <c r="J52" s="384"/>
      <c r="K52" s="384"/>
      <c r="L52" s="384"/>
      <c r="M52" s="384"/>
      <c r="N52" s="384"/>
      <c r="O52" s="384"/>
      <c r="P52" s="384"/>
      <c r="Q52" s="384"/>
      <c r="R52" s="384"/>
      <c r="S52" s="300"/>
    </row>
    <row r="53" spans="1:19" s="111" customFormat="1" ht="13.8" x14ac:dyDescent="0.3">
      <c r="A53" s="379" t="s">
        <v>151</v>
      </c>
      <c r="B53" s="379"/>
      <c r="C53" s="379"/>
      <c r="D53" s="379"/>
      <c r="E53" s="379"/>
      <c r="F53" s="379"/>
      <c r="G53" s="379"/>
      <c r="H53" s="379"/>
      <c r="I53" s="379"/>
      <c r="J53" s="379"/>
      <c r="K53" s="379"/>
      <c r="L53" s="379"/>
      <c r="M53" s="379"/>
      <c r="N53" s="379"/>
      <c r="O53" s="379"/>
      <c r="P53" s="379"/>
      <c r="Q53" s="379"/>
      <c r="R53" s="379"/>
    </row>
    <row r="54" spans="1:19" x14ac:dyDescent="0.3">
      <c r="R54" s="117"/>
    </row>
  </sheetData>
  <mergeCells count="11">
    <mergeCell ref="A35:R35"/>
    <mergeCell ref="A50:R50"/>
    <mergeCell ref="A51:R51"/>
    <mergeCell ref="A52:R52"/>
    <mergeCell ref="A53:R53"/>
    <mergeCell ref="A34:R34"/>
    <mergeCell ref="A1:T1"/>
    <mergeCell ref="A2:R2"/>
    <mergeCell ref="A3:R3"/>
    <mergeCell ref="A18:R18"/>
    <mergeCell ref="A19:R19"/>
  </mergeCells>
  <pageMargins left="0.5" right="0.5" top="0.75" bottom="0.75" header="0.3" footer="0.3"/>
  <pageSetup scale="86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8"/>
  <dimension ref="A1:R54"/>
  <sheetViews>
    <sheetView showGridLines="0" zoomScaleNormal="100" workbookViewId="0">
      <pane ySplit="1" topLeftCell="A2" activePane="bottomLeft" state="frozen"/>
      <selection pane="bottomLeft" sqref="A1:R1"/>
    </sheetView>
  </sheetViews>
  <sheetFormatPr defaultColWidth="12.5546875" defaultRowHeight="14.4" x14ac:dyDescent="0.3"/>
  <cols>
    <col min="1" max="1" width="12.5546875" style="180"/>
    <col min="2" max="17" width="13.5546875" style="173" customWidth="1"/>
    <col min="18" max="18" width="13.5546875" style="145" customWidth="1"/>
    <col min="19" max="16384" width="12.5546875" style="173"/>
  </cols>
  <sheetData>
    <row r="1" spans="1:18" s="112" customFormat="1" ht="21" x14ac:dyDescent="0.3">
      <c r="A1" s="380" t="s">
        <v>209</v>
      </c>
      <c r="B1" s="380"/>
      <c r="C1" s="380"/>
      <c r="D1" s="380"/>
      <c r="E1" s="380"/>
      <c r="F1" s="380"/>
      <c r="G1" s="380"/>
      <c r="H1" s="380"/>
      <c r="I1" s="380"/>
      <c r="J1" s="380"/>
      <c r="K1" s="380"/>
      <c r="L1" s="380"/>
      <c r="M1" s="380"/>
      <c r="N1" s="380"/>
      <c r="O1" s="380"/>
      <c r="P1" s="380"/>
      <c r="Q1" s="380"/>
      <c r="R1" s="380"/>
    </row>
    <row r="2" spans="1:18" s="106" customFormat="1" ht="18" x14ac:dyDescent="0.3">
      <c r="A2" s="381" t="str">
        <f>'Local SUT'!A2</f>
        <v>CY 2004-2020</v>
      </c>
      <c r="B2" s="381"/>
      <c r="C2" s="381"/>
      <c r="D2" s="381"/>
      <c r="E2" s="381"/>
      <c r="F2" s="381"/>
      <c r="G2" s="381"/>
      <c r="H2" s="381"/>
      <c r="I2" s="381"/>
      <c r="J2" s="381"/>
      <c r="K2" s="381"/>
      <c r="L2" s="381"/>
      <c r="M2" s="381"/>
      <c r="N2" s="381"/>
      <c r="O2" s="381"/>
      <c r="P2" s="381"/>
      <c r="Q2" s="381"/>
      <c r="R2" s="381"/>
    </row>
    <row r="3" spans="1:18" s="106" customFormat="1" ht="18" x14ac:dyDescent="0.3">
      <c r="A3" s="370" t="s">
        <v>56</v>
      </c>
      <c r="B3" s="370"/>
      <c r="C3" s="370"/>
      <c r="D3" s="370"/>
      <c r="E3" s="370"/>
      <c r="F3" s="370"/>
      <c r="G3" s="370"/>
      <c r="H3" s="370"/>
      <c r="I3" s="370"/>
      <c r="J3" s="370"/>
      <c r="K3" s="370"/>
      <c r="L3" s="370"/>
      <c r="M3" s="370"/>
      <c r="N3" s="370"/>
      <c r="O3" s="370"/>
      <c r="P3" s="370"/>
      <c r="Q3" s="370"/>
      <c r="R3" s="370"/>
    </row>
    <row r="4" spans="1:18" s="63" customFormat="1" ht="15.6" x14ac:dyDescent="0.3">
      <c r="A4" s="77" t="s">
        <v>23</v>
      </c>
      <c r="B4" s="91">
        <v>2004</v>
      </c>
      <c r="C4" s="64">
        <v>2005</v>
      </c>
      <c r="D4" s="64">
        <v>2006</v>
      </c>
      <c r="E4" s="64">
        <v>2007</v>
      </c>
      <c r="F4" s="64">
        <v>2008</v>
      </c>
      <c r="G4" s="64">
        <v>2009</v>
      </c>
      <c r="H4" s="64">
        <v>2010</v>
      </c>
      <c r="I4" s="64">
        <v>2011</v>
      </c>
      <c r="J4" s="65">
        <v>2012</v>
      </c>
      <c r="K4" s="65">
        <v>2013</v>
      </c>
      <c r="L4" s="65">
        <v>2014</v>
      </c>
      <c r="M4" s="65">
        <v>2015</v>
      </c>
      <c r="N4" s="65">
        <v>2016</v>
      </c>
      <c r="O4" s="65">
        <v>2017</v>
      </c>
      <c r="P4" s="65">
        <v>2018</v>
      </c>
      <c r="Q4" s="65">
        <v>2019</v>
      </c>
      <c r="R4" s="49">
        <v>2020</v>
      </c>
    </row>
    <row r="5" spans="1:18" s="63" customFormat="1" ht="15.6" x14ac:dyDescent="0.3">
      <c r="A5" s="76" t="s">
        <v>24</v>
      </c>
      <c r="B5" s="278">
        <v>77026</v>
      </c>
      <c r="C5" s="272">
        <v>74319</v>
      </c>
      <c r="D5" s="271">
        <v>80182</v>
      </c>
      <c r="E5" s="271">
        <v>84062.31</v>
      </c>
      <c r="F5" s="271">
        <v>91124.98</v>
      </c>
      <c r="G5" s="271">
        <v>85124</v>
      </c>
      <c r="H5" s="271">
        <v>88876</v>
      </c>
      <c r="I5" s="271">
        <v>91544</v>
      </c>
      <c r="J5" s="271">
        <v>89862</v>
      </c>
      <c r="K5" s="271">
        <v>97465</v>
      </c>
      <c r="L5" s="271">
        <v>149355</v>
      </c>
      <c r="M5" s="271">
        <v>100337</v>
      </c>
      <c r="N5" s="271">
        <v>113453</v>
      </c>
      <c r="O5" s="271">
        <v>109400</v>
      </c>
      <c r="P5" s="271">
        <v>103175</v>
      </c>
      <c r="Q5" s="271">
        <v>102675</v>
      </c>
      <c r="R5" s="286">
        <v>114180</v>
      </c>
    </row>
    <row r="6" spans="1:18" s="63" customFormat="1" ht="15.6" x14ac:dyDescent="0.3">
      <c r="A6" s="75" t="s">
        <v>25</v>
      </c>
      <c r="B6" s="170">
        <v>49443.43</v>
      </c>
      <c r="C6" s="67">
        <v>56423.18</v>
      </c>
      <c r="D6" s="66">
        <v>56376.74</v>
      </c>
      <c r="E6" s="66">
        <v>60549.15</v>
      </c>
      <c r="F6" s="66">
        <v>60446.59</v>
      </c>
      <c r="G6" s="66">
        <v>65766</v>
      </c>
      <c r="H6" s="66">
        <v>60722</v>
      </c>
      <c r="I6" s="66">
        <v>60815</v>
      </c>
      <c r="J6" s="66">
        <v>63202</v>
      </c>
      <c r="K6" s="66">
        <v>66577</v>
      </c>
      <c r="L6" s="66">
        <v>107892</v>
      </c>
      <c r="M6" s="66">
        <v>82799</v>
      </c>
      <c r="N6" s="66">
        <v>83766</v>
      </c>
      <c r="O6" s="66">
        <v>79686</v>
      </c>
      <c r="P6" s="66">
        <v>77978</v>
      </c>
      <c r="Q6" s="66">
        <v>81133</v>
      </c>
      <c r="R6" s="287">
        <v>87179</v>
      </c>
    </row>
    <row r="7" spans="1:18" s="63" customFormat="1" ht="15.6" x14ac:dyDescent="0.3">
      <c r="A7" s="75" t="s">
        <v>26</v>
      </c>
      <c r="B7" s="170">
        <v>45681.39</v>
      </c>
      <c r="C7" s="67">
        <v>53518.7</v>
      </c>
      <c r="D7" s="66">
        <v>51113.18</v>
      </c>
      <c r="E7" s="66">
        <v>58531.13</v>
      </c>
      <c r="F7" s="66">
        <v>63337.23</v>
      </c>
      <c r="G7" s="66">
        <v>56198</v>
      </c>
      <c r="H7" s="66">
        <v>56729</v>
      </c>
      <c r="I7" s="66">
        <v>62240</v>
      </c>
      <c r="J7" s="66">
        <v>64153</v>
      </c>
      <c r="K7" s="66">
        <v>66218</v>
      </c>
      <c r="L7" s="66">
        <v>82729</v>
      </c>
      <c r="M7" s="66">
        <v>86247</v>
      </c>
      <c r="N7" s="66">
        <v>81563</v>
      </c>
      <c r="O7" s="66">
        <v>78320</v>
      </c>
      <c r="P7" s="66">
        <v>74261</v>
      </c>
      <c r="Q7" s="66">
        <v>74334</v>
      </c>
      <c r="R7" s="287">
        <v>86389</v>
      </c>
    </row>
    <row r="8" spans="1:18" s="63" customFormat="1" ht="15.6" x14ac:dyDescent="0.3">
      <c r="A8" s="75" t="s">
        <v>27</v>
      </c>
      <c r="B8" s="170">
        <v>59736.34</v>
      </c>
      <c r="C8" s="67">
        <v>65672.639999999999</v>
      </c>
      <c r="D8" s="66">
        <v>57742.67</v>
      </c>
      <c r="E8" s="66">
        <v>67750.55</v>
      </c>
      <c r="F8" s="66">
        <v>70043.12</v>
      </c>
      <c r="G8" s="66">
        <v>62144</v>
      </c>
      <c r="H8" s="66">
        <v>70224</v>
      </c>
      <c r="I8" s="66">
        <v>70612</v>
      </c>
      <c r="J8" s="66">
        <v>75468</v>
      </c>
      <c r="K8" s="66">
        <v>82977</v>
      </c>
      <c r="L8" s="66">
        <v>86463</v>
      </c>
      <c r="M8" s="66">
        <v>92518</v>
      </c>
      <c r="N8" s="66">
        <v>93551</v>
      </c>
      <c r="O8" s="66">
        <v>91146</v>
      </c>
      <c r="P8" s="66">
        <v>89394</v>
      </c>
      <c r="Q8" s="66">
        <v>90381</v>
      </c>
      <c r="R8" s="287">
        <v>106514</v>
      </c>
    </row>
    <row r="9" spans="1:18" s="63" customFormat="1" ht="15.6" x14ac:dyDescent="0.3">
      <c r="A9" s="75" t="s">
        <v>28</v>
      </c>
      <c r="B9" s="170">
        <v>58353</v>
      </c>
      <c r="C9" s="67">
        <v>57361.38</v>
      </c>
      <c r="D9" s="66">
        <v>57509.78</v>
      </c>
      <c r="E9" s="66">
        <v>62575.61</v>
      </c>
      <c r="F9" s="66">
        <v>63450.11</v>
      </c>
      <c r="G9" s="66">
        <v>64186</v>
      </c>
      <c r="H9" s="66">
        <v>67789</v>
      </c>
      <c r="I9" s="66">
        <v>74482</v>
      </c>
      <c r="J9" s="66">
        <v>72392</v>
      </c>
      <c r="K9" s="66">
        <v>79954</v>
      </c>
      <c r="L9" s="66">
        <v>81224</v>
      </c>
      <c r="M9" s="66">
        <v>94462</v>
      </c>
      <c r="N9" s="66">
        <v>92790</v>
      </c>
      <c r="O9" s="66">
        <v>88035</v>
      </c>
      <c r="P9" s="66">
        <v>83612</v>
      </c>
      <c r="Q9" s="66">
        <v>92461</v>
      </c>
      <c r="R9" s="287">
        <v>100084</v>
      </c>
    </row>
    <row r="10" spans="1:18" s="63" customFormat="1" ht="15.6" x14ac:dyDescent="0.3">
      <c r="A10" s="75" t="s">
        <v>29</v>
      </c>
      <c r="B10" s="170">
        <v>62424.58</v>
      </c>
      <c r="C10" s="67">
        <v>64176.09</v>
      </c>
      <c r="D10" s="66">
        <v>68258.69</v>
      </c>
      <c r="E10" s="66">
        <v>75972.58</v>
      </c>
      <c r="F10" s="66">
        <v>74858.509999999995</v>
      </c>
      <c r="G10" s="66">
        <v>69563</v>
      </c>
      <c r="H10" s="66">
        <v>68883</v>
      </c>
      <c r="I10" s="66">
        <v>80936</v>
      </c>
      <c r="J10" s="66">
        <v>82886</v>
      </c>
      <c r="K10" s="66">
        <v>94186</v>
      </c>
      <c r="L10" s="66">
        <v>95624</v>
      </c>
      <c r="M10" s="66">
        <v>104894</v>
      </c>
      <c r="N10" s="66">
        <v>88950</v>
      </c>
      <c r="O10" s="66">
        <v>97757</v>
      </c>
      <c r="P10" s="66">
        <v>103496</v>
      </c>
      <c r="Q10" s="66">
        <v>109303</v>
      </c>
      <c r="R10" s="287">
        <v>115570</v>
      </c>
    </row>
    <row r="11" spans="1:18" s="63" customFormat="1" ht="15.6" x14ac:dyDescent="0.3">
      <c r="A11" s="75" t="s">
        <v>30</v>
      </c>
      <c r="B11" s="170">
        <v>58568.32</v>
      </c>
      <c r="C11" s="67">
        <v>49737.87</v>
      </c>
      <c r="D11" s="66">
        <v>58308.14</v>
      </c>
      <c r="E11" s="66">
        <v>72750.53</v>
      </c>
      <c r="F11" s="66">
        <v>72833.7</v>
      </c>
      <c r="G11" s="66">
        <v>70023</v>
      </c>
      <c r="H11" s="66">
        <v>74114</v>
      </c>
      <c r="I11" s="66">
        <v>79272</v>
      </c>
      <c r="J11" s="66">
        <v>79026</v>
      </c>
      <c r="K11" s="66">
        <v>74588</v>
      </c>
      <c r="L11" s="66">
        <v>101681</v>
      </c>
      <c r="M11" s="66">
        <v>89594</v>
      </c>
      <c r="N11" s="66">
        <v>88284</v>
      </c>
      <c r="O11" s="66">
        <v>88047</v>
      </c>
      <c r="P11" s="66">
        <v>86114</v>
      </c>
      <c r="Q11" s="66">
        <v>100110</v>
      </c>
      <c r="R11" s="291" t="s">
        <v>152</v>
      </c>
    </row>
    <row r="12" spans="1:18" s="63" customFormat="1" ht="15.6" x14ac:dyDescent="0.3">
      <c r="A12" s="75" t="s">
        <v>31</v>
      </c>
      <c r="B12" s="170">
        <v>78331</v>
      </c>
      <c r="C12" s="67">
        <v>79043.199999999997</v>
      </c>
      <c r="D12" s="66">
        <v>76004.59</v>
      </c>
      <c r="E12" s="66">
        <v>74172.509999999995</v>
      </c>
      <c r="F12" s="66">
        <v>77548.28</v>
      </c>
      <c r="G12" s="66">
        <v>73786</v>
      </c>
      <c r="H12" s="66">
        <v>79945</v>
      </c>
      <c r="I12" s="66">
        <v>77950</v>
      </c>
      <c r="J12" s="66">
        <v>84628</v>
      </c>
      <c r="K12" s="66">
        <v>107301</v>
      </c>
      <c r="L12" s="66">
        <v>100119</v>
      </c>
      <c r="M12" s="66">
        <v>112570</v>
      </c>
      <c r="N12" s="66">
        <v>114559</v>
      </c>
      <c r="O12" s="66">
        <v>104071</v>
      </c>
      <c r="P12" s="66">
        <v>115533</v>
      </c>
      <c r="Q12" s="66">
        <v>114807</v>
      </c>
      <c r="R12" s="295" t="s">
        <v>152</v>
      </c>
    </row>
    <row r="13" spans="1:18" s="63" customFormat="1" ht="15.6" x14ac:dyDescent="0.3">
      <c r="A13" s="75" t="s">
        <v>32</v>
      </c>
      <c r="B13" s="170">
        <v>60133.82</v>
      </c>
      <c r="C13" s="67">
        <v>65491.42</v>
      </c>
      <c r="D13" s="66">
        <v>72672.399999999994</v>
      </c>
      <c r="E13" s="66">
        <v>71503</v>
      </c>
      <c r="F13" s="66">
        <v>73472.73</v>
      </c>
      <c r="G13" s="66">
        <v>70874</v>
      </c>
      <c r="H13" s="66">
        <v>82616</v>
      </c>
      <c r="I13" s="66">
        <v>85103</v>
      </c>
      <c r="J13" s="66">
        <v>86508</v>
      </c>
      <c r="K13" s="66">
        <v>94664</v>
      </c>
      <c r="L13" s="66">
        <v>95503</v>
      </c>
      <c r="M13" s="66">
        <v>94221</v>
      </c>
      <c r="N13" s="66">
        <v>102522</v>
      </c>
      <c r="O13" s="66">
        <v>95927</v>
      </c>
      <c r="P13" s="66">
        <v>100137</v>
      </c>
      <c r="Q13" s="66">
        <v>107156</v>
      </c>
      <c r="R13" s="295" t="s">
        <v>152</v>
      </c>
    </row>
    <row r="14" spans="1:18" s="63" customFormat="1" ht="15.6" x14ac:dyDescent="0.3">
      <c r="A14" s="75" t="s">
        <v>33</v>
      </c>
      <c r="B14" s="170">
        <v>61015.61</v>
      </c>
      <c r="C14" s="67">
        <v>67879.509999999995</v>
      </c>
      <c r="D14" s="66">
        <v>75709.710000000006</v>
      </c>
      <c r="E14" s="66">
        <v>77703.27</v>
      </c>
      <c r="F14" s="66">
        <v>74220.91</v>
      </c>
      <c r="G14" s="66">
        <v>73410</v>
      </c>
      <c r="H14" s="66">
        <v>90017</v>
      </c>
      <c r="I14" s="66">
        <v>82878</v>
      </c>
      <c r="J14" s="66">
        <v>84337</v>
      </c>
      <c r="K14" s="66">
        <v>93841</v>
      </c>
      <c r="L14" s="66">
        <v>97286</v>
      </c>
      <c r="M14" s="66">
        <v>94564</v>
      </c>
      <c r="N14" s="66">
        <v>91874</v>
      </c>
      <c r="O14" s="66">
        <v>95804</v>
      </c>
      <c r="P14" s="66">
        <v>94873</v>
      </c>
      <c r="Q14" s="66">
        <v>108355</v>
      </c>
      <c r="R14" s="295" t="s">
        <v>152</v>
      </c>
    </row>
    <row r="15" spans="1:18" s="63" customFormat="1" ht="15.6" x14ac:dyDescent="0.3">
      <c r="A15" s="75" t="s">
        <v>34</v>
      </c>
      <c r="B15" s="170">
        <v>57413</v>
      </c>
      <c r="C15" s="67">
        <v>59974</v>
      </c>
      <c r="D15" s="66">
        <v>61813.14</v>
      </c>
      <c r="E15" s="66">
        <v>68645.240000000005</v>
      </c>
      <c r="F15" s="66" t="s">
        <v>35</v>
      </c>
      <c r="G15" s="66">
        <v>70457</v>
      </c>
      <c r="H15" s="66">
        <v>76140</v>
      </c>
      <c r="I15" s="66">
        <v>76240</v>
      </c>
      <c r="J15" s="66">
        <v>78979</v>
      </c>
      <c r="K15" s="66">
        <v>95303</v>
      </c>
      <c r="L15" s="66">
        <v>94970</v>
      </c>
      <c r="M15" s="66">
        <v>97930</v>
      </c>
      <c r="N15" s="66">
        <v>98166</v>
      </c>
      <c r="O15" s="66">
        <v>94185</v>
      </c>
      <c r="P15" s="66">
        <v>95883</v>
      </c>
      <c r="Q15" s="66">
        <v>103246</v>
      </c>
      <c r="R15" s="295" t="s">
        <v>152</v>
      </c>
    </row>
    <row r="16" spans="1:18" s="63" customFormat="1" ht="16.2" thickBot="1" x14ac:dyDescent="0.35">
      <c r="A16" s="88" t="s">
        <v>36</v>
      </c>
      <c r="B16" s="87">
        <v>54588</v>
      </c>
      <c r="C16" s="72">
        <v>59581.01</v>
      </c>
      <c r="D16" s="72">
        <v>64168.7</v>
      </c>
      <c r="E16" s="71">
        <v>71719.210000000006</v>
      </c>
      <c r="F16" s="71">
        <v>129797</v>
      </c>
      <c r="G16" s="71">
        <v>67284</v>
      </c>
      <c r="H16" s="71">
        <v>76502</v>
      </c>
      <c r="I16" s="71">
        <v>74062</v>
      </c>
      <c r="J16" s="71">
        <v>78108</v>
      </c>
      <c r="K16" s="71">
        <v>135900</v>
      </c>
      <c r="L16" s="71">
        <v>93310</v>
      </c>
      <c r="M16" s="71">
        <v>98104</v>
      </c>
      <c r="N16" s="71">
        <v>92900</v>
      </c>
      <c r="O16" s="71">
        <v>89426</v>
      </c>
      <c r="P16" s="71">
        <v>102613</v>
      </c>
      <c r="Q16" s="71">
        <v>98700</v>
      </c>
      <c r="R16" s="292" t="s">
        <v>152</v>
      </c>
    </row>
    <row r="17" spans="1:18" s="63" customFormat="1" ht="16.2" thickTop="1" x14ac:dyDescent="0.3">
      <c r="A17" s="89" t="s">
        <v>37</v>
      </c>
      <c r="B17" s="277">
        <f>SUM(B5:B16)</f>
        <v>722714.49</v>
      </c>
      <c r="C17" s="273">
        <f t="shared" ref="C17:I17" si="0">SUM(C5:C16)</f>
        <v>753178</v>
      </c>
      <c r="D17" s="273">
        <f t="shared" si="0"/>
        <v>779859.74</v>
      </c>
      <c r="E17" s="273">
        <f t="shared" si="0"/>
        <v>845935.09</v>
      </c>
      <c r="F17" s="273">
        <f t="shared" si="0"/>
        <v>851133.16</v>
      </c>
      <c r="G17" s="273">
        <f t="shared" si="0"/>
        <v>828815</v>
      </c>
      <c r="H17" s="273">
        <f t="shared" si="0"/>
        <v>892557</v>
      </c>
      <c r="I17" s="273">
        <f t="shared" si="0"/>
        <v>916134</v>
      </c>
      <c r="J17" s="273">
        <f t="shared" ref="J17:P17" si="1">SUM(J5:J16)</f>
        <v>939549</v>
      </c>
      <c r="K17" s="273">
        <f t="shared" si="1"/>
        <v>1088974</v>
      </c>
      <c r="L17" s="273">
        <f t="shared" si="1"/>
        <v>1186156</v>
      </c>
      <c r="M17" s="273">
        <f t="shared" si="1"/>
        <v>1148240</v>
      </c>
      <c r="N17" s="273">
        <f t="shared" si="1"/>
        <v>1142378</v>
      </c>
      <c r="O17" s="273">
        <f t="shared" si="1"/>
        <v>1111804</v>
      </c>
      <c r="P17" s="273">
        <f t="shared" si="1"/>
        <v>1127069</v>
      </c>
      <c r="Q17" s="273">
        <f t="shared" ref="Q17:R17" si="2">SUM(Q5:Q16)</f>
        <v>1182661</v>
      </c>
      <c r="R17" s="288">
        <f t="shared" si="2"/>
        <v>609916</v>
      </c>
    </row>
    <row r="18" spans="1:18" s="113" customFormat="1" ht="6.6" x14ac:dyDescent="0.3">
      <c r="A18" s="371" t="s">
        <v>174</v>
      </c>
      <c r="B18" s="371"/>
      <c r="C18" s="371"/>
      <c r="D18" s="371"/>
      <c r="E18" s="371"/>
      <c r="F18" s="371"/>
      <c r="G18" s="371"/>
      <c r="H18" s="371"/>
      <c r="I18" s="371"/>
      <c r="J18" s="371"/>
      <c r="K18" s="371"/>
      <c r="L18" s="371"/>
      <c r="M18" s="371"/>
      <c r="N18" s="371"/>
      <c r="O18" s="371"/>
      <c r="P18" s="371"/>
      <c r="Q18" s="371"/>
      <c r="R18" s="371"/>
    </row>
    <row r="19" spans="1:18" s="106" customFormat="1" ht="18" x14ac:dyDescent="0.3">
      <c r="A19" s="370" t="s">
        <v>57</v>
      </c>
      <c r="B19" s="370"/>
      <c r="C19" s="370"/>
      <c r="D19" s="370"/>
      <c r="E19" s="370"/>
      <c r="F19" s="370"/>
      <c r="G19" s="370"/>
      <c r="H19" s="370"/>
      <c r="I19" s="370"/>
      <c r="J19" s="370"/>
      <c r="K19" s="370"/>
      <c r="L19" s="370"/>
      <c r="M19" s="370"/>
      <c r="N19" s="370"/>
      <c r="O19" s="370"/>
      <c r="P19" s="370"/>
      <c r="Q19" s="370"/>
      <c r="R19" s="370"/>
    </row>
    <row r="20" spans="1:18" s="63" customFormat="1" ht="15.6" x14ac:dyDescent="0.3">
      <c r="A20" s="77" t="s">
        <v>23</v>
      </c>
      <c r="B20" s="91">
        <v>2004</v>
      </c>
      <c r="C20" s="64">
        <v>2005</v>
      </c>
      <c r="D20" s="64">
        <v>2006</v>
      </c>
      <c r="E20" s="64">
        <v>2007</v>
      </c>
      <c r="F20" s="64">
        <v>2008</v>
      </c>
      <c r="G20" s="64">
        <v>2009</v>
      </c>
      <c r="H20" s="64">
        <v>2010</v>
      </c>
      <c r="I20" s="64">
        <v>2011</v>
      </c>
      <c r="J20" s="65">
        <v>2012</v>
      </c>
      <c r="K20" s="65">
        <v>2013</v>
      </c>
      <c r="L20" s="65">
        <v>2014</v>
      </c>
      <c r="M20" s="65">
        <v>2015</v>
      </c>
      <c r="N20" s="65">
        <v>2016</v>
      </c>
      <c r="O20" s="65">
        <v>2017</v>
      </c>
      <c r="P20" s="65">
        <v>2018</v>
      </c>
      <c r="Q20" s="65">
        <v>2019</v>
      </c>
      <c r="R20" s="49">
        <v>2020</v>
      </c>
    </row>
    <row r="21" spans="1:18" s="63" customFormat="1" ht="15.6" x14ac:dyDescent="0.3">
      <c r="A21" s="76" t="s">
        <v>24</v>
      </c>
      <c r="B21" s="278">
        <v>5120</v>
      </c>
      <c r="C21" s="272">
        <v>6600.37</v>
      </c>
      <c r="D21" s="271">
        <v>8113</v>
      </c>
      <c r="E21" s="271">
        <v>8369.82</v>
      </c>
      <c r="F21" s="271">
        <v>9485</v>
      </c>
      <c r="G21" s="271">
        <v>3896</v>
      </c>
      <c r="H21" s="271">
        <v>11348</v>
      </c>
      <c r="I21" s="271">
        <v>14093</v>
      </c>
      <c r="J21" s="271">
        <v>11091</v>
      </c>
      <c r="K21" s="271">
        <v>10127</v>
      </c>
      <c r="L21" s="271">
        <v>23460</v>
      </c>
      <c r="M21" s="271">
        <v>13243</v>
      </c>
      <c r="N21" s="271">
        <v>5682</v>
      </c>
      <c r="O21" s="271">
        <v>8913</v>
      </c>
      <c r="P21" s="271">
        <v>5438</v>
      </c>
      <c r="Q21" s="271">
        <v>6016</v>
      </c>
      <c r="R21" s="286">
        <v>8332</v>
      </c>
    </row>
    <row r="22" spans="1:18" s="63" customFormat="1" ht="15.6" x14ac:dyDescent="0.3">
      <c r="A22" s="75" t="s">
        <v>25</v>
      </c>
      <c r="B22" s="170">
        <v>3806</v>
      </c>
      <c r="C22" s="67">
        <v>4338</v>
      </c>
      <c r="D22" s="66">
        <v>10455.68</v>
      </c>
      <c r="E22" s="66">
        <v>4453</v>
      </c>
      <c r="F22" s="66">
        <v>5436.86</v>
      </c>
      <c r="G22" s="66">
        <v>6897</v>
      </c>
      <c r="H22" s="66">
        <v>3072</v>
      </c>
      <c r="I22" s="66">
        <v>4772</v>
      </c>
      <c r="J22" s="66">
        <v>8347</v>
      </c>
      <c r="K22" s="66">
        <v>10947</v>
      </c>
      <c r="L22" s="66">
        <v>12684</v>
      </c>
      <c r="M22" s="66">
        <v>-18803</v>
      </c>
      <c r="N22" s="66">
        <v>3340</v>
      </c>
      <c r="O22" s="66">
        <v>4128</v>
      </c>
      <c r="P22" s="66">
        <v>-3913</v>
      </c>
      <c r="Q22" s="66">
        <v>6101</v>
      </c>
      <c r="R22" s="287">
        <v>15592</v>
      </c>
    </row>
    <row r="23" spans="1:18" s="63" customFormat="1" ht="15.6" x14ac:dyDescent="0.3">
      <c r="A23" s="75" t="s">
        <v>26</v>
      </c>
      <c r="B23" s="170">
        <v>4103.59</v>
      </c>
      <c r="C23" s="67">
        <v>7443.72</v>
      </c>
      <c r="D23" s="66">
        <v>13837.1</v>
      </c>
      <c r="E23" s="66">
        <v>5828.06</v>
      </c>
      <c r="F23" s="66">
        <v>6513.33</v>
      </c>
      <c r="G23" s="66">
        <v>9233</v>
      </c>
      <c r="H23" s="66">
        <v>29017</v>
      </c>
      <c r="I23" s="66">
        <v>6314</v>
      </c>
      <c r="J23" s="66">
        <v>7077</v>
      </c>
      <c r="K23" s="66">
        <v>16983</v>
      </c>
      <c r="L23" s="66">
        <v>17770</v>
      </c>
      <c r="M23" s="66">
        <v>8706</v>
      </c>
      <c r="N23" s="66">
        <v>9302</v>
      </c>
      <c r="O23" s="66">
        <v>4151</v>
      </c>
      <c r="P23" s="66">
        <v>3156</v>
      </c>
      <c r="Q23" s="66">
        <v>-2546</v>
      </c>
      <c r="R23" s="287">
        <v>3403</v>
      </c>
    </row>
    <row r="24" spans="1:18" s="63" customFormat="1" ht="15.6" x14ac:dyDescent="0.3">
      <c r="A24" s="75" t="s">
        <v>27</v>
      </c>
      <c r="B24" s="170">
        <v>4749.8900000000003</v>
      </c>
      <c r="C24" s="67">
        <v>10292.44</v>
      </c>
      <c r="D24" s="66">
        <v>2979.49</v>
      </c>
      <c r="E24" s="66">
        <v>7484.5</v>
      </c>
      <c r="F24" s="66">
        <v>7620.32</v>
      </c>
      <c r="G24" s="66">
        <v>9576</v>
      </c>
      <c r="H24" s="66">
        <v>6056</v>
      </c>
      <c r="I24" s="66">
        <v>9020</v>
      </c>
      <c r="J24" s="66">
        <v>12303</v>
      </c>
      <c r="K24" s="66">
        <v>9993</v>
      </c>
      <c r="L24" s="66">
        <v>18841</v>
      </c>
      <c r="M24" s="66">
        <v>4792</v>
      </c>
      <c r="N24" s="66">
        <v>5121</v>
      </c>
      <c r="O24" s="66">
        <v>5501</v>
      </c>
      <c r="P24" s="66">
        <v>4257</v>
      </c>
      <c r="Q24" s="66">
        <v>4645</v>
      </c>
      <c r="R24" s="287">
        <v>-1352</v>
      </c>
    </row>
    <row r="25" spans="1:18" s="63" customFormat="1" ht="15.6" x14ac:dyDescent="0.3">
      <c r="A25" s="75" t="s">
        <v>28</v>
      </c>
      <c r="B25" s="170">
        <v>7889.63</v>
      </c>
      <c r="C25" s="67">
        <v>7125</v>
      </c>
      <c r="D25" s="66">
        <v>4389</v>
      </c>
      <c r="E25" s="66">
        <v>12743</v>
      </c>
      <c r="F25" s="66">
        <v>7219.37</v>
      </c>
      <c r="G25" s="66">
        <v>5445</v>
      </c>
      <c r="H25" s="66">
        <v>4564</v>
      </c>
      <c r="I25" s="66">
        <v>8793</v>
      </c>
      <c r="J25" s="66">
        <v>12306</v>
      </c>
      <c r="K25" s="66">
        <v>5507</v>
      </c>
      <c r="L25" s="66">
        <v>11938</v>
      </c>
      <c r="M25" s="66">
        <v>13067</v>
      </c>
      <c r="N25" s="66">
        <v>4883</v>
      </c>
      <c r="O25" s="66">
        <v>4845</v>
      </c>
      <c r="P25" s="66">
        <v>3272</v>
      </c>
      <c r="Q25" s="66">
        <v>6298</v>
      </c>
      <c r="R25" s="287">
        <v>7780</v>
      </c>
    </row>
    <row r="26" spans="1:18" s="63" customFormat="1" ht="15.6" x14ac:dyDescent="0.3">
      <c r="A26" s="75" t="s">
        <v>29</v>
      </c>
      <c r="B26" s="170">
        <v>5814.43</v>
      </c>
      <c r="C26" s="67">
        <v>7549</v>
      </c>
      <c r="D26" s="66">
        <v>10753.07</v>
      </c>
      <c r="E26" s="66">
        <v>7565.31</v>
      </c>
      <c r="F26" s="66">
        <v>7090.24</v>
      </c>
      <c r="G26" s="66">
        <v>15800</v>
      </c>
      <c r="H26" s="66">
        <v>4883</v>
      </c>
      <c r="I26" s="66">
        <v>5783</v>
      </c>
      <c r="J26" s="66">
        <v>7624</v>
      </c>
      <c r="K26" s="66">
        <v>9975</v>
      </c>
      <c r="L26" s="66">
        <v>13743</v>
      </c>
      <c r="M26" s="66">
        <v>7695</v>
      </c>
      <c r="N26" s="66">
        <v>6415</v>
      </c>
      <c r="O26" s="66">
        <v>5620</v>
      </c>
      <c r="P26" s="66">
        <v>3634</v>
      </c>
      <c r="Q26" s="66">
        <v>6650</v>
      </c>
      <c r="R26" s="287">
        <v>3444</v>
      </c>
    </row>
    <row r="27" spans="1:18" s="63" customFormat="1" ht="15.6" x14ac:dyDescent="0.3">
      <c r="A27" s="75" t="s">
        <v>30</v>
      </c>
      <c r="B27" s="170">
        <v>5304.5</v>
      </c>
      <c r="C27" s="67">
        <v>8225</v>
      </c>
      <c r="D27" s="66">
        <v>7380.18</v>
      </c>
      <c r="E27" s="66">
        <v>5905.61</v>
      </c>
      <c r="F27" s="66">
        <v>6672.85</v>
      </c>
      <c r="G27" s="66">
        <v>6109</v>
      </c>
      <c r="H27" s="66">
        <v>6164</v>
      </c>
      <c r="I27" s="66">
        <v>7709</v>
      </c>
      <c r="J27" s="66">
        <v>5234</v>
      </c>
      <c r="K27" s="66">
        <v>9851</v>
      </c>
      <c r="L27" s="66">
        <v>7691</v>
      </c>
      <c r="M27" s="66">
        <v>6004</v>
      </c>
      <c r="N27" s="66">
        <v>-19694</v>
      </c>
      <c r="O27" s="66">
        <v>8846</v>
      </c>
      <c r="P27" s="66">
        <v>8901</v>
      </c>
      <c r="Q27" s="66">
        <v>6195</v>
      </c>
      <c r="R27" s="295" t="s">
        <v>152</v>
      </c>
    </row>
    <row r="28" spans="1:18" s="63" customFormat="1" ht="15.6" x14ac:dyDescent="0.3">
      <c r="A28" s="75" t="s">
        <v>31</v>
      </c>
      <c r="B28" s="170">
        <v>6110</v>
      </c>
      <c r="C28" s="67">
        <v>9883.06</v>
      </c>
      <c r="D28" s="66">
        <v>12149.56</v>
      </c>
      <c r="E28" s="66">
        <v>8120.28</v>
      </c>
      <c r="F28" s="66">
        <v>6562</v>
      </c>
      <c r="G28" s="66">
        <v>33710</v>
      </c>
      <c r="H28" s="66">
        <v>7164</v>
      </c>
      <c r="I28" s="66">
        <v>9066</v>
      </c>
      <c r="J28" s="66">
        <v>17608</v>
      </c>
      <c r="K28" s="66">
        <v>13740</v>
      </c>
      <c r="L28" s="66">
        <v>19697</v>
      </c>
      <c r="M28" s="66">
        <v>10123</v>
      </c>
      <c r="N28" s="66">
        <v>6070</v>
      </c>
      <c r="O28" s="66">
        <v>4932</v>
      </c>
      <c r="P28" s="66">
        <v>2990</v>
      </c>
      <c r="Q28" s="66">
        <v>7315</v>
      </c>
      <c r="R28" s="295" t="s">
        <v>152</v>
      </c>
    </row>
    <row r="29" spans="1:18" s="63" customFormat="1" ht="15.6" x14ac:dyDescent="0.3">
      <c r="A29" s="75" t="s">
        <v>32</v>
      </c>
      <c r="B29" s="170">
        <v>4855</v>
      </c>
      <c r="C29" s="67">
        <v>5929.69</v>
      </c>
      <c r="D29" s="66">
        <v>6687</v>
      </c>
      <c r="E29" s="66">
        <v>7198</v>
      </c>
      <c r="F29" s="66">
        <v>6747.63</v>
      </c>
      <c r="G29" s="66">
        <v>4437</v>
      </c>
      <c r="H29" s="66">
        <v>6309</v>
      </c>
      <c r="I29" s="66">
        <v>10388</v>
      </c>
      <c r="J29" s="66">
        <v>11092</v>
      </c>
      <c r="K29" s="66">
        <v>15093</v>
      </c>
      <c r="L29" s="66">
        <v>9086</v>
      </c>
      <c r="M29" s="66">
        <v>5244</v>
      </c>
      <c r="N29" s="66">
        <v>5287</v>
      </c>
      <c r="O29" s="66">
        <v>6016</v>
      </c>
      <c r="P29" s="66">
        <v>5387</v>
      </c>
      <c r="Q29" s="66">
        <v>7525</v>
      </c>
      <c r="R29" s="295" t="s">
        <v>152</v>
      </c>
    </row>
    <row r="30" spans="1:18" s="63" customFormat="1" ht="15.6" x14ac:dyDescent="0.3">
      <c r="A30" s="75" t="s">
        <v>33</v>
      </c>
      <c r="B30" s="170">
        <v>5194</v>
      </c>
      <c r="C30" s="67">
        <v>8696.74</v>
      </c>
      <c r="D30" s="66">
        <v>11403.1</v>
      </c>
      <c r="E30" s="66">
        <v>8887.3799999999992</v>
      </c>
      <c r="F30" s="66">
        <v>6113</v>
      </c>
      <c r="G30" s="66">
        <v>5628</v>
      </c>
      <c r="H30" s="66">
        <v>5667</v>
      </c>
      <c r="I30" s="66">
        <v>11677</v>
      </c>
      <c r="J30" s="66">
        <v>11717</v>
      </c>
      <c r="K30" s="66">
        <v>13339</v>
      </c>
      <c r="L30" s="66">
        <v>10798</v>
      </c>
      <c r="M30" s="66">
        <v>7003</v>
      </c>
      <c r="N30" s="66">
        <v>5482</v>
      </c>
      <c r="O30" s="66">
        <v>5010</v>
      </c>
      <c r="P30" s="66">
        <v>6050</v>
      </c>
      <c r="Q30" s="66">
        <v>5426</v>
      </c>
      <c r="R30" s="295" t="s">
        <v>152</v>
      </c>
    </row>
    <row r="31" spans="1:18" s="63" customFormat="1" ht="15.6" x14ac:dyDescent="0.3">
      <c r="A31" s="75" t="s">
        <v>34</v>
      </c>
      <c r="B31" s="170">
        <v>8107.04</v>
      </c>
      <c r="C31" s="67">
        <v>7001</v>
      </c>
      <c r="D31" s="66">
        <v>7810.99</v>
      </c>
      <c r="E31" s="66">
        <v>9048.2999999999993</v>
      </c>
      <c r="F31" s="66" t="s">
        <v>35</v>
      </c>
      <c r="G31" s="66">
        <v>4763</v>
      </c>
      <c r="H31" s="66">
        <v>6170</v>
      </c>
      <c r="I31" s="66">
        <v>6901</v>
      </c>
      <c r="J31" s="66">
        <v>7924</v>
      </c>
      <c r="K31" s="66">
        <v>9506</v>
      </c>
      <c r="L31" s="66">
        <v>11262</v>
      </c>
      <c r="M31" s="66">
        <v>5141</v>
      </c>
      <c r="N31" s="66">
        <v>4396</v>
      </c>
      <c r="O31" s="66">
        <v>5496</v>
      </c>
      <c r="P31" s="66">
        <v>-289</v>
      </c>
      <c r="Q31" s="66">
        <v>8604</v>
      </c>
      <c r="R31" s="295" t="s">
        <v>152</v>
      </c>
    </row>
    <row r="32" spans="1:18" s="63" customFormat="1" ht="16.2" thickBot="1" x14ac:dyDescent="0.35">
      <c r="A32" s="88" t="s">
        <v>36</v>
      </c>
      <c r="B32" s="87">
        <v>4010</v>
      </c>
      <c r="C32" s="72">
        <v>6938.57</v>
      </c>
      <c r="D32" s="72">
        <v>11170.01</v>
      </c>
      <c r="E32" s="72">
        <v>7886.25</v>
      </c>
      <c r="F32" s="72">
        <v>12925</v>
      </c>
      <c r="G32" s="71">
        <v>5448</v>
      </c>
      <c r="H32" s="71">
        <v>10692</v>
      </c>
      <c r="I32" s="71">
        <v>12230</v>
      </c>
      <c r="J32" s="71">
        <v>11016</v>
      </c>
      <c r="K32" s="71">
        <v>19208</v>
      </c>
      <c r="L32" s="71">
        <v>12162</v>
      </c>
      <c r="M32" s="71">
        <v>4747</v>
      </c>
      <c r="N32" s="71">
        <v>4656</v>
      </c>
      <c r="O32" s="71">
        <v>4027</v>
      </c>
      <c r="P32" s="71">
        <v>3739</v>
      </c>
      <c r="Q32" s="71">
        <v>5861</v>
      </c>
      <c r="R32" s="292" t="s">
        <v>152</v>
      </c>
    </row>
    <row r="33" spans="1:18" s="63" customFormat="1" ht="16.2" thickTop="1" x14ac:dyDescent="0.3">
      <c r="A33" s="89" t="s">
        <v>37</v>
      </c>
      <c r="B33" s="277">
        <f>SUM(B21:B32)</f>
        <v>65064.08</v>
      </c>
      <c r="C33" s="273">
        <f t="shared" ref="C33:I33" si="3">SUM(C21:C32)</f>
        <v>90022.59</v>
      </c>
      <c r="D33" s="273">
        <f t="shared" si="3"/>
        <v>107128.18000000001</v>
      </c>
      <c r="E33" s="273">
        <f t="shared" si="3"/>
        <v>93489.510000000009</v>
      </c>
      <c r="F33" s="273">
        <f t="shared" si="3"/>
        <v>82385.600000000006</v>
      </c>
      <c r="G33" s="273">
        <f t="shared" si="3"/>
        <v>110942</v>
      </c>
      <c r="H33" s="273">
        <f t="shared" si="3"/>
        <v>101106</v>
      </c>
      <c r="I33" s="273">
        <f t="shared" si="3"/>
        <v>106746</v>
      </c>
      <c r="J33" s="273">
        <f t="shared" ref="J33:P33" si="4">SUM(J21:J32)</f>
        <v>123339</v>
      </c>
      <c r="K33" s="273">
        <f t="shared" si="4"/>
        <v>144269</v>
      </c>
      <c r="L33" s="273">
        <f t="shared" si="4"/>
        <v>169132</v>
      </c>
      <c r="M33" s="273">
        <f t="shared" si="4"/>
        <v>66962</v>
      </c>
      <c r="N33" s="273">
        <f t="shared" si="4"/>
        <v>40940</v>
      </c>
      <c r="O33" s="273">
        <f t="shared" si="4"/>
        <v>67485</v>
      </c>
      <c r="P33" s="273">
        <f t="shared" si="4"/>
        <v>42622</v>
      </c>
      <c r="Q33" s="273">
        <f t="shared" ref="Q33:R33" si="5">SUM(Q21:Q32)</f>
        <v>68090</v>
      </c>
      <c r="R33" s="288">
        <f t="shared" si="5"/>
        <v>37199</v>
      </c>
    </row>
    <row r="34" spans="1:18" s="113" customFormat="1" ht="6.6" x14ac:dyDescent="0.3">
      <c r="A34" s="371" t="s">
        <v>174</v>
      </c>
      <c r="B34" s="371"/>
      <c r="C34" s="371"/>
      <c r="D34" s="371"/>
      <c r="E34" s="371"/>
      <c r="F34" s="371"/>
      <c r="G34" s="371"/>
      <c r="H34" s="371"/>
      <c r="I34" s="371"/>
      <c r="J34" s="371"/>
      <c r="K34" s="371"/>
      <c r="L34" s="371"/>
      <c r="M34" s="371"/>
      <c r="N34" s="371"/>
      <c r="O34" s="371"/>
      <c r="P34" s="371"/>
      <c r="Q34" s="371"/>
      <c r="R34" s="371"/>
    </row>
    <row r="35" spans="1:18" s="106" customFormat="1" ht="18" x14ac:dyDescent="0.3">
      <c r="A35" s="370" t="s">
        <v>122</v>
      </c>
      <c r="B35" s="370"/>
      <c r="C35" s="370"/>
      <c r="D35" s="370"/>
      <c r="E35" s="370"/>
      <c r="F35" s="370"/>
      <c r="G35" s="370"/>
      <c r="H35" s="370"/>
      <c r="I35" s="370"/>
      <c r="J35" s="370"/>
      <c r="K35" s="370"/>
      <c r="L35" s="370"/>
      <c r="M35" s="370"/>
      <c r="N35" s="370"/>
      <c r="O35" s="370"/>
      <c r="P35" s="370"/>
      <c r="Q35" s="370"/>
      <c r="R35" s="370"/>
    </row>
    <row r="36" spans="1:18" s="63" customFormat="1" ht="15.6" x14ac:dyDescent="0.3">
      <c r="A36" s="77" t="s">
        <v>23</v>
      </c>
      <c r="B36" s="91">
        <v>2004</v>
      </c>
      <c r="C36" s="64">
        <v>2005</v>
      </c>
      <c r="D36" s="64">
        <v>2006</v>
      </c>
      <c r="E36" s="64">
        <v>2007</v>
      </c>
      <c r="F36" s="64">
        <v>2008</v>
      </c>
      <c r="G36" s="64">
        <v>2009</v>
      </c>
      <c r="H36" s="64">
        <v>2010</v>
      </c>
      <c r="I36" s="64">
        <v>2011</v>
      </c>
      <c r="J36" s="65">
        <v>2012</v>
      </c>
      <c r="K36" s="65">
        <v>2013</v>
      </c>
      <c r="L36" s="65">
        <v>2014</v>
      </c>
      <c r="M36" s="65">
        <v>2015</v>
      </c>
      <c r="N36" s="65">
        <v>2016</v>
      </c>
      <c r="O36" s="65">
        <v>2017</v>
      </c>
      <c r="P36" s="65">
        <v>2018</v>
      </c>
      <c r="Q36" s="65">
        <v>2019</v>
      </c>
      <c r="R36" s="49">
        <v>2020</v>
      </c>
    </row>
    <row r="37" spans="1:18" s="63" customFormat="1" ht="15.6" x14ac:dyDescent="0.3">
      <c r="A37" s="76" t="s">
        <v>24</v>
      </c>
      <c r="B37" s="108" t="s">
        <v>152</v>
      </c>
      <c r="C37" s="107" t="s">
        <v>152</v>
      </c>
      <c r="D37" s="83" t="s">
        <v>152</v>
      </c>
      <c r="E37" s="83" t="s">
        <v>152</v>
      </c>
      <c r="F37" s="83" t="s">
        <v>152</v>
      </c>
      <c r="G37" s="271">
        <v>-90</v>
      </c>
      <c r="H37" s="271">
        <v>-12034</v>
      </c>
      <c r="I37" s="271">
        <v>-13</v>
      </c>
      <c r="J37" s="271">
        <v>-8017</v>
      </c>
      <c r="K37" s="271">
        <v>-11336</v>
      </c>
      <c r="L37" s="271">
        <v>-2</v>
      </c>
      <c r="M37" s="271">
        <v>0</v>
      </c>
      <c r="N37" s="271">
        <v>0</v>
      </c>
      <c r="O37" s="271">
        <v>0</v>
      </c>
      <c r="P37" s="271">
        <v>-2563</v>
      </c>
      <c r="Q37" s="271">
        <v>0</v>
      </c>
      <c r="R37" s="286">
        <v>0</v>
      </c>
    </row>
    <row r="38" spans="1:18" s="63" customFormat="1" ht="15.6" x14ac:dyDescent="0.3">
      <c r="A38" s="75" t="s">
        <v>25</v>
      </c>
      <c r="B38" s="170" t="s">
        <v>152</v>
      </c>
      <c r="C38" s="67" t="s">
        <v>152</v>
      </c>
      <c r="D38" s="66" t="s">
        <v>152</v>
      </c>
      <c r="E38" s="66" t="s">
        <v>152</v>
      </c>
      <c r="F38" s="66" t="s">
        <v>152</v>
      </c>
      <c r="G38" s="66">
        <v>-1597</v>
      </c>
      <c r="H38" s="66">
        <v>0</v>
      </c>
      <c r="I38" s="66">
        <v>-9200</v>
      </c>
      <c r="J38" s="66">
        <v>-551</v>
      </c>
      <c r="K38" s="66">
        <v>-18707</v>
      </c>
      <c r="L38" s="66">
        <v>-1879</v>
      </c>
      <c r="M38" s="66">
        <v>-2040</v>
      </c>
      <c r="N38" s="66">
        <v>-248</v>
      </c>
      <c r="O38" s="66">
        <v>0</v>
      </c>
      <c r="P38" s="66">
        <v>-19152</v>
      </c>
      <c r="Q38" s="66">
        <v>-27</v>
      </c>
      <c r="R38" s="287">
        <v>-662</v>
      </c>
    </row>
    <row r="39" spans="1:18" s="63" customFormat="1" ht="15.6" x14ac:dyDescent="0.3">
      <c r="A39" s="75" t="s">
        <v>26</v>
      </c>
      <c r="B39" s="170" t="s">
        <v>152</v>
      </c>
      <c r="C39" s="67" t="s">
        <v>152</v>
      </c>
      <c r="D39" s="66" t="s">
        <v>152</v>
      </c>
      <c r="E39" s="66" t="s">
        <v>152</v>
      </c>
      <c r="F39" s="66" t="s">
        <v>152</v>
      </c>
      <c r="G39" s="66">
        <v>-36840</v>
      </c>
      <c r="H39" s="66">
        <v>-8135</v>
      </c>
      <c r="I39" s="66">
        <v>-32</v>
      </c>
      <c r="J39" s="66">
        <v>-15</v>
      </c>
      <c r="K39" s="66">
        <v>0</v>
      </c>
      <c r="L39" s="66">
        <v>-3478</v>
      </c>
      <c r="M39" s="66">
        <v>-1844</v>
      </c>
      <c r="N39" s="66">
        <v>-16991</v>
      </c>
      <c r="O39" s="66">
        <v>-11</v>
      </c>
      <c r="P39" s="66">
        <v>-2805</v>
      </c>
      <c r="Q39" s="66">
        <v>-15329</v>
      </c>
      <c r="R39" s="287">
        <v>-7112</v>
      </c>
    </row>
    <row r="40" spans="1:18" s="63" customFormat="1" ht="15.6" x14ac:dyDescent="0.3">
      <c r="A40" s="75" t="s">
        <v>27</v>
      </c>
      <c r="B40" s="170" t="s">
        <v>152</v>
      </c>
      <c r="C40" s="67" t="s">
        <v>152</v>
      </c>
      <c r="D40" s="66" t="s">
        <v>152</v>
      </c>
      <c r="E40" s="66" t="s">
        <v>152</v>
      </c>
      <c r="F40" s="66" t="s">
        <v>152</v>
      </c>
      <c r="G40" s="66">
        <v>-183</v>
      </c>
      <c r="H40" s="66">
        <v>0</v>
      </c>
      <c r="I40" s="66">
        <v>0</v>
      </c>
      <c r="J40" s="66">
        <v>-6115</v>
      </c>
      <c r="K40" s="66">
        <v>-1828</v>
      </c>
      <c r="L40" s="66">
        <v>-303</v>
      </c>
      <c r="M40" s="66">
        <v>-258</v>
      </c>
      <c r="N40" s="66">
        <v>-307</v>
      </c>
      <c r="O40" s="66">
        <v>-2</v>
      </c>
      <c r="P40" s="66">
        <v>-778</v>
      </c>
      <c r="Q40" s="66">
        <v>-3542</v>
      </c>
      <c r="R40" s="287">
        <v>198</v>
      </c>
    </row>
    <row r="41" spans="1:18" s="63" customFormat="1" ht="15.6" x14ac:dyDescent="0.3">
      <c r="A41" s="75" t="s">
        <v>28</v>
      </c>
      <c r="B41" s="170" t="s">
        <v>152</v>
      </c>
      <c r="C41" s="67" t="s">
        <v>152</v>
      </c>
      <c r="D41" s="66" t="s">
        <v>152</v>
      </c>
      <c r="E41" s="66" t="s">
        <v>152</v>
      </c>
      <c r="F41" s="66" t="s">
        <v>152</v>
      </c>
      <c r="G41" s="66">
        <v>-1</v>
      </c>
      <c r="H41" s="66">
        <v>-1</v>
      </c>
      <c r="I41" s="66">
        <v>0</v>
      </c>
      <c r="J41" s="66">
        <v>0</v>
      </c>
      <c r="K41" s="66">
        <v>-951</v>
      </c>
      <c r="L41" s="66">
        <v>-678</v>
      </c>
      <c r="M41" s="66">
        <v>-2136</v>
      </c>
      <c r="N41" s="66">
        <v>-1</v>
      </c>
      <c r="O41" s="66">
        <v>0</v>
      </c>
      <c r="P41" s="66">
        <v>0</v>
      </c>
      <c r="Q41" s="66">
        <v>-6575</v>
      </c>
      <c r="R41" s="287">
        <v>-139</v>
      </c>
    </row>
    <row r="42" spans="1:18" s="63" customFormat="1" ht="15.6" x14ac:dyDescent="0.3">
      <c r="A42" s="75" t="s">
        <v>29</v>
      </c>
      <c r="B42" s="170" t="s">
        <v>152</v>
      </c>
      <c r="C42" s="67" t="s">
        <v>152</v>
      </c>
      <c r="D42" s="66" t="s">
        <v>152</v>
      </c>
      <c r="E42" s="66" t="s">
        <v>152</v>
      </c>
      <c r="F42" s="66" t="s">
        <v>152</v>
      </c>
      <c r="G42" s="66">
        <v>0</v>
      </c>
      <c r="H42" s="66">
        <v>-869</v>
      </c>
      <c r="I42" s="66">
        <v>-15519</v>
      </c>
      <c r="J42" s="66">
        <v>-27</v>
      </c>
      <c r="K42" s="66">
        <v>-12</v>
      </c>
      <c r="L42" s="66">
        <v>-4</v>
      </c>
      <c r="M42" s="66">
        <v>-12995</v>
      </c>
      <c r="N42" s="66">
        <v>-908</v>
      </c>
      <c r="O42" s="66">
        <v>-1515</v>
      </c>
      <c r="P42" s="66">
        <v>-424</v>
      </c>
      <c r="Q42" s="66">
        <v>0</v>
      </c>
      <c r="R42" s="287">
        <v>-8425</v>
      </c>
    </row>
    <row r="43" spans="1:18" s="63" customFormat="1" ht="15.6" x14ac:dyDescent="0.3">
      <c r="A43" s="75" t="s">
        <v>30</v>
      </c>
      <c r="B43" s="170" t="s">
        <v>152</v>
      </c>
      <c r="C43" s="67" t="s">
        <v>152</v>
      </c>
      <c r="D43" s="66" t="s">
        <v>152</v>
      </c>
      <c r="E43" s="66" t="s">
        <v>152</v>
      </c>
      <c r="F43" s="66" t="s">
        <v>152</v>
      </c>
      <c r="G43" s="66">
        <v>-119</v>
      </c>
      <c r="H43" s="66">
        <v>0</v>
      </c>
      <c r="I43" s="66">
        <v>-1110</v>
      </c>
      <c r="J43" s="66">
        <v>-31</v>
      </c>
      <c r="K43" s="66">
        <v>-86</v>
      </c>
      <c r="L43" s="66">
        <v>-14</v>
      </c>
      <c r="M43" s="66">
        <v>-23</v>
      </c>
      <c r="N43" s="66">
        <v>-79601</v>
      </c>
      <c r="O43" s="66">
        <v>-368</v>
      </c>
      <c r="P43" s="66">
        <v>0</v>
      </c>
      <c r="Q43" s="66">
        <v>0</v>
      </c>
      <c r="R43" s="295" t="s">
        <v>152</v>
      </c>
    </row>
    <row r="44" spans="1:18" s="63" customFormat="1" ht="15.6" x14ac:dyDescent="0.3">
      <c r="A44" s="75" t="s">
        <v>31</v>
      </c>
      <c r="B44" s="170" t="s">
        <v>152</v>
      </c>
      <c r="C44" s="67" t="s">
        <v>152</v>
      </c>
      <c r="D44" s="66" t="s">
        <v>152</v>
      </c>
      <c r="E44" s="66" t="s">
        <v>152</v>
      </c>
      <c r="F44" s="66" t="s">
        <v>152</v>
      </c>
      <c r="G44" s="66">
        <v>-27530</v>
      </c>
      <c r="H44" s="66">
        <v>0</v>
      </c>
      <c r="I44" s="66">
        <v>-13781</v>
      </c>
      <c r="J44" s="66">
        <v>-331</v>
      </c>
      <c r="K44" s="66">
        <v>-446</v>
      </c>
      <c r="L44" s="66">
        <v>-131</v>
      </c>
      <c r="M44" s="66">
        <v>-3811</v>
      </c>
      <c r="N44" s="66">
        <v>0</v>
      </c>
      <c r="O44" s="66">
        <v>-18</v>
      </c>
      <c r="P44" s="66">
        <v>-9699</v>
      </c>
      <c r="Q44" s="66">
        <v>0</v>
      </c>
      <c r="R44" s="295" t="s">
        <v>152</v>
      </c>
    </row>
    <row r="45" spans="1:18" s="63" customFormat="1" ht="15.6" x14ac:dyDescent="0.3">
      <c r="A45" s="75" t="s">
        <v>32</v>
      </c>
      <c r="B45" s="170" t="s">
        <v>152</v>
      </c>
      <c r="C45" s="67" t="s">
        <v>152</v>
      </c>
      <c r="D45" s="66" t="s">
        <v>152</v>
      </c>
      <c r="E45" s="66" t="s">
        <v>152</v>
      </c>
      <c r="F45" s="66" t="s">
        <v>152</v>
      </c>
      <c r="G45" s="66">
        <v>0</v>
      </c>
      <c r="H45" s="66">
        <v>0</v>
      </c>
      <c r="I45" s="66">
        <v>-1576</v>
      </c>
      <c r="J45" s="66">
        <v>-18474</v>
      </c>
      <c r="K45" s="66">
        <v>-2682</v>
      </c>
      <c r="L45" s="66">
        <v>0</v>
      </c>
      <c r="M45" s="66">
        <v>-38154</v>
      </c>
      <c r="N45" s="66">
        <v>-1903</v>
      </c>
      <c r="O45" s="66">
        <v>0</v>
      </c>
      <c r="P45" s="66">
        <v>0</v>
      </c>
      <c r="Q45" s="66">
        <v>0</v>
      </c>
      <c r="R45" s="295" t="s">
        <v>152</v>
      </c>
    </row>
    <row r="46" spans="1:18" s="63" customFormat="1" ht="15.6" x14ac:dyDescent="0.3">
      <c r="A46" s="75" t="s">
        <v>33</v>
      </c>
      <c r="B46" s="170" t="s">
        <v>152</v>
      </c>
      <c r="C46" s="67" t="s">
        <v>152</v>
      </c>
      <c r="D46" s="66" t="s">
        <v>152</v>
      </c>
      <c r="E46" s="66" t="s">
        <v>152</v>
      </c>
      <c r="F46" s="66" t="s">
        <v>152</v>
      </c>
      <c r="G46" s="66">
        <v>-173</v>
      </c>
      <c r="H46" s="66">
        <v>-3</v>
      </c>
      <c r="I46" s="66">
        <v>-4</v>
      </c>
      <c r="J46" s="66">
        <v>-6</v>
      </c>
      <c r="K46" s="66">
        <v>44</v>
      </c>
      <c r="L46" s="66">
        <v>-682</v>
      </c>
      <c r="M46" s="66">
        <v>-9</v>
      </c>
      <c r="N46" s="66">
        <v>-146</v>
      </c>
      <c r="O46" s="66">
        <v>0</v>
      </c>
      <c r="P46" s="66">
        <v>0</v>
      </c>
      <c r="Q46" s="66">
        <v>0</v>
      </c>
      <c r="R46" s="295" t="s">
        <v>152</v>
      </c>
    </row>
    <row r="47" spans="1:18" s="63" customFormat="1" ht="15.6" x14ac:dyDescent="0.3">
      <c r="A47" s="75" t="s">
        <v>34</v>
      </c>
      <c r="B47" s="170" t="s">
        <v>152</v>
      </c>
      <c r="C47" s="67" t="s">
        <v>152</v>
      </c>
      <c r="D47" s="66" t="s">
        <v>152</v>
      </c>
      <c r="E47" s="66" t="s">
        <v>152</v>
      </c>
      <c r="F47" s="66" t="s">
        <v>152</v>
      </c>
      <c r="G47" s="66">
        <v>-14</v>
      </c>
      <c r="H47" s="66">
        <v>-15484</v>
      </c>
      <c r="I47" s="66">
        <v>-85</v>
      </c>
      <c r="J47" s="66">
        <v>-1088</v>
      </c>
      <c r="K47" s="66">
        <v>-17312</v>
      </c>
      <c r="L47" s="66">
        <v>0</v>
      </c>
      <c r="M47" s="66">
        <v>0</v>
      </c>
      <c r="N47" s="66">
        <v>0</v>
      </c>
      <c r="O47" s="66">
        <v>0</v>
      </c>
      <c r="P47" s="66">
        <v>-1215</v>
      </c>
      <c r="Q47" s="66">
        <v>-293</v>
      </c>
      <c r="R47" s="295" t="s">
        <v>152</v>
      </c>
    </row>
    <row r="48" spans="1:18" s="63" customFormat="1" ht="16.2" thickBot="1" x14ac:dyDescent="0.35">
      <c r="A48" s="88" t="s">
        <v>36</v>
      </c>
      <c r="B48" s="87" t="s">
        <v>152</v>
      </c>
      <c r="C48" s="72" t="s">
        <v>152</v>
      </c>
      <c r="D48" s="72" t="s">
        <v>152</v>
      </c>
      <c r="E48" s="72" t="s">
        <v>152</v>
      </c>
      <c r="F48" s="274">
        <v>-92</v>
      </c>
      <c r="G48" s="71">
        <v>-2217</v>
      </c>
      <c r="H48" s="71">
        <v>-18</v>
      </c>
      <c r="I48" s="71">
        <v>-2697</v>
      </c>
      <c r="J48" s="71">
        <v>-53</v>
      </c>
      <c r="K48" s="71">
        <v>-459</v>
      </c>
      <c r="L48" s="71">
        <v>-19732</v>
      </c>
      <c r="M48" s="71">
        <v>-9795</v>
      </c>
      <c r="N48" s="71">
        <v>-238</v>
      </c>
      <c r="O48" s="71">
        <v>-152</v>
      </c>
      <c r="P48" s="71">
        <v>0</v>
      </c>
      <c r="Q48" s="71">
        <v>0</v>
      </c>
      <c r="R48" s="292" t="s">
        <v>152</v>
      </c>
    </row>
    <row r="49" spans="1:18" s="63" customFormat="1" ht="16.2" thickTop="1" x14ac:dyDescent="0.3">
      <c r="A49" s="89" t="s">
        <v>37</v>
      </c>
      <c r="B49" s="90" t="s">
        <v>152</v>
      </c>
      <c r="C49" s="73" t="s">
        <v>152</v>
      </c>
      <c r="D49" s="73" t="s">
        <v>152</v>
      </c>
      <c r="E49" s="73" t="s">
        <v>152</v>
      </c>
      <c r="F49" s="273">
        <f t="shared" ref="F49:P49" si="6">SUM(F37:F48)</f>
        <v>-92</v>
      </c>
      <c r="G49" s="273">
        <f t="shared" si="6"/>
        <v>-68764</v>
      </c>
      <c r="H49" s="273">
        <f t="shared" si="6"/>
        <v>-36544</v>
      </c>
      <c r="I49" s="273">
        <f t="shared" si="6"/>
        <v>-44017</v>
      </c>
      <c r="J49" s="273">
        <f t="shared" si="6"/>
        <v>-34708</v>
      </c>
      <c r="K49" s="273">
        <f t="shared" si="6"/>
        <v>-53775</v>
      </c>
      <c r="L49" s="273">
        <f t="shared" si="6"/>
        <v>-26903</v>
      </c>
      <c r="M49" s="273">
        <f t="shared" si="6"/>
        <v>-71065</v>
      </c>
      <c r="N49" s="273">
        <f t="shared" si="6"/>
        <v>-100343</v>
      </c>
      <c r="O49" s="273">
        <f t="shared" si="6"/>
        <v>-2066</v>
      </c>
      <c r="P49" s="273">
        <f t="shared" si="6"/>
        <v>-36636</v>
      </c>
      <c r="Q49" s="273">
        <f t="shared" ref="Q49:R49" si="7">SUM(Q37:Q48)</f>
        <v>-25766</v>
      </c>
      <c r="R49" s="288">
        <f t="shared" si="7"/>
        <v>-16140</v>
      </c>
    </row>
    <row r="50" spans="1:18" s="113" customFormat="1" ht="6.6" x14ac:dyDescent="0.3">
      <c r="A50" s="371" t="s">
        <v>174</v>
      </c>
      <c r="B50" s="371"/>
      <c r="C50" s="371"/>
      <c r="D50" s="371"/>
      <c r="E50" s="371"/>
      <c r="F50" s="371"/>
      <c r="G50" s="371"/>
      <c r="H50" s="371"/>
      <c r="I50" s="371"/>
      <c r="J50" s="371"/>
      <c r="K50" s="371"/>
      <c r="L50" s="371"/>
      <c r="M50" s="371"/>
      <c r="N50" s="371"/>
      <c r="O50" s="371"/>
      <c r="P50" s="371"/>
      <c r="Q50" s="371"/>
      <c r="R50" s="371"/>
    </row>
    <row r="51" spans="1:18" s="111" customFormat="1" ht="13.8" x14ac:dyDescent="0.3">
      <c r="A51" s="388" t="s">
        <v>39</v>
      </c>
      <c r="B51" s="388"/>
      <c r="C51" s="388"/>
      <c r="D51" s="388"/>
      <c r="E51" s="388"/>
      <c r="F51" s="388"/>
      <c r="G51" s="388"/>
      <c r="H51" s="388"/>
      <c r="I51" s="388"/>
      <c r="J51" s="388"/>
      <c r="K51" s="388"/>
      <c r="L51" s="388"/>
      <c r="M51" s="388"/>
      <c r="N51" s="388"/>
      <c r="O51" s="388"/>
      <c r="P51" s="388"/>
      <c r="Q51" s="388"/>
      <c r="R51" s="388"/>
    </row>
    <row r="52" spans="1:18" s="111" customFormat="1" ht="13.8" x14ac:dyDescent="0.3">
      <c r="A52" s="384" t="str">
        <f>'Local SUT'!A60</f>
        <v>Source:  Minnesota Department of Revenue, Tax Research Division, February 2021</v>
      </c>
      <c r="B52" s="384"/>
      <c r="C52" s="384"/>
      <c r="D52" s="384"/>
      <c r="E52" s="384"/>
      <c r="F52" s="384"/>
      <c r="G52" s="384"/>
      <c r="H52" s="384"/>
      <c r="I52" s="384"/>
      <c r="J52" s="384"/>
      <c r="K52" s="384"/>
      <c r="L52" s="384"/>
      <c r="M52" s="384"/>
      <c r="N52" s="384"/>
      <c r="O52" s="384"/>
      <c r="P52" s="384"/>
      <c r="Q52" s="384"/>
      <c r="R52" s="384"/>
    </row>
    <row r="53" spans="1:18" s="111" customFormat="1" ht="13.8" x14ac:dyDescent="0.3">
      <c r="A53" s="379" t="s">
        <v>151</v>
      </c>
      <c r="B53" s="379"/>
      <c r="C53" s="379"/>
      <c r="D53" s="379"/>
      <c r="E53" s="379"/>
      <c r="F53" s="379"/>
      <c r="G53" s="379"/>
      <c r="H53" s="379"/>
      <c r="I53" s="379"/>
      <c r="J53" s="379"/>
      <c r="K53" s="379"/>
      <c r="L53" s="379"/>
      <c r="M53" s="379"/>
      <c r="N53" s="379"/>
      <c r="O53" s="379"/>
      <c r="P53" s="379"/>
      <c r="Q53" s="379"/>
      <c r="R53" s="379"/>
    </row>
    <row r="54" spans="1:18" x14ac:dyDescent="0.3">
      <c r="R54" s="117"/>
    </row>
  </sheetData>
  <mergeCells count="11">
    <mergeCell ref="A53:R53"/>
    <mergeCell ref="A34:R34"/>
    <mergeCell ref="A35:R35"/>
    <mergeCell ref="A50:R50"/>
    <mergeCell ref="A51:R51"/>
    <mergeCell ref="A52:R52"/>
    <mergeCell ref="A1:R1"/>
    <mergeCell ref="A2:R2"/>
    <mergeCell ref="A3:R3"/>
    <mergeCell ref="A18:R18"/>
    <mergeCell ref="A19:R19"/>
  </mergeCells>
  <pageMargins left="0" right="0" top="0.75" bottom="0.75" header="0.3" footer="0.3"/>
  <pageSetup scale="70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19">
    <pageSetUpPr fitToPage="1"/>
  </sheetPr>
  <dimension ref="A1:R54"/>
  <sheetViews>
    <sheetView showGridLines="0" workbookViewId="0">
      <pane ySplit="1" topLeftCell="A2" activePane="bottomLeft" state="frozen"/>
      <selection pane="bottomLeft" sqref="A1:R1"/>
    </sheetView>
  </sheetViews>
  <sheetFormatPr defaultColWidth="12.5546875" defaultRowHeight="14.4" x14ac:dyDescent="0.3"/>
  <cols>
    <col min="1" max="1" width="12.5546875" style="173"/>
    <col min="2" max="5" width="13.5546875" style="173" hidden="1" customWidth="1"/>
    <col min="6" max="17" width="13.5546875" style="173" customWidth="1"/>
    <col min="18" max="18" width="13.5546875" style="145" customWidth="1"/>
    <col min="19" max="16384" width="12.5546875" style="173"/>
  </cols>
  <sheetData>
    <row r="1" spans="1:18" s="112" customFormat="1" ht="21" x14ac:dyDescent="0.3">
      <c r="A1" s="380" t="s">
        <v>210</v>
      </c>
      <c r="B1" s="380"/>
      <c r="C1" s="380"/>
      <c r="D1" s="380"/>
      <c r="E1" s="380"/>
      <c r="F1" s="380"/>
      <c r="G1" s="380"/>
      <c r="H1" s="380"/>
      <c r="I1" s="380"/>
      <c r="J1" s="380"/>
      <c r="K1" s="380"/>
      <c r="L1" s="380"/>
      <c r="M1" s="380"/>
      <c r="N1" s="380"/>
      <c r="O1" s="380"/>
      <c r="P1" s="380"/>
      <c r="Q1" s="380"/>
      <c r="R1" s="380"/>
    </row>
    <row r="2" spans="1:18" s="106" customFormat="1" ht="18" x14ac:dyDescent="0.3">
      <c r="A2" s="381" t="str">
        <f>'Local SUT'!A2</f>
        <v>CY 2004-2020</v>
      </c>
      <c r="B2" s="381"/>
      <c r="C2" s="381"/>
      <c r="D2" s="381"/>
      <c r="E2" s="381"/>
      <c r="F2" s="381"/>
      <c r="G2" s="381"/>
      <c r="H2" s="381"/>
      <c r="I2" s="381"/>
      <c r="J2" s="381"/>
      <c r="K2" s="381"/>
      <c r="L2" s="381"/>
      <c r="M2" s="381"/>
      <c r="N2" s="381"/>
      <c r="O2" s="381"/>
      <c r="P2" s="381"/>
      <c r="Q2" s="381"/>
      <c r="R2" s="381"/>
    </row>
    <row r="3" spans="1:18" s="106" customFormat="1" ht="18" x14ac:dyDescent="0.3">
      <c r="A3" s="385" t="s">
        <v>58</v>
      </c>
      <c r="B3" s="385"/>
      <c r="C3" s="385"/>
      <c r="D3" s="385"/>
      <c r="E3" s="385"/>
      <c r="F3" s="385"/>
      <c r="G3" s="385"/>
      <c r="H3" s="385"/>
      <c r="I3" s="385"/>
      <c r="J3" s="385"/>
      <c r="K3" s="385"/>
      <c r="L3" s="385"/>
      <c r="M3" s="385"/>
      <c r="N3" s="385"/>
      <c r="O3" s="385"/>
      <c r="P3" s="385"/>
      <c r="Q3" s="385"/>
      <c r="R3" s="145"/>
    </row>
    <row r="4" spans="1:18" s="63" customFormat="1" ht="15.6" x14ac:dyDescent="0.3">
      <c r="A4" s="172" t="s">
        <v>23</v>
      </c>
      <c r="B4" s="91">
        <v>2004</v>
      </c>
      <c r="C4" s="64">
        <v>2005</v>
      </c>
      <c r="D4" s="64">
        <v>2006</v>
      </c>
      <c r="E4" s="64">
        <v>2007</v>
      </c>
      <c r="F4" s="64">
        <v>2008</v>
      </c>
      <c r="G4" s="64">
        <v>2009</v>
      </c>
      <c r="H4" s="64">
        <v>2010</v>
      </c>
      <c r="I4" s="64">
        <v>2011</v>
      </c>
      <c r="J4" s="65">
        <v>2012</v>
      </c>
      <c r="K4" s="65">
        <v>2013</v>
      </c>
      <c r="L4" s="65">
        <v>2014</v>
      </c>
      <c r="M4" s="65">
        <v>2015</v>
      </c>
      <c r="N4" s="65">
        <v>2016</v>
      </c>
      <c r="O4" s="65">
        <v>2017</v>
      </c>
      <c r="P4" s="65">
        <v>2018</v>
      </c>
      <c r="Q4" s="65">
        <v>2019</v>
      </c>
      <c r="R4" s="49">
        <v>2020</v>
      </c>
    </row>
    <row r="5" spans="1:18" s="63" customFormat="1" ht="15.6" x14ac:dyDescent="0.3">
      <c r="A5" s="76" t="s">
        <v>24</v>
      </c>
      <c r="B5" s="108" t="s">
        <v>152</v>
      </c>
      <c r="C5" s="107" t="s">
        <v>152</v>
      </c>
      <c r="D5" s="107" t="s">
        <v>152</v>
      </c>
      <c r="E5" s="107" t="s">
        <v>152</v>
      </c>
      <c r="F5" s="107" t="s">
        <v>152</v>
      </c>
      <c r="G5" s="272">
        <v>35878</v>
      </c>
      <c r="H5" s="271">
        <v>35854</v>
      </c>
      <c r="I5" s="271">
        <v>37603</v>
      </c>
      <c r="J5" s="271">
        <v>36175</v>
      </c>
      <c r="K5" s="271">
        <v>42418</v>
      </c>
      <c r="L5" s="271">
        <v>53902</v>
      </c>
      <c r="M5" s="271">
        <v>54754</v>
      </c>
      <c r="N5" s="271">
        <v>51447</v>
      </c>
      <c r="O5" s="271">
        <v>55072</v>
      </c>
      <c r="P5" s="271">
        <v>54584</v>
      </c>
      <c r="Q5" s="271">
        <v>62536</v>
      </c>
      <c r="R5" s="286">
        <v>59933</v>
      </c>
    </row>
    <row r="6" spans="1:18" s="63" customFormat="1" ht="15.6" x14ac:dyDescent="0.3">
      <c r="A6" s="75" t="s">
        <v>25</v>
      </c>
      <c r="B6" s="170" t="s">
        <v>152</v>
      </c>
      <c r="C6" s="67" t="s">
        <v>152</v>
      </c>
      <c r="D6" s="67" t="s">
        <v>152</v>
      </c>
      <c r="E6" s="67" t="s">
        <v>152</v>
      </c>
      <c r="F6" s="66" t="s">
        <v>152</v>
      </c>
      <c r="G6" s="67">
        <v>24870</v>
      </c>
      <c r="H6" s="66">
        <v>29379</v>
      </c>
      <c r="I6" s="66">
        <v>32093</v>
      </c>
      <c r="J6" s="66">
        <v>32756</v>
      </c>
      <c r="K6" s="66">
        <v>43111</v>
      </c>
      <c r="L6" s="66">
        <v>40770</v>
      </c>
      <c r="M6" s="66">
        <v>46026</v>
      </c>
      <c r="N6" s="66">
        <v>43836</v>
      </c>
      <c r="O6" s="66">
        <v>40751</v>
      </c>
      <c r="P6" s="66">
        <v>40984</v>
      </c>
      <c r="Q6" s="66">
        <v>49635</v>
      </c>
      <c r="R6" s="287">
        <v>53466</v>
      </c>
    </row>
    <row r="7" spans="1:18" s="63" customFormat="1" ht="15.6" x14ac:dyDescent="0.3">
      <c r="A7" s="75" t="s">
        <v>26</v>
      </c>
      <c r="B7" s="170" t="s">
        <v>152</v>
      </c>
      <c r="C7" s="67" t="s">
        <v>152</v>
      </c>
      <c r="D7" s="67" t="s">
        <v>152</v>
      </c>
      <c r="E7" s="67" t="s">
        <v>152</v>
      </c>
      <c r="F7" s="66" t="s">
        <v>152</v>
      </c>
      <c r="G7" s="67">
        <v>23884</v>
      </c>
      <c r="H7" s="66">
        <v>28833</v>
      </c>
      <c r="I7" s="66">
        <v>30790</v>
      </c>
      <c r="J7" s="66">
        <v>32216</v>
      </c>
      <c r="K7" s="66">
        <v>36202</v>
      </c>
      <c r="L7" s="66">
        <v>38462</v>
      </c>
      <c r="M7" s="66">
        <v>40863</v>
      </c>
      <c r="N7" s="66">
        <v>44861</v>
      </c>
      <c r="O7" s="66">
        <v>40473</v>
      </c>
      <c r="P7" s="66">
        <v>42397</v>
      </c>
      <c r="Q7" s="66">
        <v>44226</v>
      </c>
      <c r="R7" s="287">
        <v>47399</v>
      </c>
    </row>
    <row r="8" spans="1:18" s="63" customFormat="1" ht="15.6" x14ac:dyDescent="0.3">
      <c r="A8" s="75" t="s">
        <v>27</v>
      </c>
      <c r="B8" s="170" t="s">
        <v>152</v>
      </c>
      <c r="C8" s="67" t="s">
        <v>152</v>
      </c>
      <c r="D8" s="67" t="s">
        <v>152</v>
      </c>
      <c r="E8" s="67" t="s">
        <v>152</v>
      </c>
      <c r="F8" s="66" t="s">
        <v>152</v>
      </c>
      <c r="G8" s="67">
        <v>27883</v>
      </c>
      <c r="H8" s="66">
        <v>32571</v>
      </c>
      <c r="I8" s="66">
        <v>32817</v>
      </c>
      <c r="J8" s="66">
        <v>42571</v>
      </c>
      <c r="K8" s="66">
        <v>40437</v>
      </c>
      <c r="L8" s="66">
        <v>43981</v>
      </c>
      <c r="M8" s="66">
        <v>49962</v>
      </c>
      <c r="N8" s="66">
        <v>48803</v>
      </c>
      <c r="O8" s="66">
        <v>46110</v>
      </c>
      <c r="P8" s="66">
        <v>48223</v>
      </c>
      <c r="Q8" s="66">
        <v>49627</v>
      </c>
      <c r="R8" s="287">
        <v>49728</v>
      </c>
    </row>
    <row r="9" spans="1:18" s="63" customFormat="1" ht="15.6" x14ac:dyDescent="0.3">
      <c r="A9" s="75" t="s">
        <v>28</v>
      </c>
      <c r="B9" s="170" t="s">
        <v>152</v>
      </c>
      <c r="C9" s="67" t="s">
        <v>152</v>
      </c>
      <c r="D9" s="67" t="s">
        <v>152</v>
      </c>
      <c r="E9" s="67" t="s">
        <v>152</v>
      </c>
      <c r="F9" s="66" t="s">
        <v>152</v>
      </c>
      <c r="G9" s="67">
        <v>26917</v>
      </c>
      <c r="H9" s="66">
        <v>30977</v>
      </c>
      <c r="I9" s="66">
        <v>34757</v>
      </c>
      <c r="J9" s="66">
        <v>37342</v>
      </c>
      <c r="K9" s="66">
        <v>42947</v>
      </c>
      <c r="L9" s="66">
        <v>43385</v>
      </c>
      <c r="M9" s="66">
        <v>66448</v>
      </c>
      <c r="N9" s="66">
        <v>48027</v>
      </c>
      <c r="O9" s="66">
        <v>46070</v>
      </c>
      <c r="P9" s="66">
        <v>46005</v>
      </c>
      <c r="Q9" s="66">
        <v>55997</v>
      </c>
      <c r="R9" s="287">
        <v>51623</v>
      </c>
    </row>
    <row r="10" spans="1:18" s="63" customFormat="1" ht="15.6" x14ac:dyDescent="0.3">
      <c r="A10" s="75" t="s">
        <v>29</v>
      </c>
      <c r="B10" s="170" t="s">
        <v>152</v>
      </c>
      <c r="C10" s="67" t="s">
        <v>152</v>
      </c>
      <c r="D10" s="67" t="s">
        <v>152</v>
      </c>
      <c r="E10" s="67" t="s">
        <v>152</v>
      </c>
      <c r="F10" s="66" t="s">
        <v>152</v>
      </c>
      <c r="G10" s="67">
        <v>26783</v>
      </c>
      <c r="H10" s="66">
        <v>31338</v>
      </c>
      <c r="I10" s="66">
        <v>36999</v>
      </c>
      <c r="J10" s="66">
        <v>45692</v>
      </c>
      <c r="K10" s="66">
        <v>46256</v>
      </c>
      <c r="L10" s="66">
        <v>44396</v>
      </c>
      <c r="M10" s="66">
        <v>49289</v>
      </c>
      <c r="N10" s="66">
        <v>52398</v>
      </c>
      <c r="O10" s="66">
        <v>50089</v>
      </c>
      <c r="P10" s="66">
        <v>55071</v>
      </c>
      <c r="Q10" s="66">
        <v>54593</v>
      </c>
      <c r="R10" s="287">
        <v>57436</v>
      </c>
    </row>
    <row r="11" spans="1:18" s="63" customFormat="1" ht="15.6" x14ac:dyDescent="0.3">
      <c r="A11" s="75" t="s">
        <v>30</v>
      </c>
      <c r="B11" s="170" t="s">
        <v>152</v>
      </c>
      <c r="C11" s="67" t="s">
        <v>152</v>
      </c>
      <c r="D11" s="67" t="s">
        <v>152</v>
      </c>
      <c r="E11" s="67" t="s">
        <v>152</v>
      </c>
      <c r="F11" s="66" t="s">
        <v>152</v>
      </c>
      <c r="G11" s="67">
        <v>24573</v>
      </c>
      <c r="H11" s="66">
        <v>30809</v>
      </c>
      <c r="I11" s="66">
        <v>30156</v>
      </c>
      <c r="J11" s="66">
        <v>37290</v>
      </c>
      <c r="K11" s="66">
        <v>38863</v>
      </c>
      <c r="L11" s="66">
        <v>45840</v>
      </c>
      <c r="M11" s="66">
        <v>41089</v>
      </c>
      <c r="N11" s="66">
        <v>49666</v>
      </c>
      <c r="O11" s="66">
        <v>51699</v>
      </c>
      <c r="P11" s="66">
        <v>51904</v>
      </c>
      <c r="Q11" s="66">
        <v>62464</v>
      </c>
      <c r="R11" s="291" t="s">
        <v>152</v>
      </c>
    </row>
    <row r="12" spans="1:18" s="63" customFormat="1" ht="15.6" x14ac:dyDescent="0.3">
      <c r="A12" s="75" t="s">
        <v>31</v>
      </c>
      <c r="B12" s="170" t="s">
        <v>152</v>
      </c>
      <c r="C12" s="67" t="s">
        <v>152</v>
      </c>
      <c r="D12" s="67" t="s">
        <v>152</v>
      </c>
      <c r="E12" s="67" t="s">
        <v>152</v>
      </c>
      <c r="F12" s="66" t="s">
        <v>152</v>
      </c>
      <c r="G12" s="67">
        <v>37306</v>
      </c>
      <c r="H12" s="66">
        <v>39264</v>
      </c>
      <c r="I12" s="66">
        <v>44871</v>
      </c>
      <c r="J12" s="66">
        <v>53755</v>
      </c>
      <c r="K12" s="66">
        <v>50411</v>
      </c>
      <c r="L12" s="66">
        <v>54140</v>
      </c>
      <c r="M12" s="66">
        <v>65136</v>
      </c>
      <c r="N12" s="66">
        <v>63183</v>
      </c>
      <c r="O12" s="66">
        <v>53198</v>
      </c>
      <c r="P12" s="66">
        <v>60237</v>
      </c>
      <c r="Q12" s="66">
        <v>61298</v>
      </c>
      <c r="R12" s="295" t="s">
        <v>152</v>
      </c>
    </row>
    <row r="13" spans="1:18" s="63" customFormat="1" ht="15.6" x14ac:dyDescent="0.3">
      <c r="A13" s="75" t="s">
        <v>32</v>
      </c>
      <c r="B13" s="170" t="s">
        <v>152</v>
      </c>
      <c r="C13" s="67" t="s">
        <v>152</v>
      </c>
      <c r="D13" s="67" t="s">
        <v>152</v>
      </c>
      <c r="E13" s="67" t="s">
        <v>152</v>
      </c>
      <c r="F13" s="66" t="s">
        <v>152</v>
      </c>
      <c r="G13" s="67">
        <v>30434</v>
      </c>
      <c r="H13" s="66">
        <v>39549</v>
      </c>
      <c r="I13" s="66">
        <v>47646</v>
      </c>
      <c r="J13" s="66">
        <v>46520</v>
      </c>
      <c r="K13" s="66">
        <v>45824</v>
      </c>
      <c r="L13" s="66">
        <v>49078</v>
      </c>
      <c r="M13" s="66">
        <v>53380</v>
      </c>
      <c r="N13" s="66">
        <v>53860</v>
      </c>
      <c r="O13" s="66">
        <v>48578</v>
      </c>
      <c r="P13" s="66">
        <v>54573</v>
      </c>
      <c r="Q13" s="66">
        <v>56611</v>
      </c>
      <c r="R13" s="295" t="s">
        <v>152</v>
      </c>
    </row>
    <row r="14" spans="1:18" s="63" customFormat="1" ht="15.6" x14ac:dyDescent="0.3">
      <c r="A14" s="75" t="s">
        <v>33</v>
      </c>
      <c r="B14" s="170" t="s">
        <v>152</v>
      </c>
      <c r="C14" s="67" t="s">
        <v>152</v>
      </c>
      <c r="D14" s="67" t="s">
        <v>152</v>
      </c>
      <c r="E14" s="67" t="s">
        <v>152</v>
      </c>
      <c r="F14" s="275">
        <v>19</v>
      </c>
      <c r="G14" s="67">
        <v>37243</v>
      </c>
      <c r="H14" s="66">
        <v>39595</v>
      </c>
      <c r="I14" s="66">
        <v>45177</v>
      </c>
      <c r="J14" s="66">
        <v>46831</v>
      </c>
      <c r="K14" s="66">
        <v>47880</v>
      </c>
      <c r="L14" s="66">
        <v>50630</v>
      </c>
      <c r="M14" s="66">
        <v>58339</v>
      </c>
      <c r="N14" s="66">
        <v>53386</v>
      </c>
      <c r="O14" s="66">
        <v>52536</v>
      </c>
      <c r="P14" s="66">
        <v>53136</v>
      </c>
      <c r="Q14" s="66">
        <v>60480</v>
      </c>
      <c r="R14" s="295" t="s">
        <v>152</v>
      </c>
    </row>
    <row r="15" spans="1:18" s="63" customFormat="1" ht="15.6" x14ac:dyDescent="0.3">
      <c r="A15" s="75" t="s">
        <v>34</v>
      </c>
      <c r="B15" s="170" t="s">
        <v>152</v>
      </c>
      <c r="C15" s="67" t="s">
        <v>152</v>
      </c>
      <c r="D15" s="67" t="s">
        <v>152</v>
      </c>
      <c r="E15" s="67" t="s">
        <v>152</v>
      </c>
      <c r="F15" s="66" t="s">
        <v>35</v>
      </c>
      <c r="G15" s="67">
        <v>34407</v>
      </c>
      <c r="H15" s="66">
        <v>38291</v>
      </c>
      <c r="I15" s="66">
        <v>39529</v>
      </c>
      <c r="J15" s="66">
        <v>47470</v>
      </c>
      <c r="K15" s="66">
        <v>47218</v>
      </c>
      <c r="L15" s="66">
        <v>54491</v>
      </c>
      <c r="M15" s="66">
        <v>54359</v>
      </c>
      <c r="N15" s="66">
        <v>50991</v>
      </c>
      <c r="O15" s="66">
        <v>53543</v>
      </c>
      <c r="P15" s="66">
        <v>60575</v>
      </c>
      <c r="Q15" s="66">
        <v>60518</v>
      </c>
      <c r="R15" s="295" t="s">
        <v>152</v>
      </c>
    </row>
    <row r="16" spans="1:18" s="63" customFormat="1" ht="16.2" thickBot="1" x14ac:dyDescent="0.35">
      <c r="A16" s="88" t="s">
        <v>36</v>
      </c>
      <c r="B16" s="87" t="s">
        <v>152</v>
      </c>
      <c r="C16" s="72" t="s">
        <v>152</v>
      </c>
      <c r="D16" s="72" t="s">
        <v>152</v>
      </c>
      <c r="E16" s="72" t="s">
        <v>152</v>
      </c>
      <c r="F16" s="72">
        <v>45734</v>
      </c>
      <c r="G16" s="72">
        <v>35479</v>
      </c>
      <c r="H16" s="71">
        <v>32409</v>
      </c>
      <c r="I16" s="71">
        <v>36502</v>
      </c>
      <c r="J16" s="71">
        <v>42527</v>
      </c>
      <c r="K16" s="71">
        <v>43092</v>
      </c>
      <c r="L16" s="71">
        <v>48472</v>
      </c>
      <c r="M16" s="71">
        <v>49199</v>
      </c>
      <c r="N16" s="71">
        <v>50880</v>
      </c>
      <c r="O16" s="71">
        <v>52722</v>
      </c>
      <c r="P16" s="71">
        <v>55594</v>
      </c>
      <c r="Q16" s="71">
        <v>53799</v>
      </c>
      <c r="R16" s="292" t="s">
        <v>152</v>
      </c>
    </row>
    <row r="17" spans="1:18" s="63" customFormat="1" ht="16.2" thickTop="1" x14ac:dyDescent="0.3">
      <c r="A17" s="171" t="s">
        <v>37</v>
      </c>
      <c r="B17" s="90" t="s">
        <v>152</v>
      </c>
      <c r="C17" s="73" t="s">
        <v>152</v>
      </c>
      <c r="D17" s="73" t="s">
        <v>152</v>
      </c>
      <c r="E17" s="73" t="s">
        <v>152</v>
      </c>
      <c r="F17" s="273">
        <f t="shared" ref="F17:K17" si="0">SUM(F5:F16)</f>
        <v>45753</v>
      </c>
      <c r="G17" s="273">
        <f t="shared" si="0"/>
        <v>365657</v>
      </c>
      <c r="H17" s="273">
        <f t="shared" si="0"/>
        <v>408869</v>
      </c>
      <c r="I17" s="273">
        <f t="shared" si="0"/>
        <v>448940</v>
      </c>
      <c r="J17" s="273">
        <f t="shared" si="0"/>
        <v>501145</v>
      </c>
      <c r="K17" s="273">
        <f t="shared" si="0"/>
        <v>524659</v>
      </c>
      <c r="L17" s="273">
        <f t="shared" ref="L17:Q17" si="1">SUM(L5:L16)</f>
        <v>567547</v>
      </c>
      <c r="M17" s="273">
        <f t="shared" si="1"/>
        <v>628844</v>
      </c>
      <c r="N17" s="273">
        <f t="shared" si="1"/>
        <v>611338</v>
      </c>
      <c r="O17" s="273">
        <f t="shared" si="1"/>
        <v>590841</v>
      </c>
      <c r="P17" s="273">
        <f t="shared" si="1"/>
        <v>623283</v>
      </c>
      <c r="Q17" s="273">
        <f t="shared" si="1"/>
        <v>671784</v>
      </c>
      <c r="R17" s="288">
        <f>SUM(R5:R16)</f>
        <v>319585</v>
      </c>
    </row>
    <row r="18" spans="1:18" s="113" customFormat="1" ht="6.6" x14ac:dyDescent="0.3">
      <c r="A18" s="371" t="s">
        <v>174</v>
      </c>
      <c r="B18" s="371"/>
      <c r="C18" s="371"/>
      <c r="D18" s="371"/>
      <c r="E18" s="371"/>
      <c r="F18" s="371"/>
      <c r="G18" s="371"/>
      <c r="H18" s="371"/>
      <c r="I18" s="371"/>
      <c r="J18" s="371"/>
      <c r="K18" s="371"/>
      <c r="L18" s="371"/>
      <c r="M18" s="371"/>
      <c r="N18" s="371"/>
      <c r="O18" s="371"/>
      <c r="P18" s="371"/>
      <c r="Q18" s="371"/>
      <c r="R18" s="371"/>
    </row>
    <row r="19" spans="1:18" s="106" customFormat="1" ht="18" x14ac:dyDescent="0.3">
      <c r="A19" s="370" t="s">
        <v>59</v>
      </c>
      <c r="B19" s="370"/>
      <c r="C19" s="370"/>
      <c r="D19" s="370"/>
      <c r="E19" s="370"/>
      <c r="F19" s="370"/>
      <c r="G19" s="370"/>
      <c r="H19" s="370"/>
      <c r="I19" s="370"/>
      <c r="J19" s="370"/>
      <c r="K19" s="370"/>
      <c r="L19" s="370"/>
      <c r="M19" s="370"/>
      <c r="N19" s="370"/>
      <c r="O19" s="370"/>
      <c r="P19" s="370"/>
      <c r="Q19" s="370"/>
      <c r="R19" s="370"/>
    </row>
    <row r="20" spans="1:18" s="63" customFormat="1" ht="15.6" x14ac:dyDescent="0.3">
      <c r="A20" s="172" t="s">
        <v>23</v>
      </c>
      <c r="B20" s="91">
        <v>2004</v>
      </c>
      <c r="C20" s="64">
        <v>2005</v>
      </c>
      <c r="D20" s="64">
        <v>2006</v>
      </c>
      <c r="E20" s="64">
        <v>2007</v>
      </c>
      <c r="F20" s="64">
        <v>2008</v>
      </c>
      <c r="G20" s="64">
        <v>2009</v>
      </c>
      <c r="H20" s="64">
        <v>2010</v>
      </c>
      <c r="I20" s="64">
        <v>2011</v>
      </c>
      <c r="J20" s="65">
        <v>2012</v>
      </c>
      <c r="K20" s="65">
        <v>2013</v>
      </c>
      <c r="L20" s="65">
        <v>2014</v>
      </c>
      <c r="M20" s="65">
        <v>2015</v>
      </c>
      <c r="N20" s="65">
        <v>2016</v>
      </c>
      <c r="O20" s="65">
        <v>2017</v>
      </c>
      <c r="P20" s="65">
        <v>2018</v>
      </c>
      <c r="Q20" s="65">
        <v>2019</v>
      </c>
      <c r="R20" s="49">
        <v>2020</v>
      </c>
    </row>
    <row r="21" spans="1:18" s="63" customFormat="1" ht="15.6" x14ac:dyDescent="0.3">
      <c r="A21" s="76" t="s">
        <v>24</v>
      </c>
      <c r="B21" s="108" t="s">
        <v>152</v>
      </c>
      <c r="C21" s="107" t="s">
        <v>152</v>
      </c>
      <c r="D21" s="107" t="s">
        <v>152</v>
      </c>
      <c r="E21" s="107" t="s">
        <v>152</v>
      </c>
      <c r="F21" s="83" t="s">
        <v>152</v>
      </c>
      <c r="G21" s="272">
        <v>2294</v>
      </c>
      <c r="H21" s="271">
        <v>2053</v>
      </c>
      <c r="I21" s="271">
        <v>3011</v>
      </c>
      <c r="J21" s="271">
        <v>11381</v>
      </c>
      <c r="K21" s="271">
        <v>12609</v>
      </c>
      <c r="L21" s="271">
        <v>4372</v>
      </c>
      <c r="M21" s="271">
        <v>4739</v>
      </c>
      <c r="N21" s="271">
        <v>2713</v>
      </c>
      <c r="O21" s="271">
        <v>3715</v>
      </c>
      <c r="P21" s="271">
        <v>2932</v>
      </c>
      <c r="Q21" s="271">
        <v>3707</v>
      </c>
      <c r="R21" s="286">
        <v>3792</v>
      </c>
    </row>
    <row r="22" spans="1:18" s="63" customFormat="1" ht="15.6" x14ac:dyDescent="0.3">
      <c r="A22" s="75" t="s">
        <v>25</v>
      </c>
      <c r="B22" s="170" t="s">
        <v>152</v>
      </c>
      <c r="C22" s="67" t="s">
        <v>152</v>
      </c>
      <c r="D22" s="67" t="s">
        <v>152</v>
      </c>
      <c r="E22" s="67" t="s">
        <v>152</v>
      </c>
      <c r="F22" s="66" t="s">
        <v>152</v>
      </c>
      <c r="G22" s="67">
        <v>1554</v>
      </c>
      <c r="H22" s="66">
        <v>1481</v>
      </c>
      <c r="I22" s="66">
        <v>1801</v>
      </c>
      <c r="J22" s="66">
        <v>6353</v>
      </c>
      <c r="K22" s="66">
        <v>3858</v>
      </c>
      <c r="L22" s="66">
        <v>3682</v>
      </c>
      <c r="M22" s="66">
        <v>8153</v>
      </c>
      <c r="N22" s="66">
        <v>1490</v>
      </c>
      <c r="O22" s="66">
        <v>18599</v>
      </c>
      <c r="P22" s="66">
        <v>3035</v>
      </c>
      <c r="Q22" s="66">
        <v>2083</v>
      </c>
      <c r="R22" s="287">
        <v>4579</v>
      </c>
    </row>
    <row r="23" spans="1:18" s="63" customFormat="1" ht="15.6" x14ac:dyDescent="0.3">
      <c r="A23" s="75" t="s">
        <v>26</v>
      </c>
      <c r="B23" s="170" t="s">
        <v>152</v>
      </c>
      <c r="C23" s="67" t="s">
        <v>152</v>
      </c>
      <c r="D23" s="67" t="s">
        <v>152</v>
      </c>
      <c r="E23" s="67" t="s">
        <v>152</v>
      </c>
      <c r="F23" s="66" t="s">
        <v>152</v>
      </c>
      <c r="G23" s="67">
        <v>2836</v>
      </c>
      <c r="H23" s="66">
        <v>18397</v>
      </c>
      <c r="I23" s="66">
        <v>1201</v>
      </c>
      <c r="J23" s="66">
        <v>2751</v>
      </c>
      <c r="K23" s="66">
        <v>7017</v>
      </c>
      <c r="L23" s="66">
        <v>2350</v>
      </c>
      <c r="M23" s="66">
        <v>6060</v>
      </c>
      <c r="N23" s="66">
        <v>1395</v>
      </c>
      <c r="O23" s="66">
        <v>1851</v>
      </c>
      <c r="P23" s="66">
        <v>5091</v>
      </c>
      <c r="Q23" s="66">
        <v>1967</v>
      </c>
      <c r="R23" s="287">
        <v>5354</v>
      </c>
    </row>
    <row r="24" spans="1:18" s="63" customFormat="1" ht="15.6" x14ac:dyDescent="0.3">
      <c r="A24" s="75" t="s">
        <v>27</v>
      </c>
      <c r="B24" s="170" t="s">
        <v>152</v>
      </c>
      <c r="C24" s="67" t="s">
        <v>152</v>
      </c>
      <c r="D24" s="67" t="s">
        <v>152</v>
      </c>
      <c r="E24" s="67" t="s">
        <v>152</v>
      </c>
      <c r="F24" s="66" t="s">
        <v>152</v>
      </c>
      <c r="G24" s="67">
        <v>2337</v>
      </c>
      <c r="H24" s="66">
        <v>6573</v>
      </c>
      <c r="I24" s="66">
        <v>3670</v>
      </c>
      <c r="J24" s="66">
        <v>5447</v>
      </c>
      <c r="K24" s="66">
        <v>4559</v>
      </c>
      <c r="L24" s="66">
        <v>2181</v>
      </c>
      <c r="M24" s="66">
        <v>1759</v>
      </c>
      <c r="N24" s="66">
        <v>5445</v>
      </c>
      <c r="O24" s="66">
        <v>2752</v>
      </c>
      <c r="P24" s="66">
        <v>7865</v>
      </c>
      <c r="Q24" s="66">
        <v>2016</v>
      </c>
      <c r="R24" s="287">
        <v>3339</v>
      </c>
    </row>
    <row r="25" spans="1:18" s="63" customFormat="1" ht="15.6" x14ac:dyDescent="0.3">
      <c r="A25" s="75" t="s">
        <v>28</v>
      </c>
      <c r="B25" s="170" t="s">
        <v>152</v>
      </c>
      <c r="C25" s="67" t="s">
        <v>152</v>
      </c>
      <c r="D25" s="67" t="s">
        <v>152</v>
      </c>
      <c r="E25" s="67" t="s">
        <v>152</v>
      </c>
      <c r="F25" s="66" t="s">
        <v>152</v>
      </c>
      <c r="G25" s="67">
        <v>2169</v>
      </c>
      <c r="H25" s="66">
        <v>3033</v>
      </c>
      <c r="I25" s="66">
        <v>3143</v>
      </c>
      <c r="J25" s="66">
        <v>7528</v>
      </c>
      <c r="K25" s="66">
        <v>2873</v>
      </c>
      <c r="L25" s="66">
        <v>3157</v>
      </c>
      <c r="M25" s="66">
        <v>3219</v>
      </c>
      <c r="N25" s="66">
        <v>1568</v>
      </c>
      <c r="O25" s="66">
        <v>7455</v>
      </c>
      <c r="P25" s="66">
        <v>2883</v>
      </c>
      <c r="Q25" s="66">
        <v>1693</v>
      </c>
      <c r="R25" s="287">
        <v>3812</v>
      </c>
    </row>
    <row r="26" spans="1:18" s="63" customFormat="1" ht="15.6" x14ac:dyDescent="0.3">
      <c r="A26" s="75" t="s">
        <v>29</v>
      </c>
      <c r="B26" s="170" t="s">
        <v>152</v>
      </c>
      <c r="C26" s="67" t="s">
        <v>152</v>
      </c>
      <c r="D26" s="67" t="s">
        <v>152</v>
      </c>
      <c r="E26" s="67" t="s">
        <v>152</v>
      </c>
      <c r="F26" s="66" t="s">
        <v>152</v>
      </c>
      <c r="G26" s="67">
        <v>2191</v>
      </c>
      <c r="H26" s="66">
        <v>2264</v>
      </c>
      <c r="I26" s="66">
        <v>2737</v>
      </c>
      <c r="J26" s="66">
        <v>3921</v>
      </c>
      <c r="K26" s="66">
        <v>3713</v>
      </c>
      <c r="L26" s="66">
        <v>10912</v>
      </c>
      <c r="M26" s="66">
        <v>1448</v>
      </c>
      <c r="N26" s="66">
        <v>939</v>
      </c>
      <c r="O26" s="66">
        <v>1647</v>
      </c>
      <c r="P26" s="66">
        <v>-919</v>
      </c>
      <c r="Q26" s="66">
        <v>414</v>
      </c>
      <c r="R26" s="287">
        <v>2462</v>
      </c>
    </row>
    <row r="27" spans="1:18" s="63" customFormat="1" ht="15.6" x14ac:dyDescent="0.3">
      <c r="A27" s="75" t="s">
        <v>30</v>
      </c>
      <c r="B27" s="170" t="s">
        <v>152</v>
      </c>
      <c r="C27" s="67" t="s">
        <v>152</v>
      </c>
      <c r="D27" s="67" t="s">
        <v>152</v>
      </c>
      <c r="E27" s="67" t="s">
        <v>152</v>
      </c>
      <c r="F27" s="66" t="s">
        <v>152</v>
      </c>
      <c r="G27" s="67">
        <v>4277</v>
      </c>
      <c r="H27" s="66">
        <v>3759</v>
      </c>
      <c r="I27" s="66">
        <v>1727</v>
      </c>
      <c r="J27" s="66">
        <v>869</v>
      </c>
      <c r="K27" s="66">
        <v>5568</v>
      </c>
      <c r="L27" s="66">
        <v>4904</v>
      </c>
      <c r="M27" s="66">
        <v>12502</v>
      </c>
      <c r="N27" s="66">
        <v>2481</v>
      </c>
      <c r="O27" s="66">
        <v>3372</v>
      </c>
      <c r="P27" s="66">
        <v>2750</v>
      </c>
      <c r="Q27" s="66">
        <v>4058</v>
      </c>
      <c r="R27" s="295" t="s">
        <v>152</v>
      </c>
    </row>
    <row r="28" spans="1:18" s="63" customFormat="1" ht="15.6" x14ac:dyDescent="0.3">
      <c r="A28" s="75" t="s">
        <v>31</v>
      </c>
      <c r="B28" s="170" t="s">
        <v>152</v>
      </c>
      <c r="C28" s="67" t="s">
        <v>152</v>
      </c>
      <c r="D28" s="67" t="s">
        <v>152</v>
      </c>
      <c r="E28" s="67" t="s">
        <v>152</v>
      </c>
      <c r="F28" s="66" t="s">
        <v>152</v>
      </c>
      <c r="G28" s="67">
        <v>2380</v>
      </c>
      <c r="H28" s="66">
        <v>2489</v>
      </c>
      <c r="I28" s="66">
        <v>2294</v>
      </c>
      <c r="J28" s="66">
        <v>2968</v>
      </c>
      <c r="K28" s="66">
        <v>28361</v>
      </c>
      <c r="L28" s="66">
        <v>2972</v>
      </c>
      <c r="M28" s="66">
        <v>3281</v>
      </c>
      <c r="N28" s="66">
        <v>2247</v>
      </c>
      <c r="O28" s="66">
        <v>2132</v>
      </c>
      <c r="P28" s="66">
        <v>3053</v>
      </c>
      <c r="Q28" s="66">
        <v>1893</v>
      </c>
      <c r="R28" s="295" t="s">
        <v>152</v>
      </c>
    </row>
    <row r="29" spans="1:18" s="63" customFormat="1" ht="15.6" x14ac:dyDescent="0.3">
      <c r="A29" s="75" t="s">
        <v>32</v>
      </c>
      <c r="B29" s="170" t="s">
        <v>152</v>
      </c>
      <c r="C29" s="67" t="s">
        <v>152</v>
      </c>
      <c r="D29" s="67" t="s">
        <v>152</v>
      </c>
      <c r="E29" s="67" t="s">
        <v>152</v>
      </c>
      <c r="F29" s="66" t="s">
        <v>152</v>
      </c>
      <c r="G29" s="67">
        <v>2154</v>
      </c>
      <c r="H29" s="66">
        <v>6049</v>
      </c>
      <c r="I29" s="66">
        <v>5118</v>
      </c>
      <c r="J29" s="66">
        <v>3007</v>
      </c>
      <c r="K29" s="66">
        <v>2419</v>
      </c>
      <c r="L29" s="66">
        <v>2793</v>
      </c>
      <c r="M29" s="66">
        <v>2684</v>
      </c>
      <c r="N29" s="66">
        <v>1703</v>
      </c>
      <c r="O29" s="66">
        <v>3189</v>
      </c>
      <c r="P29" s="66">
        <v>2373</v>
      </c>
      <c r="Q29" s="66">
        <v>3119</v>
      </c>
      <c r="R29" s="295" t="s">
        <v>152</v>
      </c>
    </row>
    <row r="30" spans="1:18" s="63" customFormat="1" ht="15.6" x14ac:dyDescent="0.3">
      <c r="A30" s="75" t="s">
        <v>33</v>
      </c>
      <c r="B30" s="170" t="s">
        <v>152</v>
      </c>
      <c r="C30" s="67" t="s">
        <v>152</v>
      </c>
      <c r="D30" s="67" t="s">
        <v>152</v>
      </c>
      <c r="E30" s="67" t="s">
        <v>152</v>
      </c>
      <c r="F30" s="275">
        <v>0</v>
      </c>
      <c r="G30" s="67">
        <v>2643</v>
      </c>
      <c r="H30" s="66">
        <v>2247</v>
      </c>
      <c r="I30" s="66">
        <v>3855</v>
      </c>
      <c r="J30" s="66">
        <v>5125</v>
      </c>
      <c r="K30" s="66">
        <v>7026</v>
      </c>
      <c r="L30" s="66">
        <v>5471</v>
      </c>
      <c r="M30" s="66">
        <v>27253</v>
      </c>
      <c r="N30" s="66">
        <v>1868</v>
      </c>
      <c r="O30" s="66">
        <v>1461</v>
      </c>
      <c r="P30" s="66">
        <v>2470</v>
      </c>
      <c r="Q30" s="66">
        <v>2557</v>
      </c>
      <c r="R30" s="295" t="s">
        <v>152</v>
      </c>
    </row>
    <row r="31" spans="1:18" s="63" customFormat="1" ht="15.6" x14ac:dyDescent="0.3">
      <c r="A31" s="75" t="s">
        <v>34</v>
      </c>
      <c r="B31" s="170" t="s">
        <v>152</v>
      </c>
      <c r="C31" s="67" t="s">
        <v>152</v>
      </c>
      <c r="D31" s="67" t="s">
        <v>152</v>
      </c>
      <c r="E31" s="67" t="s">
        <v>152</v>
      </c>
      <c r="F31" s="66" t="s">
        <v>35</v>
      </c>
      <c r="G31" s="67">
        <v>1404</v>
      </c>
      <c r="H31" s="66">
        <v>2895</v>
      </c>
      <c r="I31" s="66">
        <v>5708</v>
      </c>
      <c r="J31" s="66">
        <v>3597</v>
      </c>
      <c r="K31" s="66">
        <v>5658</v>
      </c>
      <c r="L31" s="66">
        <v>2668</v>
      </c>
      <c r="M31" s="66">
        <v>2041</v>
      </c>
      <c r="N31" s="66">
        <v>1589</v>
      </c>
      <c r="O31" s="66">
        <v>1611</v>
      </c>
      <c r="P31" s="66">
        <v>4926</v>
      </c>
      <c r="Q31" s="66">
        <v>3734</v>
      </c>
      <c r="R31" s="295" t="s">
        <v>152</v>
      </c>
    </row>
    <row r="32" spans="1:18" s="63" customFormat="1" ht="16.2" thickBot="1" x14ac:dyDescent="0.35">
      <c r="A32" s="88" t="s">
        <v>36</v>
      </c>
      <c r="B32" s="87" t="s">
        <v>152</v>
      </c>
      <c r="C32" s="72" t="s">
        <v>152</v>
      </c>
      <c r="D32" s="72" t="s">
        <v>152</v>
      </c>
      <c r="E32" s="72" t="s">
        <v>152</v>
      </c>
      <c r="F32" s="72">
        <v>3304</v>
      </c>
      <c r="G32" s="72">
        <v>1530</v>
      </c>
      <c r="H32" s="71">
        <v>2956</v>
      </c>
      <c r="I32" s="71">
        <v>5177</v>
      </c>
      <c r="J32" s="71">
        <v>14273</v>
      </c>
      <c r="K32" s="71">
        <v>6413</v>
      </c>
      <c r="L32" s="71">
        <v>4081</v>
      </c>
      <c r="M32" s="71">
        <v>2178</v>
      </c>
      <c r="N32" s="71">
        <v>1550</v>
      </c>
      <c r="O32" s="71">
        <v>2344</v>
      </c>
      <c r="P32" s="71">
        <v>1977</v>
      </c>
      <c r="Q32" s="71">
        <v>1195</v>
      </c>
      <c r="R32" s="292" t="s">
        <v>152</v>
      </c>
    </row>
    <row r="33" spans="1:18" s="63" customFormat="1" ht="16.2" thickTop="1" x14ac:dyDescent="0.3">
      <c r="A33" s="171" t="s">
        <v>37</v>
      </c>
      <c r="B33" s="90" t="s">
        <v>152</v>
      </c>
      <c r="C33" s="73" t="s">
        <v>152</v>
      </c>
      <c r="D33" s="73" t="s">
        <v>152</v>
      </c>
      <c r="E33" s="73" t="s">
        <v>152</v>
      </c>
      <c r="F33" s="273">
        <f t="shared" ref="F33:K33" si="2">SUM(F21:F32)</f>
        <v>3304</v>
      </c>
      <c r="G33" s="273">
        <f t="shared" si="2"/>
        <v>27769</v>
      </c>
      <c r="H33" s="273">
        <f t="shared" si="2"/>
        <v>54196</v>
      </c>
      <c r="I33" s="273">
        <f t="shared" si="2"/>
        <v>39442</v>
      </c>
      <c r="J33" s="273">
        <f t="shared" si="2"/>
        <v>67220</v>
      </c>
      <c r="K33" s="273">
        <f t="shared" si="2"/>
        <v>90074</v>
      </c>
      <c r="L33" s="273">
        <f t="shared" ref="L33:R33" si="3">SUM(L21:L32)</f>
        <v>49543</v>
      </c>
      <c r="M33" s="273">
        <f t="shared" si="3"/>
        <v>75317</v>
      </c>
      <c r="N33" s="273">
        <f t="shared" si="3"/>
        <v>24988</v>
      </c>
      <c r="O33" s="273">
        <f t="shared" si="3"/>
        <v>50128</v>
      </c>
      <c r="P33" s="273">
        <f t="shared" si="3"/>
        <v>38436</v>
      </c>
      <c r="Q33" s="273">
        <f t="shared" si="3"/>
        <v>28436</v>
      </c>
      <c r="R33" s="288">
        <f t="shared" si="3"/>
        <v>23338</v>
      </c>
    </row>
    <row r="34" spans="1:18" s="113" customFormat="1" ht="6.6" x14ac:dyDescent="0.3">
      <c r="A34" s="371" t="s">
        <v>174</v>
      </c>
      <c r="B34" s="371"/>
      <c r="C34" s="371"/>
      <c r="D34" s="371"/>
      <c r="E34" s="371"/>
      <c r="F34" s="371"/>
      <c r="G34" s="371"/>
      <c r="H34" s="371"/>
      <c r="I34" s="371"/>
      <c r="J34" s="371"/>
      <c r="K34" s="371"/>
      <c r="L34" s="371"/>
      <c r="M34" s="371"/>
      <c r="N34" s="371"/>
      <c r="O34" s="371"/>
      <c r="P34" s="371"/>
      <c r="Q34" s="371"/>
      <c r="R34" s="371"/>
    </row>
    <row r="35" spans="1:18" s="106" customFormat="1" ht="18" x14ac:dyDescent="0.3">
      <c r="A35" s="370" t="s">
        <v>123</v>
      </c>
      <c r="B35" s="370"/>
      <c r="C35" s="370"/>
      <c r="D35" s="370"/>
      <c r="E35" s="370"/>
      <c r="F35" s="370"/>
      <c r="G35" s="370"/>
      <c r="H35" s="370"/>
      <c r="I35" s="370"/>
      <c r="J35" s="370"/>
      <c r="K35" s="370"/>
      <c r="L35" s="370"/>
      <c r="M35" s="370"/>
      <c r="N35" s="370"/>
      <c r="O35" s="370"/>
      <c r="P35" s="370"/>
      <c r="Q35" s="370"/>
      <c r="R35" s="370"/>
    </row>
    <row r="36" spans="1:18" s="63" customFormat="1" ht="15.6" x14ac:dyDescent="0.3">
      <c r="A36" s="172" t="s">
        <v>23</v>
      </c>
      <c r="B36" s="91">
        <v>2004</v>
      </c>
      <c r="C36" s="64">
        <v>2005</v>
      </c>
      <c r="D36" s="64">
        <v>2006</v>
      </c>
      <c r="E36" s="64">
        <v>2007</v>
      </c>
      <c r="F36" s="64">
        <v>2008</v>
      </c>
      <c r="G36" s="64">
        <v>2009</v>
      </c>
      <c r="H36" s="64">
        <v>2010</v>
      </c>
      <c r="I36" s="64">
        <v>2011</v>
      </c>
      <c r="J36" s="65">
        <v>2012</v>
      </c>
      <c r="K36" s="65">
        <v>2013</v>
      </c>
      <c r="L36" s="65">
        <v>2014</v>
      </c>
      <c r="M36" s="65">
        <v>2015</v>
      </c>
      <c r="N36" s="65">
        <v>2016</v>
      </c>
      <c r="O36" s="65">
        <v>2017</v>
      </c>
      <c r="P36" s="65">
        <v>2018</v>
      </c>
      <c r="Q36" s="65">
        <v>2019</v>
      </c>
      <c r="R36" s="49">
        <v>2020</v>
      </c>
    </row>
    <row r="37" spans="1:18" s="63" customFormat="1" ht="15.6" x14ac:dyDescent="0.3">
      <c r="A37" s="76" t="s">
        <v>24</v>
      </c>
      <c r="B37" s="108" t="s">
        <v>152</v>
      </c>
      <c r="C37" s="107" t="s">
        <v>152</v>
      </c>
      <c r="D37" s="107" t="s">
        <v>152</v>
      </c>
      <c r="E37" s="107" t="s">
        <v>152</v>
      </c>
      <c r="F37" s="83" t="s">
        <v>152</v>
      </c>
      <c r="G37" s="272">
        <v>0</v>
      </c>
      <c r="H37" s="271">
        <v>0</v>
      </c>
      <c r="I37" s="271">
        <v>-43</v>
      </c>
      <c r="J37" s="271">
        <v>-443</v>
      </c>
      <c r="K37" s="271">
        <v>-2825</v>
      </c>
      <c r="L37" s="271">
        <v>-11006</v>
      </c>
      <c r="M37" s="271">
        <v>-22751</v>
      </c>
      <c r="N37" s="271">
        <v>-27154</v>
      </c>
      <c r="O37" s="271">
        <v>-74</v>
      </c>
      <c r="P37" s="271">
        <v>-3416</v>
      </c>
      <c r="Q37" s="271">
        <v>0</v>
      </c>
      <c r="R37" s="286">
        <v>0</v>
      </c>
    </row>
    <row r="38" spans="1:18" s="63" customFormat="1" ht="15.6" x14ac:dyDescent="0.3">
      <c r="A38" s="75" t="s">
        <v>25</v>
      </c>
      <c r="B38" s="170" t="s">
        <v>152</v>
      </c>
      <c r="C38" s="67" t="s">
        <v>152</v>
      </c>
      <c r="D38" s="67" t="s">
        <v>152</v>
      </c>
      <c r="E38" s="67" t="s">
        <v>152</v>
      </c>
      <c r="F38" s="66" t="s">
        <v>152</v>
      </c>
      <c r="G38" s="67">
        <v>0</v>
      </c>
      <c r="H38" s="66">
        <v>0</v>
      </c>
      <c r="I38" s="66">
        <v>-2367</v>
      </c>
      <c r="J38" s="66">
        <v>0</v>
      </c>
      <c r="K38" s="66">
        <v>-12070</v>
      </c>
      <c r="L38" s="66">
        <v>-25296</v>
      </c>
      <c r="M38" s="66">
        <v>-5631</v>
      </c>
      <c r="N38" s="66">
        <v>0</v>
      </c>
      <c r="O38" s="66">
        <v>0</v>
      </c>
      <c r="P38" s="66">
        <v>-15019</v>
      </c>
      <c r="Q38" s="66">
        <v>-5583</v>
      </c>
      <c r="R38" s="287">
        <v>0</v>
      </c>
    </row>
    <row r="39" spans="1:18" s="63" customFormat="1" ht="15.6" x14ac:dyDescent="0.3">
      <c r="A39" s="75" t="s">
        <v>26</v>
      </c>
      <c r="B39" s="170" t="s">
        <v>152</v>
      </c>
      <c r="C39" s="67" t="s">
        <v>152</v>
      </c>
      <c r="D39" s="67" t="s">
        <v>152</v>
      </c>
      <c r="E39" s="67" t="s">
        <v>152</v>
      </c>
      <c r="F39" s="66" t="s">
        <v>152</v>
      </c>
      <c r="G39" s="67">
        <v>0</v>
      </c>
      <c r="H39" s="66">
        <v>-41</v>
      </c>
      <c r="I39" s="66">
        <v>-6170</v>
      </c>
      <c r="J39" s="66">
        <v>0</v>
      </c>
      <c r="K39" s="66">
        <v>-19880</v>
      </c>
      <c r="L39" s="66">
        <v>-208</v>
      </c>
      <c r="M39" s="66">
        <v>-24118</v>
      </c>
      <c r="N39" s="66">
        <v>-3124</v>
      </c>
      <c r="O39" s="66">
        <v>-2726</v>
      </c>
      <c r="P39" s="66">
        <v>-33409</v>
      </c>
      <c r="Q39" s="66">
        <v>-45</v>
      </c>
      <c r="R39" s="287">
        <v>-74</v>
      </c>
    </row>
    <row r="40" spans="1:18" s="63" customFormat="1" ht="15.6" x14ac:dyDescent="0.3">
      <c r="A40" s="75" t="s">
        <v>27</v>
      </c>
      <c r="B40" s="170" t="s">
        <v>152</v>
      </c>
      <c r="C40" s="67" t="s">
        <v>152</v>
      </c>
      <c r="D40" s="67" t="s">
        <v>152</v>
      </c>
      <c r="E40" s="67" t="s">
        <v>152</v>
      </c>
      <c r="F40" s="66" t="s">
        <v>152</v>
      </c>
      <c r="G40" s="67">
        <v>0</v>
      </c>
      <c r="H40" s="66">
        <v>0</v>
      </c>
      <c r="I40" s="66">
        <v>-1251</v>
      </c>
      <c r="J40" s="66">
        <v>-4356</v>
      </c>
      <c r="K40" s="66">
        <v>-12660</v>
      </c>
      <c r="L40" s="66">
        <v>0</v>
      </c>
      <c r="M40" s="66">
        <v>-568</v>
      </c>
      <c r="N40" s="66">
        <v>-10162</v>
      </c>
      <c r="O40" s="66">
        <v>-1146</v>
      </c>
      <c r="P40" s="66">
        <v>-1277</v>
      </c>
      <c r="Q40" s="66">
        <v>0</v>
      </c>
      <c r="R40" s="287">
        <v>-482</v>
      </c>
    </row>
    <row r="41" spans="1:18" s="63" customFormat="1" ht="15.6" x14ac:dyDescent="0.3">
      <c r="A41" s="75" t="s">
        <v>28</v>
      </c>
      <c r="B41" s="170" t="s">
        <v>152</v>
      </c>
      <c r="C41" s="67" t="s">
        <v>152</v>
      </c>
      <c r="D41" s="67" t="s">
        <v>152</v>
      </c>
      <c r="E41" s="67" t="s">
        <v>152</v>
      </c>
      <c r="F41" s="66" t="s">
        <v>152</v>
      </c>
      <c r="G41" s="67">
        <v>0</v>
      </c>
      <c r="H41" s="66">
        <v>-1199</v>
      </c>
      <c r="I41" s="66">
        <v>-7</v>
      </c>
      <c r="J41" s="66">
        <v>-80</v>
      </c>
      <c r="K41" s="66">
        <v>0</v>
      </c>
      <c r="L41" s="66">
        <v>-3928</v>
      </c>
      <c r="M41" s="66">
        <v>0</v>
      </c>
      <c r="N41" s="66">
        <v>-271</v>
      </c>
      <c r="O41" s="66">
        <v>-3148</v>
      </c>
      <c r="P41" s="66">
        <v>-304</v>
      </c>
      <c r="Q41" s="66">
        <v>0</v>
      </c>
      <c r="R41" s="287">
        <v>-730</v>
      </c>
    </row>
    <row r="42" spans="1:18" s="63" customFormat="1" ht="15.6" x14ac:dyDescent="0.3">
      <c r="A42" s="75" t="s">
        <v>29</v>
      </c>
      <c r="B42" s="170" t="s">
        <v>152</v>
      </c>
      <c r="C42" s="67" t="s">
        <v>152</v>
      </c>
      <c r="D42" s="67" t="s">
        <v>152</v>
      </c>
      <c r="E42" s="67" t="s">
        <v>152</v>
      </c>
      <c r="F42" s="66" t="s">
        <v>152</v>
      </c>
      <c r="G42" s="67">
        <v>0</v>
      </c>
      <c r="H42" s="66">
        <v>-13</v>
      </c>
      <c r="I42" s="66">
        <v>-3265</v>
      </c>
      <c r="J42" s="66">
        <v>-3055</v>
      </c>
      <c r="K42" s="66">
        <v>-4968</v>
      </c>
      <c r="L42" s="66">
        <v>-83</v>
      </c>
      <c r="M42" s="66">
        <v>-3964</v>
      </c>
      <c r="N42" s="66">
        <v>-1531</v>
      </c>
      <c r="O42" s="66">
        <v>0</v>
      </c>
      <c r="P42" s="66">
        <v>-1349</v>
      </c>
      <c r="Q42" s="66">
        <v>0</v>
      </c>
      <c r="R42" s="287">
        <v>-141</v>
      </c>
    </row>
    <row r="43" spans="1:18" s="63" customFormat="1" ht="15.6" x14ac:dyDescent="0.3">
      <c r="A43" s="75" t="s">
        <v>30</v>
      </c>
      <c r="B43" s="170" t="s">
        <v>152</v>
      </c>
      <c r="C43" s="67" t="s">
        <v>152</v>
      </c>
      <c r="D43" s="67" t="s">
        <v>152</v>
      </c>
      <c r="E43" s="67" t="s">
        <v>152</v>
      </c>
      <c r="F43" s="66" t="s">
        <v>152</v>
      </c>
      <c r="G43" s="67">
        <v>-70</v>
      </c>
      <c r="H43" s="66">
        <v>0</v>
      </c>
      <c r="I43" s="66">
        <v>-62</v>
      </c>
      <c r="J43" s="66">
        <v>-420</v>
      </c>
      <c r="K43" s="66">
        <v>-1056</v>
      </c>
      <c r="L43" s="66">
        <v>-32</v>
      </c>
      <c r="M43" s="66">
        <v>-6416</v>
      </c>
      <c r="N43" s="66">
        <v>0</v>
      </c>
      <c r="O43" s="66">
        <v>0</v>
      </c>
      <c r="P43" s="66">
        <v>-7156</v>
      </c>
      <c r="Q43" s="66">
        <v>-5</v>
      </c>
      <c r="R43" s="295" t="s">
        <v>152</v>
      </c>
    </row>
    <row r="44" spans="1:18" s="63" customFormat="1" ht="15.6" x14ac:dyDescent="0.3">
      <c r="A44" s="75" t="s">
        <v>31</v>
      </c>
      <c r="B44" s="170" t="s">
        <v>152</v>
      </c>
      <c r="C44" s="67" t="s">
        <v>152</v>
      </c>
      <c r="D44" s="67" t="s">
        <v>152</v>
      </c>
      <c r="E44" s="67" t="s">
        <v>152</v>
      </c>
      <c r="F44" s="66" t="s">
        <v>152</v>
      </c>
      <c r="G44" s="67">
        <v>0</v>
      </c>
      <c r="H44" s="66">
        <v>-126</v>
      </c>
      <c r="I44" s="66">
        <v>-2822</v>
      </c>
      <c r="J44" s="66">
        <v>0</v>
      </c>
      <c r="K44" s="66">
        <v>0</v>
      </c>
      <c r="L44" s="66">
        <v>-3120</v>
      </c>
      <c r="M44" s="66">
        <v>0</v>
      </c>
      <c r="N44" s="66">
        <v>-1225</v>
      </c>
      <c r="O44" s="66">
        <v>-22</v>
      </c>
      <c r="P44" s="66">
        <v>-1952</v>
      </c>
      <c r="Q44" s="66">
        <v>0</v>
      </c>
      <c r="R44" s="295" t="s">
        <v>152</v>
      </c>
    </row>
    <row r="45" spans="1:18" s="63" customFormat="1" ht="15.6" x14ac:dyDescent="0.3">
      <c r="A45" s="75" t="s">
        <v>32</v>
      </c>
      <c r="B45" s="170" t="s">
        <v>152</v>
      </c>
      <c r="C45" s="67" t="s">
        <v>152</v>
      </c>
      <c r="D45" s="67" t="s">
        <v>152</v>
      </c>
      <c r="E45" s="67" t="s">
        <v>152</v>
      </c>
      <c r="F45" s="66" t="s">
        <v>152</v>
      </c>
      <c r="G45" s="67">
        <v>0</v>
      </c>
      <c r="H45" s="66">
        <v>0</v>
      </c>
      <c r="I45" s="66">
        <v>-4</v>
      </c>
      <c r="J45" s="66">
        <v>-1257</v>
      </c>
      <c r="K45" s="66">
        <v>-15</v>
      </c>
      <c r="L45" s="66">
        <v>0</v>
      </c>
      <c r="M45" s="66">
        <v>-2394</v>
      </c>
      <c r="N45" s="66">
        <v>-1453</v>
      </c>
      <c r="O45" s="66">
        <v>-525</v>
      </c>
      <c r="P45" s="66">
        <v>0</v>
      </c>
      <c r="Q45" s="66">
        <v>-1</v>
      </c>
      <c r="R45" s="295" t="s">
        <v>152</v>
      </c>
    </row>
    <row r="46" spans="1:18" s="63" customFormat="1" ht="15.6" x14ac:dyDescent="0.3">
      <c r="A46" s="75" t="s">
        <v>33</v>
      </c>
      <c r="B46" s="170" t="s">
        <v>152</v>
      </c>
      <c r="C46" s="67" t="s">
        <v>152</v>
      </c>
      <c r="D46" s="67" t="s">
        <v>152</v>
      </c>
      <c r="E46" s="67" t="s">
        <v>152</v>
      </c>
      <c r="F46" s="68" t="s">
        <v>152</v>
      </c>
      <c r="G46" s="67">
        <v>0</v>
      </c>
      <c r="H46" s="66">
        <v>0</v>
      </c>
      <c r="I46" s="66">
        <v>-45</v>
      </c>
      <c r="J46" s="66">
        <v>-72</v>
      </c>
      <c r="K46" s="66">
        <v>-533</v>
      </c>
      <c r="L46" s="66">
        <v>0</v>
      </c>
      <c r="M46" s="66">
        <v>-36311</v>
      </c>
      <c r="N46" s="66">
        <v>0</v>
      </c>
      <c r="O46" s="66">
        <v>-3226</v>
      </c>
      <c r="P46" s="66">
        <v>0</v>
      </c>
      <c r="Q46" s="66">
        <v>0</v>
      </c>
      <c r="R46" s="295" t="s">
        <v>152</v>
      </c>
    </row>
    <row r="47" spans="1:18" s="63" customFormat="1" ht="15.6" x14ac:dyDescent="0.3">
      <c r="A47" s="75" t="s">
        <v>34</v>
      </c>
      <c r="B47" s="170" t="s">
        <v>152</v>
      </c>
      <c r="C47" s="67" t="s">
        <v>152</v>
      </c>
      <c r="D47" s="67" t="s">
        <v>152</v>
      </c>
      <c r="E47" s="67" t="s">
        <v>152</v>
      </c>
      <c r="F47" s="66" t="s">
        <v>152</v>
      </c>
      <c r="G47" s="67">
        <v>-1298</v>
      </c>
      <c r="H47" s="66">
        <v>-3353</v>
      </c>
      <c r="I47" s="66">
        <v>-3438</v>
      </c>
      <c r="J47" s="66">
        <v>0</v>
      </c>
      <c r="K47" s="66">
        <v>-6283</v>
      </c>
      <c r="L47" s="66">
        <v>0</v>
      </c>
      <c r="M47" s="66">
        <v>-7111</v>
      </c>
      <c r="N47" s="66">
        <v>0</v>
      </c>
      <c r="O47" s="66">
        <v>0</v>
      </c>
      <c r="P47" s="66">
        <v>0</v>
      </c>
      <c r="Q47" s="66">
        <v>0</v>
      </c>
      <c r="R47" s="295" t="s">
        <v>152</v>
      </c>
    </row>
    <row r="48" spans="1:18" s="63" customFormat="1" ht="16.2" thickBot="1" x14ac:dyDescent="0.35">
      <c r="A48" s="88" t="s">
        <v>36</v>
      </c>
      <c r="B48" s="87" t="s">
        <v>152</v>
      </c>
      <c r="C48" s="72" t="s">
        <v>152</v>
      </c>
      <c r="D48" s="72" t="s">
        <v>152</v>
      </c>
      <c r="E48" s="72" t="s">
        <v>152</v>
      </c>
      <c r="F48" s="72" t="s">
        <v>152</v>
      </c>
      <c r="G48" s="72">
        <v>-10</v>
      </c>
      <c r="H48" s="71">
        <v>0</v>
      </c>
      <c r="I48" s="71">
        <v>-162</v>
      </c>
      <c r="J48" s="71">
        <v>-5044</v>
      </c>
      <c r="K48" s="71">
        <v>-161</v>
      </c>
      <c r="L48" s="71">
        <v>-3756</v>
      </c>
      <c r="M48" s="71">
        <v>-730</v>
      </c>
      <c r="N48" s="71">
        <v>0</v>
      </c>
      <c r="O48" s="71">
        <v>0</v>
      </c>
      <c r="P48" s="71">
        <v>0</v>
      </c>
      <c r="Q48" s="71">
        <v>0</v>
      </c>
      <c r="R48" s="292" t="s">
        <v>152</v>
      </c>
    </row>
    <row r="49" spans="1:18" s="63" customFormat="1" ht="16.2" thickTop="1" x14ac:dyDescent="0.3">
      <c r="A49" s="171" t="s">
        <v>37</v>
      </c>
      <c r="B49" s="90" t="s">
        <v>152</v>
      </c>
      <c r="C49" s="73" t="s">
        <v>152</v>
      </c>
      <c r="D49" s="73" t="s">
        <v>152</v>
      </c>
      <c r="E49" s="73" t="s">
        <v>152</v>
      </c>
      <c r="F49" s="73" t="s">
        <v>152</v>
      </c>
      <c r="G49" s="273">
        <f t="shared" ref="G49:P49" si="4">SUM(G37:G48)</f>
        <v>-1378</v>
      </c>
      <c r="H49" s="273">
        <f t="shared" si="4"/>
        <v>-4732</v>
      </c>
      <c r="I49" s="273">
        <f t="shared" si="4"/>
        <v>-19636</v>
      </c>
      <c r="J49" s="273">
        <f t="shared" si="4"/>
        <v>-14727</v>
      </c>
      <c r="K49" s="273">
        <f t="shared" si="4"/>
        <v>-60451</v>
      </c>
      <c r="L49" s="273">
        <f t="shared" si="4"/>
        <v>-47429</v>
      </c>
      <c r="M49" s="273">
        <f t="shared" si="4"/>
        <v>-109994</v>
      </c>
      <c r="N49" s="273">
        <f t="shared" si="4"/>
        <v>-44920</v>
      </c>
      <c r="O49" s="273">
        <f t="shared" si="4"/>
        <v>-10867</v>
      </c>
      <c r="P49" s="273">
        <f t="shared" si="4"/>
        <v>-63882</v>
      </c>
      <c r="Q49" s="273">
        <f t="shared" ref="Q49:R49" si="5">SUM(Q37:Q48)</f>
        <v>-5634</v>
      </c>
      <c r="R49" s="288">
        <f t="shared" si="5"/>
        <v>-1427</v>
      </c>
    </row>
    <row r="50" spans="1:18" s="113" customFormat="1" ht="6.6" x14ac:dyDescent="0.3">
      <c r="A50" s="371" t="s">
        <v>174</v>
      </c>
      <c r="B50" s="371"/>
      <c r="C50" s="371"/>
      <c r="D50" s="371"/>
      <c r="E50" s="371"/>
      <c r="F50" s="371"/>
      <c r="G50" s="371"/>
      <c r="H50" s="371"/>
      <c r="I50" s="371"/>
      <c r="J50" s="371"/>
      <c r="K50" s="371"/>
      <c r="L50" s="371"/>
      <c r="M50" s="371"/>
      <c r="N50" s="371"/>
      <c r="O50" s="371"/>
      <c r="P50" s="371"/>
      <c r="Q50" s="371"/>
      <c r="R50" s="371"/>
    </row>
    <row r="51" spans="1:18" s="111" customFormat="1" ht="13.8" x14ac:dyDescent="0.3">
      <c r="A51" s="373" t="s">
        <v>155</v>
      </c>
      <c r="B51" s="373"/>
      <c r="C51" s="373"/>
      <c r="D51" s="373"/>
      <c r="E51" s="373"/>
      <c r="F51" s="373"/>
      <c r="G51" s="373"/>
      <c r="H51" s="373"/>
      <c r="I51" s="373"/>
      <c r="J51" s="373"/>
      <c r="K51" s="373"/>
      <c r="L51" s="373"/>
      <c r="M51" s="373"/>
      <c r="N51" s="373"/>
      <c r="O51" s="373"/>
      <c r="P51" s="373"/>
      <c r="Q51" s="373"/>
      <c r="R51" s="373"/>
    </row>
    <row r="52" spans="1:18" s="111" customFormat="1" ht="13.8" x14ac:dyDescent="0.3">
      <c r="A52" s="388" t="s">
        <v>39</v>
      </c>
      <c r="B52" s="388"/>
      <c r="C52" s="388"/>
      <c r="D52" s="388"/>
      <c r="E52" s="388"/>
      <c r="F52" s="388"/>
      <c r="G52" s="388"/>
      <c r="H52" s="388"/>
      <c r="I52" s="388"/>
      <c r="J52" s="388"/>
      <c r="K52" s="388"/>
      <c r="L52" s="388"/>
      <c r="M52" s="388"/>
      <c r="N52" s="388"/>
      <c r="O52" s="388"/>
      <c r="P52" s="388"/>
      <c r="Q52" s="388"/>
      <c r="R52" s="388"/>
    </row>
    <row r="53" spans="1:18" s="111" customFormat="1" ht="13.8" x14ac:dyDescent="0.3">
      <c r="A53" s="384" t="str">
        <f>'Local SUT'!A60</f>
        <v>Source:  Minnesota Department of Revenue, Tax Research Division, February 2021</v>
      </c>
      <c r="B53" s="384"/>
      <c r="C53" s="384"/>
      <c r="D53" s="384"/>
      <c r="E53" s="384"/>
      <c r="F53" s="384"/>
      <c r="G53" s="384"/>
      <c r="H53" s="384"/>
      <c r="I53" s="384"/>
      <c r="J53" s="384"/>
      <c r="K53" s="384"/>
      <c r="L53" s="384"/>
      <c r="M53" s="384"/>
      <c r="N53" s="384"/>
      <c r="O53" s="384"/>
      <c r="P53" s="384"/>
      <c r="Q53" s="384"/>
      <c r="R53" s="384"/>
    </row>
    <row r="54" spans="1:18" s="111" customFormat="1" ht="13.8" x14ac:dyDescent="0.3">
      <c r="A54" s="379" t="s">
        <v>151</v>
      </c>
      <c r="B54" s="379"/>
      <c r="C54" s="379"/>
      <c r="D54" s="379"/>
      <c r="E54" s="379"/>
      <c r="F54" s="379"/>
      <c r="G54" s="379"/>
      <c r="H54" s="379"/>
      <c r="I54" s="379"/>
      <c r="J54" s="379"/>
      <c r="K54" s="379"/>
      <c r="L54" s="379"/>
      <c r="M54" s="379"/>
      <c r="N54" s="379"/>
      <c r="O54" s="379"/>
      <c r="P54" s="379"/>
      <c r="Q54" s="379"/>
      <c r="R54" s="379"/>
    </row>
  </sheetData>
  <mergeCells count="12">
    <mergeCell ref="A54:R54"/>
    <mergeCell ref="A3:Q3"/>
    <mergeCell ref="A18:R18"/>
    <mergeCell ref="A19:R19"/>
    <mergeCell ref="A34:R34"/>
    <mergeCell ref="A35:R35"/>
    <mergeCell ref="A50:R50"/>
    <mergeCell ref="A1:R1"/>
    <mergeCell ref="A2:R2"/>
    <mergeCell ref="A51:R51"/>
    <mergeCell ref="A52:R52"/>
    <mergeCell ref="A53:R53"/>
  </mergeCells>
  <pageMargins left="0" right="0" top="0.75" bottom="0.75" header="0.3" footer="0.3"/>
  <pageSetup scale="84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0">
    <pageSetUpPr fitToPage="1"/>
  </sheetPr>
  <dimension ref="A1:R55"/>
  <sheetViews>
    <sheetView showGridLines="0" workbookViewId="0">
      <pane ySplit="1" topLeftCell="A2" activePane="bottomLeft" state="frozen"/>
      <selection pane="bottomLeft" sqref="A1:R1"/>
    </sheetView>
  </sheetViews>
  <sheetFormatPr defaultColWidth="12.5546875" defaultRowHeight="14.4" x14ac:dyDescent="0.3"/>
  <cols>
    <col min="1" max="1" width="12.5546875" style="173"/>
    <col min="2" max="4" width="13.5546875" style="173" hidden="1" customWidth="1"/>
    <col min="5" max="17" width="13.5546875" style="173" customWidth="1"/>
    <col min="18" max="18" width="13.5546875" style="145" customWidth="1"/>
    <col min="19" max="16384" width="12.5546875" style="173"/>
  </cols>
  <sheetData>
    <row r="1" spans="1:18" s="112" customFormat="1" ht="21" x14ac:dyDescent="0.3">
      <c r="A1" s="380" t="s">
        <v>211</v>
      </c>
      <c r="B1" s="380"/>
      <c r="C1" s="380"/>
      <c r="D1" s="380"/>
      <c r="E1" s="380"/>
      <c r="F1" s="380"/>
      <c r="G1" s="380"/>
      <c r="H1" s="380"/>
      <c r="I1" s="380"/>
      <c r="J1" s="380"/>
      <c r="K1" s="380"/>
      <c r="L1" s="380"/>
      <c r="M1" s="380"/>
      <c r="N1" s="380"/>
      <c r="O1" s="380"/>
      <c r="P1" s="380"/>
      <c r="Q1" s="380"/>
      <c r="R1" s="380"/>
    </row>
    <row r="2" spans="1:18" s="106" customFormat="1" ht="18" x14ac:dyDescent="0.3">
      <c r="A2" s="381" t="str">
        <f>'Local SUT'!A2</f>
        <v>CY 2004-2020</v>
      </c>
      <c r="B2" s="381"/>
      <c r="C2" s="381"/>
      <c r="D2" s="381"/>
      <c r="E2" s="381"/>
      <c r="F2" s="381"/>
      <c r="G2" s="381"/>
      <c r="H2" s="381"/>
      <c r="I2" s="381"/>
      <c r="J2" s="381"/>
      <c r="K2" s="381"/>
      <c r="L2" s="381"/>
      <c r="M2" s="381"/>
      <c r="N2" s="381"/>
      <c r="O2" s="381"/>
      <c r="P2" s="381"/>
      <c r="Q2" s="381"/>
      <c r="R2" s="381"/>
    </row>
    <row r="3" spans="1:18" s="106" customFormat="1" ht="18" x14ac:dyDescent="0.3">
      <c r="A3" s="370" t="s">
        <v>89</v>
      </c>
      <c r="B3" s="370"/>
      <c r="C3" s="370"/>
      <c r="D3" s="370"/>
      <c r="E3" s="370"/>
      <c r="F3" s="370"/>
      <c r="G3" s="370"/>
      <c r="H3" s="370"/>
      <c r="I3" s="370"/>
      <c r="J3" s="370"/>
      <c r="K3" s="370"/>
      <c r="L3" s="370"/>
      <c r="M3" s="370"/>
      <c r="N3" s="370"/>
      <c r="O3" s="370"/>
      <c r="P3" s="370"/>
      <c r="Q3" s="370"/>
      <c r="R3" s="370"/>
    </row>
    <row r="4" spans="1:18" s="63" customFormat="1" ht="15.6" x14ac:dyDescent="0.3">
      <c r="A4" s="172" t="s">
        <v>23</v>
      </c>
      <c r="B4" s="91">
        <v>2004</v>
      </c>
      <c r="C4" s="64">
        <v>2005</v>
      </c>
      <c r="D4" s="64">
        <v>2006</v>
      </c>
      <c r="E4" s="64">
        <v>2007</v>
      </c>
      <c r="F4" s="64">
        <v>2008</v>
      </c>
      <c r="G4" s="64">
        <v>2009</v>
      </c>
      <c r="H4" s="64">
        <v>2010</v>
      </c>
      <c r="I4" s="64">
        <v>2011</v>
      </c>
      <c r="J4" s="65">
        <v>2012</v>
      </c>
      <c r="K4" s="65">
        <v>2013</v>
      </c>
      <c r="L4" s="65">
        <v>2014</v>
      </c>
      <c r="M4" s="65">
        <v>2015</v>
      </c>
      <c r="N4" s="65">
        <v>2016</v>
      </c>
      <c r="O4" s="65">
        <v>2017</v>
      </c>
      <c r="P4" s="65">
        <v>2018</v>
      </c>
      <c r="Q4" s="65">
        <v>2019</v>
      </c>
      <c r="R4" s="49">
        <v>2020</v>
      </c>
    </row>
    <row r="5" spans="1:18" s="63" customFormat="1" ht="15.6" x14ac:dyDescent="0.3">
      <c r="A5" s="76" t="s">
        <v>24</v>
      </c>
      <c r="B5" s="108" t="s">
        <v>152</v>
      </c>
      <c r="C5" s="107" t="s">
        <v>152</v>
      </c>
      <c r="D5" s="83" t="s">
        <v>152</v>
      </c>
      <c r="E5" s="83" t="s">
        <v>152</v>
      </c>
      <c r="F5" s="272">
        <v>179312.06</v>
      </c>
      <c r="G5" s="272">
        <v>188541</v>
      </c>
      <c r="H5" s="271">
        <v>178813</v>
      </c>
      <c r="I5" s="271">
        <v>187857</v>
      </c>
      <c r="J5" s="271">
        <v>4739</v>
      </c>
      <c r="K5" s="271">
        <v>2380</v>
      </c>
      <c r="L5" s="271">
        <v>786</v>
      </c>
      <c r="M5" s="271">
        <v>1853</v>
      </c>
      <c r="N5" s="271">
        <v>0</v>
      </c>
      <c r="O5" s="271">
        <v>0</v>
      </c>
      <c r="P5" s="271">
        <v>0</v>
      </c>
      <c r="Q5" s="271">
        <v>6</v>
      </c>
      <c r="R5" s="286">
        <v>0</v>
      </c>
    </row>
    <row r="6" spans="1:18" s="63" customFormat="1" ht="15.6" x14ac:dyDescent="0.3">
      <c r="A6" s="75" t="s">
        <v>25</v>
      </c>
      <c r="B6" s="170" t="s">
        <v>152</v>
      </c>
      <c r="C6" s="67" t="s">
        <v>152</v>
      </c>
      <c r="D6" s="66" t="s">
        <v>152</v>
      </c>
      <c r="E6" s="66" t="s">
        <v>152</v>
      </c>
      <c r="F6" s="66">
        <v>123058.92</v>
      </c>
      <c r="G6" s="67">
        <v>149031</v>
      </c>
      <c r="H6" s="66">
        <v>123911</v>
      </c>
      <c r="I6" s="66">
        <v>129730</v>
      </c>
      <c r="J6" s="66">
        <v>-2818</v>
      </c>
      <c r="K6" s="66">
        <v>146</v>
      </c>
      <c r="L6" s="66">
        <v>10</v>
      </c>
      <c r="M6" s="66">
        <v>9</v>
      </c>
      <c r="N6" s="66">
        <v>-3350</v>
      </c>
      <c r="O6" s="66">
        <v>0</v>
      </c>
      <c r="P6" s="66">
        <v>0</v>
      </c>
      <c r="Q6" s="66">
        <v>0</v>
      </c>
      <c r="R6" s="287">
        <v>0</v>
      </c>
    </row>
    <row r="7" spans="1:18" s="63" customFormat="1" ht="15.6" x14ac:dyDescent="0.3">
      <c r="A7" s="75" t="s">
        <v>26</v>
      </c>
      <c r="B7" s="170" t="s">
        <v>152</v>
      </c>
      <c r="C7" s="67" t="s">
        <v>152</v>
      </c>
      <c r="D7" s="66" t="s">
        <v>152</v>
      </c>
      <c r="E7" s="66" t="s">
        <v>152</v>
      </c>
      <c r="F7" s="66">
        <v>126163.28</v>
      </c>
      <c r="G7" s="67">
        <v>128807</v>
      </c>
      <c r="H7" s="66">
        <v>117667</v>
      </c>
      <c r="I7" s="66">
        <v>124719</v>
      </c>
      <c r="J7" s="66">
        <v>-1042</v>
      </c>
      <c r="K7" s="66">
        <v>459</v>
      </c>
      <c r="L7" s="66">
        <v>7</v>
      </c>
      <c r="M7" s="66">
        <v>0</v>
      </c>
      <c r="N7" s="66">
        <v>0</v>
      </c>
      <c r="O7" s="66">
        <v>0</v>
      </c>
      <c r="P7" s="66">
        <v>0</v>
      </c>
      <c r="Q7" s="66">
        <v>0</v>
      </c>
      <c r="R7" s="287">
        <v>0</v>
      </c>
    </row>
    <row r="8" spans="1:18" s="63" customFormat="1" ht="15.6" x14ac:dyDescent="0.3">
      <c r="A8" s="75" t="s">
        <v>27</v>
      </c>
      <c r="B8" s="170" t="s">
        <v>152</v>
      </c>
      <c r="C8" s="67" t="s">
        <v>152</v>
      </c>
      <c r="D8" s="66" t="s">
        <v>152</v>
      </c>
      <c r="E8" s="275">
        <v>214</v>
      </c>
      <c r="F8" s="66">
        <v>140904.06</v>
      </c>
      <c r="G8" s="67">
        <v>136666</v>
      </c>
      <c r="H8" s="66">
        <v>133319</v>
      </c>
      <c r="I8" s="66">
        <v>147009</v>
      </c>
      <c r="J8" s="66">
        <v>432</v>
      </c>
      <c r="K8" s="66">
        <v>1</v>
      </c>
      <c r="L8" s="66">
        <v>36</v>
      </c>
      <c r="M8" s="66">
        <v>-72</v>
      </c>
      <c r="N8" s="66">
        <v>0</v>
      </c>
      <c r="O8" s="66">
        <v>0</v>
      </c>
      <c r="P8" s="66">
        <v>0</v>
      </c>
      <c r="Q8" s="66">
        <v>0</v>
      </c>
      <c r="R8" s="287">
        <v>0</v>
      </c>
    </row>
    <row r="9" spans="1:18" s="63" customFormat="1" ht="15.6" x14ac:dyDescent="0.3">
      <c r="A9" s="75" t="s">
        <v>28</v>
      </c>
      <c r="B9" s="170" t="s">
        <v>152</v>
      </c>
      <c r="C9" s="67" t="s">
        <v>152</v>
      </c>
      <c r="D9" s="66" t="s">
        <v>152</v>
      </c>
      <c r="E9" s="66">
        <v>120682</v>
      </c>
      <c r="F9" s="66">
        <v>143721.35</v>
      </c>
      <c r="G9" s="67">
        <v>139996</v>
      </c>
      <c r="H9" s="66">
        <v>136046</v>
      </c>
      <c r="I9" s="66">
        <v>153703</v>
      </c>
      <c r="J9" s="66">
        <v>1246</v>
      </c>
      <c r="K9" s="66">
        <v>3</v>
      </c>
      <c r="L9" s="66">
        <v>141</v>
      </c>
      <c r="M9" s="66">
        <v>0</v>
      </c>
      <c r="N9" s="66">
        <v>0</v>
      </c>
      <c r="O9" s="66">
        <v>0</v>
      </c>
      <c r="P9" s="66">
        <v>0</v>
      </c>
      <c r="Q9" s="66">
        <v>0</v>
      </c>
      <c r="R9" s="287">
        <v>0</v>
      </c>
    </row>
    <row r="10" spans="1:18" s="63" customFormat="1" ht="15.6" x14ac:dyDescent="0.3">
      <c r="A10" s="75" t="s">
        <v>29</v>
      </c>
      <c r="B10" s="170" t="s">
        <v>152</v>
      </c>
      <c r="C10" s="67" t="s">
        <v>152</v>
      </c>
      <c r="D10" s="66" t="s">
        <v>152</v>
      </c>
      <c r="E10" s="66">
        <v>150864</v>
      </c>
      <c r="F10" s="66">
        <v>168021.85</v>
      </c>
      <c r="G10" s="67">
        <v>290600</v>
      </c>
      <c r="H10" s="66">
        <v>146362</v>
      </c>
      <c r="I10" s="66">
        <v>157132</v>
      </c>
      <c r="J10" s="66">
        <v>4</v>
      </c>
      <c r="K10" s="66">
        <v>325</v>
      </c>
      <c r="L10" s="66">
        <v>0</v>
      </c>
      <c r="M10" s="66">
        <v>0</v>
      </c>
      <c r="N10" s="66">
        <v>0</v>
      </c>
      <c r="O10" s="66">
        <v>0</v>
      </c>
      <c r="P10" s="66">
        <v>0</v>
      </c>
      <c r="Q10" s="66">
        <v>0</v>
      </c>
      <c r="R10" s="287">
        <v>0</v>
      </c>
    </row>
    <row r="11" spans="1:18" s="63" customFormat="1" ht="15.6" x14ac:dyDescent="0.3">
      <c r="A11" s="75" t="s">
        <v>30</v>
      </c>
      <c r="B11" s="170" t="s">
        <v>152</v>
      </c>
      <c r="C11" s="67" t="s">
        <v>152</v>
      </c>
      <c r="D11" s="66" t="s">
        <v>152</v>
      </c>
      <c r="E11" s="66">
        <v>165548</v>
      </c>
      <c r="F11" s="66">
        <v>156055.82999999999</v>
      </c>
      <c r="G11" s="67">
        <v>137955</v>
      </c>
      <c r="H11" s="66">
        <v>149756</v>
      </c>
      <c r="I11" s="66">
        <v>150621</v>
      </c>
      <c r="J11" s="66">
        <v>1038</v>
      </c>
      <c r="K11" s="66">
        <v>38</v>
      </c>
      <c r="L11" s="66">
        <v>58</v>
      </c>
      <c r="M11" s="66">
        <v>0</v>
      </c>
      <c r="N11" s="66">
        <v>0</v>
      </c>
      <c r="O11" s="66">
        <v>0</v>
      </c>
      <c r="P11" s="66">
        <v>0</v>
      </c>
      <c r="Q11" s="66">
        <v>0</v>
      </c>
      <c r="R11" s="291" t="s">
        <v>152</v>
      </c>
    </row>
    <row r="12" spans="1:18" s="63" customFormat="1" ht="15.6" x14ac:dyDescent="0.3">
      <c r="A12" s="75" t="s">
        <v>31</v>
      </c>
      <c r="B12" s="170" t="s">
        <v>152</v>
      </c>
      <c r="C12" s="67" t="s">
        <v>152</v>
      </c>
      <c r="D12" s="66" t="s">
        <v>152</v>
      </c>
      <c r="E12" s="66">
        <v>150027.82999999999</v>
      </c>
      <c r="F12" s="66">
        <v>165207.09</v>
      </c>
      <c r="G12" s="67">
        <v>175635</v>
      </c>
      <c r="H12" s="66">
        <v>174349</v>
      </c>
      <c r="I12" s="66">
        <v>20837</v>
      </c>
      <c r="J12" s="66">
        <v>134</v>
      </c>
      <c r="K12" s="66">
        <v>536</v>
      </c>
      <c r="L12" s="66">
        <v>12189</v>
      </c>
      <c r="M12" s="66">
        <v>-1</v>
      </c>
      <c r="N12" s="66">
        <v>0</v>
      </c>
      <c r="O12" s="66">
        <v>0</v>
      </c>
      <c r="P12" s="66">
        <v>0</v>
      </c>
      <c r="Q12" s="66">
        <v>0</v>
      </c>
      <c r="R12" s="295" t="s">
        <v>152</v>
      </c>
    </row>
    <row r="13" spans="1:18" s="63" customFormat="1" ht="15.6" x14ac:dyDescent="0.3">
      <c r="A13" s="75" t="s">
        <v>32</v>
      </c>
      <c r="B13" s="170" t="s">
        <v>152</v>
      </c>
      <c r="C13" s="67" t="s">
        <v>152</v>
      </c>
      <c r="D13" s="66" t="s">
        <v>152</v>
      </c>
      <c r="E13" s="66">
        <v>147945.78</v>
      </c>
      <c r="F13" s="66">
        <v>156574.66</v>
      </c>
      <c r="G13" s="67">
        <v>166226</v>
      </c>
      <c r="H13" s="66">
        <v>162218</v>
      </c>
      <c r="I13" s="66">
        <v>46875</v>
      </c>
      <c r="J13" s="66">
        <v>121</v>
      </c>
      <c r="K13" s="66">
        <v>1136</v>
      </c>
      <c r="L13" s="66">
        <v>71</v>
      </c>
      <c r="M13" s="66">
        <v>0</v>
      </c>
      <c r="N13" s="66">
        <v>0</v>
      </c>
      <c r="O13" s="66">
        <v>0</v>
      </c>
      <c r="P13" s="66">
        <v>0</v>
      </c>
      <c r="Q13" s="66">
        <v>0</v>
      </c>
      <c r="R13" s="295" t="s">
        <v>152</v>
      </c>
    </row>
    <row r="14" spans="1:18" s="63" customFormat="1" ht="15.6" x14ac:dyDescent="0.3">
      <c r="A14" s="75" t="s">
        <v>33</v>
      </c>
      <c r="B14" s="170" t="s">
        <v>152</v>
      </c>
      <c r="C14" s="67" t="s">
        <v>152</v>
      </c>
      <c r="D14" s="66" t="s">
        <v>152</v>
      </c>
      <c r="E14" s="66">
        <v>140609.98000000001</v>
      </c>
      <c r="F14" s="66">
        <v>165431.99000000002</v>
      </c>
      <c r="G14" s="67">
        <v>168620</v>
      </c>
      <c r="H14" s="66">
        <v>163430</v>
      </c>
      <c r="I14" s="66">
        <v>6650</v>
      </c>
      <c r="J14" s="66">
        <v>582</v>
      </c>
      <c r="K14" s="66">
        <v>205</v>
      </c>
      <c r="L14" s="66">
        <v>-2535</v>
      </c>
      <c r="M14" s="66">
        <v>0</v>
      </c>
      <c r="N14" s="66">
        <v>0</v>
      </c>
      <c r="O14" s="66">
        <v>0</v>
      </c>
      <c r="P14" s="66">
        <v>0</v>
      </c>
      <c r="Q14" s="66">
        <v>0</v>
      </c>
      <c r="R14" s="295" t="s">
        <v>152</v>
      </c>
    </row>
    <row r="15" spans="1:18" s="63" customFormat="1" ht="15.6" x14ac:dyDescent="0.3">
      <c r="A15" s="75" t="s">
        <v>34</v>
      </c>
      <c r="B15" s="170" t="s">
        <v>152</v>
      </c>
      <c r="C15" s="67" t="s">
        <v>152</v>
      </c>
      <c r="D15" s="66" t="s">
        <v>152</v>
      </c>
      <c r="E15" s="66">
        <v>142654</v>
      </c>
      <c r="F15" s="66" t="s">
        <v>35</v>
      </c>
      <c r="G15" s="67">
        <v>146007</v>
      </c>
      <c r="H15" s="66">
        <v>156273</v>
      </c>
      <c r="I15" s="66">
        <v>5484</v>
      </c>
      <c r="J15" s="66">
        <v>717</v>
      </c>
      <c r="K15" s="66">
        <v>113</v>
      </c>
      <c r="L15" s="66">
        <v>0</v>
      </c>
      <c r="M15" s="66">
        <v>0</v>
      </c>
      <c r="N15" s="66">
        <v>0</v>
      </c>
      <c r="O15" s="66">
        <v>0</v>
      </c>
      <c r="P15" s="66">
        <v>0</v>
      </c>
      <c r="Q15" s="66">
        <v>0</v>
      </c>
      <c r="R15" s="295" t="s">
        <v>152</v>
      </c>
    </row>
    <row r="16" spans="1:18" s="63" customFormat="1" ht="16.2" thickBot="1" x14ac:dyDescent="0.35">
      <c r="A16" s="88" t="s">
        <v>36</v>
      </c>
      <c r="B16" s="87" t="s">
        <v>152</v>
      </c>
      <c r="C16" s="72" t="s">
        <v>152</v>
      </c>
      <c r="D16" s="72" t="s">
        <v>152</v>
      </c>
      <c r="E16" s="72">
        <v>138713.01</v>
      </c>
      <c r="F16" s="72">
        <v>281118</v>
      </c>
      <c r="G16" s="72">
        <v>141975</v>
      </c>
      <c r="H16" s="71">
        <v>153350</v>
      </c>
      <c r="I16" s="71">
        <v>3731</v>
      </c>
      <c r="J16" s="71">
        <v>52</v>
      </c>
      <c r="K16" s="71">
        <v>273</v>
      </c>
      <c r="L16" s="71">
        <v>568</v>
      </c>
      <c r="M16" s="71">
        <v>1073</v>
      </c>
      <c r="N16" s="71">
        <v>0</v>
      </c>
      <c r="O16" s="71">
        <v>-337</v>
      </c>
      <c r="P16" s="71">
        <v>-45</v>
      </c>
      <c r="Q16" s="71">
        <v>0</v>
      </c>
      <c r="R16" s="292" t="s">
        <v>152</v>
      </c>
    </row>
    <row r="17" spans="1:18" s="63" customFormat="1" ht="16.2" thickTop="1" x14ac:dyDescent="0.3">
      <c r="A17" s="171" t="s">
        <v>37</v>
      </c>
      <c r="B17" s="90" t="s">
        <v>152</v>
      </c>
      <c r="C17" s="73" t="s">
        <v>152</v>
      </c>
      <c r="D17" s="73" t="s">
        <v>152</v>
      </c>
      <c r="E17" s="273">
        <f t="shared" ref="E17:P17" si="0">SUM(E5:E16)</f>
        <v>1157258.6000000001</v>
      </c>
      <c r="F17" s="273">
        <f t="shared" si="0"/>
        <v>1805569.0899999999</v>
      </c>
      <c r="G17" s="273">
        <f t="shared" si="0"/>
        <v>1970059</v>
      </c>
      <c r="H17" s="273">
        <f t="shared" si="0"/>
        <v>1795494</v>
      </c>
      <c r="I17" s="273">
        <f t="shared" si="0"/>
        <v>1134348</v>
      </c>
      <c r="J17" s="273">
        <f t="shared" si="0"/>
        <v>5205</v>
      </c>
      <c r="K17" s="273">
        <f t="shared" si="0"/>
        <v>5615</v>
      </c>
      <c r="L17" s="273">
        <f t="shared" si="0"/>
        <v>11331</v>
      </c>
      <c r="M17" s="273">
        <f t="shared" si="0"/>
        <v>2862</v>
      </c>
      <c r="N17" s="273">
        <f t="shared" si="0"/>
        <v>-3350</v>
      </c>
      <c r="O17" s="273">
        <f t="shared" si="0"/>
        <v>-337</v>
      </c>
      <c r="P17" s="273">
        <f t="shared" si="0"/>
        <v>-45</v>
      </c>
      <c r="Q17" s="273">
        <f t="shared" ref="Q17:R17" si="1">SUM(Q5:Q16)</f>
        <v>6</v>
      </c>
      <c r="R17" s="288">
        <f t="shared" si="1"/>
        <v>0</v>
      </c>
    </row>
    <row r="18" spans="1:18" s="113" customFormat="1" ht="6.6" x14ac:dyDescent="0.3">
      <c r="A18" s="371" t="s">
        <v>174</v>
      </c>
      <c r="B18" s="371"/>
      <c r="C18" s="371"/>
      <c r="D18" s="371"/>
      <c r="E18" s="371"/>
      <c r="F18" s="371"/>
      <c r="G18" s="371"/>
      <c r="H18" s="371"/>
      <c r="I18" s="371"/>
      <c r="J18" s="371"/>
      <c r="K18" s="371"/>
      <c r="L18" s="371"/>
      <c r="M18" s="371"/>
      <c r="N18" s="371"/>
      <c r="O18" s="371"/>
      <c r="P18" s="371"/>
      <c r="Q18" s="371"/>
      <c r="R18" s="371"/>
    </row>
    <row r="19" spans="1:18" s="63" customFormat="1" ht="18" customHeight="1" x14ac:dyDescent="0.3">
      <c r="A19" s="389" t="s">
        <v>90</v>
      </c>
      <c r="B19" s="389"/>
      <c r="C19" s="389"/>
      <c r="D19" s="389"/>
      <c r="E19" s="389"/>
      <c r="F19" s="389"/>
      <c r="G19" s="389"/>
      <c r="H19" s="389"/>
      <c r="I19" s="389"/>
      <c r="J19" s="389"/>
      <c r="K19" s="389"/>
      <c r="L19" s="389"/>
      <c r="M19" s="389"/>
      <c r="N19" s="389"/>
      <c r="O19" s="389"/>
      <c r="P19" s="389"/>
      <c r="Q19" s="389"/>
      <c r="R19" s="389"/>
    </row>
    <row r="20" spans="1:18" s="63" customFormat="1" ht="15.6" x14ac:dyDescent="0.3">
      <c r="A20" s="172" t="s">
        <v>23</v>
      </c>
      <c r="B20" s="91">
        <v>2004</v>
      </c>
      <c r="C20" s="64">
        <v>2005</v>
      </c>
      <c r="D20" s="64">
        <v>2006</v>
      </c>
      <c r="E20" s="64">
        <v>2007</v>
      </c>
      <c r="F20" s="64">
        <v>2008</v>
      </c>
      <c r="G20" s="64">
        <v>2009</v>
      </c>
      <c r="H20" s="64">
        <v>2010</v>
      </c>
      <c r="I20" s="64">
        <v>2011</v>
      </c>
      <c r="J20" s="65">
        <v>2012</v>
      </c>
      <c r="K20" s="65">
        <v>2013</v>
      </c>
      <c r="L20" s="65">
        <v>2014</v>
      </c>
      <c r="M20" s="65">
        <v>2015</v>
      </c>
      <c r="N20" s="65">
        <v>2016</v>
      </c>
      <c r="O20" s="65">
        <v>2017</v>
      </c>
      <c r="P20" s="65">
        <v>2018</v>
      </c>
      <c r="Q20" s="65">
        <v>2019</v>
      </c>
      <c r="R20" s="49">
        <v>2020</v>
      </c>
    </row>
    <row r="21" spans="1:18" s="63" customFormat="1" ht="15.6" x14ac:dyDescent="0.3">
      <c r="A21" s="76" t="s">
        <v>24</v>
      </c>
      <c r="B21" s="108" t="s">
        <v>152</v>
      </c>
      <c r="C21" s="107" t="s">
        <v>152</v>
      </c>
      <c r="D21" s="83" t="s">
        <v>152</v>
      </c>
      <c r="E21" s="83" t="s">
        <v>152</v>
      </c>
      <c r="F21" s="271">
        <v>12289</v>
      </c>
      <c r="G21" s="272">
        <v>28323</v>
      </c>
      <c r="H21" s="271">
        <v>6991</v>
      </c>
      <c r="I21" s="271">
        <v>18529</v>
      </c>
      <c r="J21" s="271">
        <v>868</v>
      </c>
      <c r="K21" s="271">
        <v>7</v>
      </c>
      <c r="L21" s="271">
        <v>0</v>
      </c>
      <c r="M21" s="271">
        <v>0</v>
      </c>
      <c r="N21" s="271">
        <v>0</v>
      </c>
      <c r="O21" s="271">
        <v>0</v>
      </c>
      <c r="P21" s="271">
        <v>0</v>
      </c>
      <c r="Q21" s="271">
        <v>0</v>
      </c>
      <c r="R21" s="286">
        <v>0</v>
      </c>
    </row>
    <row r="22" spans="1:18" s="63" customFormat="1" ht="15.6" x14ac:dyDescent="0.3">
      <c r="A22" s="75" t="s">
        <v>25</v>
      </c>
      <c r="B22" s="170" t="s">
        <v>152</v>
      </c>
      <c r="C22" s="67" t="s">
        <v>152</v>
      </c>
      <c r="D22" s="66" t="s">
        <v>152</v>
      </c>
      <c r="E22" s="66" t="s">
        <v>152</v>
      </c>
      <c r="F22" s="66">
        <v>17569.71</v>
      </c>
      <c r="G22" s="67">
        <v>15504</v>
      </c>
      <c r="H22" s="66">
        <v>6859</v>
      </c>
      <c r="I22" s="66">
        <v>6512</v>
      </c>
      <c r="J22" s="66">
        <v>1499</v>
      </c>
      <c r="K22" s="66">
        <v>32</v>
      </c>
      <c r="L22" s="66">
        <v>42</v>
      </c>
      <c r="M22" s="66">
        <v>0</v>
      </c>
      <c r="N22" s="66">
        <v>0</v>
      </c>
      <c r="O22" s="66">
        <v>0</v>
      </c>
      <c r="P22" s="66">
        <v>0</v>
      </c>
      <c r="Q22" s="66">
        <v>0</v>
      </c>
      <c r="R22" s="287">
        <v>0</v>
      </c>
    </row>
    <row r="23" spans="1:18" s="63" customFormat="1" ht="15.6" x14ac:dyDescent="0.3">
      <c r="A23" s="75" t="s">
        <v>26</v>
      </c>
      <c r="B23" s="170" t="s">
        <v>152</v>
      </c>
      <c r="C23" s="67" t="s">
        <v>152</v>
      </c>
      <c r="D23" s="66" t="s">
        <v>152</v>
      </c>
      <c r="E23" s="66" t="s">
        <v>152</v>
      </c>
      <c r="F23" s="66">
        <v>17430.060000000001</v>
      </c>
      <c r="G23" s="67">
        <v>9784</v>
      </c>
      <c r="H23" s="66">
        <v>8210</v>
      </c>
      <c r="I23" s="66">
        <v>12071</v>
      </c>
      <c r="J23" s="66">
        <v>3</v>
      </c>
      <c r="K23" s="66">
        <v>151</v>
      </c>
      <c r="L23" s="66">
        <v>-16</v>
      </c>
      <c r="M23" s="66">
        <v>0</v>
      </c>
      <c r="N23" s="66">
        <v>0</v>
      </c>
      <c r="O23" s="66">
        <v>0</v>
      </c>
      <c r="P23" s="66">
        <v>0</v>
      </c>
      <c r="Q23" s="66">
        <v>0</v>
      </c>
      <c r="R23" s="287">
        <v>0</v>
      </c>
    </row>
    <row r="24" spans="1:18" s="63" customFormat="1" ht="15.6" x14ac:dyDescent="0.3">
      <c r="A24" s="75" t="s">
        <v>27</v>
      </c>
      <c r="B24" s="170" t="s">
        <v>152</v>
      </c>
      <c r="C24" s="67" t="s">
        <v>152</v>
      </c>
      <c r="D24" s="66" t="s">
        <v>152</v>
      </c>
      <c r="E24" s="275">
        <v>0</v>
      </c>
      <c r="F24" s="66">
        <v>12460.36</v>
      </c>
      <c r="G24" s="67">
        <v>3788</v>
      </c>
      <c r="H24" s="66">
        <v>6651</v>
      </c>
      <c r="I24" s="66">
        <v>8200</v>
      </c>
      <c r="J24" s="66">
        <v>156</v>
      </c>
      <c r="K24" s="66">
        <v>0</v>
      </c>
      <c r="L24" s="66">
        <v>0</v>
      </c>
      <c r="M24" s="66">
        <v>0</v>
      </c>
      <c r="N24" s="66">
        <v>0</v>
      </c>
      <c r="O24" s="66">
        <v>0</v>
      </c>
      <c r="P24" s="66">
        <v>0</v>
      </c>
      <c r="Q24" s="66">
        <v>0</v>
      </c>
      <c r="R24" s="287">
        <v>0</v>
      </c>
    </row>
    <row r="25" spans="1:18" s="63" customFormat="1" ht="15.6" x14ac:dyDescent="0.3">
      <c r="A25" s="75" t="s">
        <v>28</v>
      </c>
      <c r="B25" s="170" t="s">
        <v>152</v>
      </c>
      <c r="C25" s="67" t="s">
        <v>152</v>
      </c>
      <c r="D25" s="66" t="s">
        <v>152</v>
      </c>
      <c r="E25" s="66">
        <v>7859</v>
      </c>
      <c r="F25" s="66">
        <v>18052</v>
      </c>
      <c r="G25" s="67">
        <v>5920</v>
      </c>
      <c r="H25" s="66">
        <v>7455</v>
      </c>
      <c r="I25" s="66">
        <v>11432</v>
      </c>
      <c r="J25" s="66">
        <v>54</v>
      </c>
      <c r="K25" s="66">
        <v>0</v>
      </c>
      <c r="L25" s="66">
        <v>17</v>
      </c>
      <c r="M25" s="66">
        <v>0</v>
      </c>
      <c r="N25" s="66">
        <v>0</v>
      </c>
      <c r="O25" s="66">
        <v>0</v>
      </c>
      <c r="P25" s="66">
        <v>0</v>
      </c>
      <c r="Q25" s="66">
        <v>0</v>
      </c>
      <c r="R25" s="287">
        <v>0</v>
      </c>
    </row>
    <row r="26" spans="1:18" s="63" customFormat="1" ht="15.6" x14ac:dyDescent="0.3">
      <c r="A26" s="75" t="s">
        <v>29</v>
      </c>
      <c r="B26" s="170" t="s">
        <v>152</v>
      </c>
      <c r="C26" s="67" t="s">
        <v>152</v>
      </c>
      <c r="D26" s="66" t="s">
        <v>152</v>
      </c>
      <c r="E26" s="66">
        <v>6879</v>
      </c>
      <c r="F26" s="66">
        <v>7929.5</v>
      </c>
      <c r="G26" s="67">
        <v>6415</v>
      </c>
      <c r="H26" s="66">
        <v>5601</v>
      </c>
      <c r="I26" s="66">
        <v>8253</v>
      </c>
      <c r="J26" s="66">
        <v>0</v>
      </c>
      <c r="K26" s="66">
        <v>115</v>
      </c>
      <c r="L26" s="66">
        <v>1884</v>
      </c>
      <c r="M26" s="66">
        <v>0</v>
      </c>
      <c r="N26" s="66">
        <v>0</v>
      </c>
      <c r="O26" s="66">
        <v>0</v>
      </c>
      <c r="P26" s="66">
        <v>0</v>
      </c>
      <c r="Q26" s="66">
        <v>0</v>
      </c>
      <c r="R26" s="287">
        <v>0</v>
      </c>
    </row>
    <row r="27" spans="1:18" s="63" customFormat="1" ht="15.6" x14ac:dyDescent="0.3">
      <c r="A27" s="75" t="s">
        <v>30</v>
      </c>
      <c r="B27" s="170" t="s">
        <v>152</v>
      </c>
      <c r="C27" s="67" t="s">
        <v>152</v>
      </c>
      <c r="D27" s="66" t="s">
        <v>152</v>
      </c>
      <c r="E27" s="66">
        <v>9165</v>
      </c>
      <c r="F27" s="66">
        <v>9518.73</v>
      </c>
      <c r="G27" s="67">
        <v>9082</v>
      </c>
      <c r="H27" s="66">
        <v>7975</v>
      </c>
      <c r="I27" s="66">
        <v>10255</v>
      </c>
      <c r="J27" s="66">
        <v>25</v>
      </c>
      <c r="K27" s="66">
        <v>0</v>
      </c>
      <c r="L27" s="66">
        <v>103</v>
      </c>
      <c r="M27" s="66">
        <v>1</v>
      </c>
      <c r="N27" s="66">
        <v>0</v>
      </c>
      <c r="O27" s="66">
        <v>0</v>
      </c>
      <c r="P27" s="66">
        <v>0</v>
      </c>
      <c r="Q27" s="66">
        <v>0</v>
      </c>
      <c r="R27" s="295" t="s">
        <v>152</v>
      </c>
    </row>
    <row r="28" spans="1:18" s="63" customFormat="1" ht="15.6" x14ac:dyDescent="0.3">
      <c r="A28" s="75" t="s">
        <v>31</v>
      </c>
      <c r="B28" s="170" t="s">
        <v>152</v>
      </c>
      <c r="C28" s="67" t="s">
        <v>152</v>
      </c>
      <c r="D28" s="66" t="s">
        <v>152</v>
      </c>
      <c r="E28" s="66">
        <v>11893.37</v>
      </c>
      <c r="F28" s="66">
        <v>8408.7000000000007</v>
      </c>
      <c r="G28" s="67">
        <v>6960</v>
      </c>
      <c r="H28" s="66">
        <v>6937</v>
      </c>
      <c r="I28" s="66">
        <v>562</v>
      </c>
      <c r="J28" s="66">
        <v>1915</v>
      </c>
      <c r="K28" s="66">
        <v>250</v>
      </c>
      <c r="L28" s="66">
        <v>0</v>
      </c>
      <c r="M28" s="66">
        <v>0</v>
      </c>
      <c r="N28" s="66">
        <v>0</v>
      </c>
      <c r="O28" s="66">
        <v>0</v>
      </c>
      <c r="P28" s="66">
        <v>0</v>
      </c>
      <c r="Q28" s="66">
        <v>0</v>
      </c>
      <c r="R28" s="295" t="s">
        <v>152</v>
      </c>
    </row>
    <row r="29" spans="1:18" s="63" customFormat="1" ht="15.6" x14ac:dyDescent="0.3">
      <c r="A29" s="75" t="s">
        <v>32</v>
      </c>
      <c r="B29" s="170" t="s">
        <v>152</v>
      </c>
      <c r="C29" s="67" t="s">
        <v>152</v>
      </c>
      <c r="D29" s="66" t="s">
        <v>152</v>
      </c>
      <c r="E29" s="66">
        <v>9645</v>
      </c>
      <c r="F29" s="66">
        <v>7544.77</v>
      </c>
      <c r="G29" s="67">
        <v>11281</v>
      </c>
      <c r="H29" s="66">
        <v>9208</v>
      </c>
      <c r="I29" s="66">
        <v>9861</v>
      </c>
      <c r="J29" s="66">
        <v>1607</v>
      </c>
      <c r="K29" s="66">
        <v>53</v>
      </c>
      <c r="L29" s="66">
        <v>0</v>
      </c>
      <c r="M29" s="66">
        <v>467</v>
      </c>
      <c r="N29" s="66">
        <v>0</v>
      </c>
      <c r="O29" s="66">
        <v>0</v>
      </c>
      <c r="P29" s="66">
        <v>0</v>
      </c>
      <c r="Q29" s="66">
        <v>0</v>
      </c>
      <c r="R29" s="295" t="s">
        <v>152</v>
      </c>
    </row>
    <row r="30" spans="1:18" s="63" customFormat="1" ht="15.6" x14ac:dyDescent="0.3">
      <c r="A30" s="75" t="s">
        <v>33</v>
      </c>
      <c r="B30" s="170" t="s">
        <v>152</v>
      </c>
      <c r="C30" s="67" t="s">
        <v>152</v>
      </c>
      <c r="D30" s="66" t="s">
        <v>152</v>
      </c>
      <c r="E30" s="66">
        <v>20672</v>
      </c>
      <c r="F30" s="66">
        <v>11590.070000000002</v>
      </c>
      <c r="G30" s="67">
        <v>10726</v>
      </c>
      <c r="H30" s="66">
        <v>9298</v>
      </c>
      <c r="I30" s="66">
        <v>265</v>
      </c>
      <c r="J30" s="66">
        <v>44</v>
      </c>
      <c r="K30" s="66">
        <v>1234</v>
      </c>
      <c r="L30" s="66">
        <v>-5</v>
      </c>
      <c r="M30" s="66">
        <v>0</v>
      </c>
      <c r="N30" s="66">
        <v>0</v>
      </c>
      <c r="O30" s="66">
        <v>0</v>
      </c>
      <c r="P30" s="66">
        <v>0</v>
      </c>
      <c r="Q30" s="66">
        <v>0</v>
      </c>
      <c r="R30" s="295" t="s">
        <v>152</v>
      </c>
    </row>
    <row r="31" spans="1:18" s="63" customFormat="1" ht="15.6" x14ac:dyDescent="0.3">
      <c r="A31" s="75" t="s">
        <v>34</v>
      </c>
      <c r="B31" s="170" t="s">
        <v>152</v>
      </c>
      <c r="C31" s="67" t="s">
        <v>152</v>
      </c>
      <c r="D31" s="66" t="s">
        <v>152</v>
      </c>
      <c r="E31" s="66">
        <v>10169</v>
      </c>
      <c r="F31" s="66" t="s">
        <v>35</v>
      </c>
      <c r="G31" s="67">
        <v>9246</v>
      </c>
      <c r="H31" s="66">
        <v>7247</v>
      </c>
      <c r="I31" s="66">
        <v>5503</v>
      </c>
      <c r="J31" s="66">
        <v>3799</v>
      </c>
      <c r="K31" s="66">
        <v>2</v>
      </c>
      <c r="L31" s="66">
        <v>-229</v>
      </c>
      <c r="M31" s="66">
        <v>0</v>
      </c>
      <c r="N31" s="66">
        <v>0</v>
      </c>
      <c r="O31" s="66">
        <v>0</v>
      </c>
      <c r="P31" s="66">
        <v>0</v>
      </c>
      <c r="Q31" s="66">
        <v>0</v>
      </c>
      <c r="R31" s="295" t="s">
        <v>152</v>
      </c>
    </row>
    <row r="32" spans="1:18" s="63" customFormat="1" ht="16.2" thickBot="1" x14ac:dyDescent="0.35">
      <c r="A32" s="88" t="s">
        <v>36</v>
      </c>
      <c r="B32" s="87" t="s">
        <v>152</v>
      </c>
      <c r="C32" s="72" t="s">
        <v>152</v>
      </c>
      <c r="D32" s="72" t="s">
        <v>152</v>
      </c>
      <c r="E32" s="72">
        <v>7081</v>
      </c>
      <c r="F32" s="72">
        <v>17994</v>
      </c>
      <c r="G32" s="72">
        <v>5741</v>
      </c>
      <c r="H32" s="71">
        <v>8221</v>
      </c>
      <c r="I32" s="71">
        <v>-982</v>
      </c>
      <c r="J32" s="71">
        <v>155</v>
      </c>
      <c r="K32" s="71">
        <v>0</v>
      </c>
      <c r="L32" s="71">
        <v>0</v>
      </c>
      <c r="M32" s="71">
        <v>0</v>
      </c>
      <c r="N32" s="71">
        <v>0</v>
      </c>
      <c r="O32" s="71">
        <v>0</v>
      </c>
      <c r="P32" s="71">
        <v>0</v>
      </c>
      <c r="Q32" s="71">
        <v>0</v>
      </c>
      <c r="R32" s="292" t="s">
        <v>152</v>
      </c>
    </row>
    <row r="33" spans="1:18" s="63" customFormat="1" ht="16.2" thickTop="1" x14ac:dyDescent="0.3">
      <c r="A33" s="171" t="s">
        <v>37</v>
      </c>
      <c r="B33" s="90" t="s">
        <v>152</v>
      </c>
      <c r="C33" s="73" t="s">
        <v>152</v>
      </c>
      <c r="D33" s="73" t="s">
        <v>152</v>
      </c>
      <c r="E33" s="273">
        <f t="shared" ref="E33:M33" si="2">SUM(E21:E32)</f>
        <v>83363.37</v>
      </c>
      <c r="F33" s="273">
        <f t="shared" si="2"/>
        <v>140786.90000000002</v>
      </c>
      <c r="G33" s="273">
        <f t="shared" si="2"/>
        <v>122770</v>
      </c>
      <c r="H33" s="273">
        <f t="shared" si="2"/>
        <v>90653</v>
      </c>
      <c r="I33" s="273">
        <f t="shared" si="2"/>
        <v>90461</v>
      </c>
      <c r="J33" s="273">
        <f t="shared" si="2"/>
        <v>10125</v>
      </c>
      <c r="K33" s="273">
        <f t="shared" si="2"/>
        <v>1844</v>
      </c>
      <c r="L33" s="273">
        <f t="shared" si="2"/>
        <v>1796</v>
      </c>
      <c r="M33" s="273">
        <f t="shared" si="2"/>
        <v>468</v>
      </c>
      <c r="N33" s="273">
        <f>SUM(N21:N32)</f>
        <v>0</v>
      </c>
      <c r="O33" s="273">
        <f>SUM(O21:O32)</f>
        <v>0</v>
      </c>
      <c r="P33" s="273">
        <f>SUM(P21:P32)</f>
        <v>0</v>
      </c>
      <c r="Q33" s="273">
        <f>SUM(Q21:Q32)</f>
        <v>0</v>
      </c>
      <c r="R33" s="288">
        <f t="shared" ref="R33" si="3">SUM(R21:R32)</f>
        <v>0</v>
      </c>
    </row>
    <row r="34" spans="1:18" s="113" customFormat="1" ht="6.6" x14ac:dyDescent="0.3">
      <c r="A34" s="371" t="s">
        <v>174</v>
      </c>
      <c r="B34" s="371"/>
      <c r="C34" s="371"/>
      <c r="D34" s="371"/>
      <c r="E34" s="371"/>
      <c r="F34" s="371"/>
      <c r="G34" s="371"/>
      <c r="H34" s="371"/>
      <c r="I34" s="371"/>
      <c r="J34" s="371"/>
      <c r="K34" s="371"/>
      <c r="L34" s="371"/>
      <c r="M34" s="371"/>
      <c r="N34" s="371"/>
      <c r="O34" s="371"/>
      <c r="P34" s="371"/>
      <c r="Q34" s="371"/>
      <c r="R34" s="371"/>
    </row>
    <row r="35" spans="1:18" s="63" customFormat="1" ht="18" customHeight="1" x14ac:dyDescent="0.3">
      <c r="A35" s="389" t="s">
        <v>124</v>
      </c>
      <c r="B35" s="389"/>
      <c r="C35" s="389"/>
      <c r="D35" s="389"/>
      <c r="E35" s="389"/>
      <c r="F35" s="389"/>
      <c r="G35" s="389"/>
      <c r="H35" s="389"/>
      <c r="I35" s="389"/>
      <c r="J35" s="389"/>
      <c r="K35" s="389"/>
      <c r="L35" s="389"/>
      <c r="M35" s="389"/>
      <c r="N35" s="389"/>
      <c r="O35" s="389"/>
      <c r="P35" s="389"/>
      <c r="Q35" s="389"/>
      <c r="R35" s="389"/>
    </row>
    <row r="36" spans="1:18" s="63" customFormat="1" ht="15.6" x14ac:dyDescent="0.3">
      <c r="A36" s="172" t="s">
        <v>23</v>
      </c>
      <c r="B36" s="91">
        <v>2004</v>
      </c>
      <c r="C36" s="64">
        <v>2005</v>
      </c>
      <c r="D36" s="64">
        <v>2006</v>
      </c>
      <c r="E36" s="64">
        <v>2007</v>
      </c>
      <c r="F36" s="64">
        <v>2008</v>
      </c>
      <c r="G36" s="64">
        <v>2009</v>
      </c>
      <c r="H36" s="64">
        <v>2010</v>
      </c>
      <c r="I36" s="64">
        <v>2011</v>
      </c>
      <c r="J36" s="65">
        <v>2012</v>
      </c>
      <c r="K36" s="65">
        <v>2013</v>
      </c>
      <c r="L36" s="65">
        <v>2014</v>
      </c>
      <c r="M36" s="65">
        <v>2015</v>
      </c>
      <c r="N36" s="65">
        <v>2016</v>
      </c>
      <c r="O36" s="65">
        <v>2017</v>
      </c>
      <c r="P36" s="65">
        <v>2018</v>
      </c>
      <c r="Q36" s="65">
        <v>2019</v>
      </c>
      <c r="R36" s="49">
        <v>2020</v>
      </c>
    </row>
    <row r="37" spans="1:18" s="63" customFormat="1" ht="15.6" x14ac:dyDescent="0.3">
      <c r="A37" s="76" t="s">
        <v>24</v>
      </c>
      <c r="B37" s="108" t="s">
        <v>152</v>
      </c>
      <c r="C37" s="107" t="s">
        <v>152</v>
      </c>
      <c r="D37" s="83" t="s">
        <v>152</v>
      </c>
      <c r="E37" s="83" t="s">
        <v>152</v>
      </c>
      <c r="F37" s="83" t="s">
        <v>152</v>
      </c>
      <c r="G37" s="272">
        <v>0</v>
      </c>
      <c r="H37" s="271">
        <v>-8887</v>
      </c>
      <c r="I37" s="271">
        <v>-35</v>
      </c>
      <c r="J37" s="271">
        <v>-1044</v>
      </c>
      <c r="K37" s="271">
        <v>-863</v>
      </c>
      <c r="L37" s="271">
        <v>-52</v>
      </c>
      <c r="M37" s="271">
        <v>0</v>
      </c>
      <c r="N37" s="271">
        <v>0</v>
      </c>
      <c r="O37" s="271">
        <v>0</v>
      </c>
      <c r="P37" s="271">
        <v>0</v>
      </c>
      <c r="Q37" s="271">
        <v>0</v>
      </c>
      <c r="R37" s="286">
        <v>0</v>
      </c>
    </row>
    <row r="38" spans="1:18" s="63" customFormat="1" ht="15.6" x14ac:dyDescent="0.3">
      <c r="A38" s="75" t="s">
        <v>25</v>
      </c>
      <c r="B38" s="170" t="s">
        <v>152</v>
      </c>
      <c r="C38" s="67" t="s">
        <v>152</v>
      </c>
      <c r="D38" s="66" t="s">
        <v>152</v>
      </c>
      <c r="E38" s="66" t="s">
        <v>152</v>
      </c>
      <c r="F38" s="66" t="s">
        <v>152</v>
      </c>
      <c r="G38" s="67">
        <v>-20628</v>
      </c>
      <c r="H38" s="66">
        <v>-11151</v>
      </c>
      <c r="I38" s="66">
        <v>-17448</v>
      </c>
      <c r="J38" s="66">
        <v>-9505</v>
      </c>
      <c r="K38" s="66">
        <v>0</v>
      </c>
      <c r="L38" s="66">
        <v>0</v>
      </c>
      <c r="M38" s="66">
        <v>0</v>
      </c>
      <c r="N38" s="66">
        <v>0</v>
      </c>
      <c r="O38" s="66">
        <v>0</v>
      </c>
      <c r="P38" s="66">
        <v>0</v>
      </c>
      <c r="Q38" s="66">
        <v>0</v>
      </c>
      <c r="R38" s="287">
        <v>0</v>
      </c>
    </row>
    <row r="39" spans="1:18" s="63" customFormat="1" ht="15.6" x14ac:dyDescent="0.3">
      <c r="A39" s="75" t="s">
        <v>26</v>
      </c>
      <c r="B39" s="170" t="s">
        <v>152</v>
      </c>
      <c r="C39" s="67" t="s">
        <v>152</v>
      </c>
      <c r="D39" s="66" t="s">
        <v>152</v>
      </c>
      <c r="E39" s="66" t="s">
        <v>152</v>
      </c>
      <c r="F39" s="66" t="s">
        <v>152</v>
      </c>
      <c r="G39" s="67">
        <v>-32579</v>
      </c>
      <c r="H39" s="66">
        <v>-103</v>
      </c>
      <c r="I39" s="66">
        <v>-7441</v>
      </c>
      <c r="J39" s="66">
        <v>0</v>
      </c>
      <c r="K39" s="66">
        <v>-110</v>
      </c>
      <c r="L39" s="66">
        <v>-314</v>
      </c>
      <c r="M39" s="66">
        <v>0</v>
      </c>
      <c r="N39" s="66">
        <v>0</v>
      </c>
      <c r="O39" s="66">
        <v>0</v>
      </c>
      <c r="P39" s="66">
        <v>0</v>
      </c>
      <c r="Q39" s="66">
        <v>0</v>
      </c>
      <c r="R39" s="287">
        <v>0</v>
      </c>
    </row>
    <row r="40" spans="1:18" s="63" customFormat="1" ht="15.6" x14ac:dyDescent="0.3">
      <c r="A40" s="75" t="s">
        <v>27</v>
      </c>
      <c r="B40" s="170" t="s">
        <v>152</v>
      </c>
      <c r="C40" s="67" t="s">
        <v>152</v>
      </c>
      <c r="D40" s="66" t="s">
        <v>152</v>
      </c>
      <c r="E40" s="68" t="s">
        <v>152</v>
      </c>
      <c r="F40" s="66" t="s">
        <v>152</v>
      </c>
      <c r="G40" s="67">
        <v>-4353</v>
      </c>
      <c r="H40" s="66">
        <v>-4293</v>
      </c>
      <c r="I40" s="66">
        <v>-2624</v>
      </c>
      <c r="J40" s="66">
        <v>-624</v>
      </c>
      <c r="K40" s="66">
        <v>-465</v>
      </c>
      <c r="L40" s="66">
        <v>0</v>
      </c>
      <c r="M40" s="66">
        <v>-3739</v>
      </c>
      <c r="N40" s="66">
        <v>0</v>
      </c>
      <c r="O40" s="66">
        <v>0</v>
      </c>
      <c r="P40" s="66">
        <v>0</v>
      </c>
      <c r="Q40" s="66">
        <v>0</v>
      </c>
      <c r="R40" s="287">
        <v>0</v>
      </c>
    </row>
    <row r="41" spans="1:18" s="63" customFormat="1" ht="15.6" x14ac:dyDescent="0.3">
      <c r="A41" s="75" t="s">
        <v>28</v>
      </c>
      <c r="B41" s="170" t="s">
        <v>152</v>
      </c>
      <c r="C41" s="67" t="s">
        <v>152</v>
      </c>
      <c r="D41" s="66" t="s">
        <v>152</v>
      </c>
      <c r="E41" s="66" t="s">
        <v>152</v>
      </c>
      <c r="F41" s="66" t="s">
        <v>152</v>
      </c>
      <c r="G41" s="67">
        <v>-16349</v>
      </c>
      <c r="H41" s="66">
        <v>-1412</v>
      </c>
      <c r="I41" s="66">
        <v>-11045</v>
      </c>
      <c r="J41" s="66">
        <v>-2014</v>
      </c>
      <c r="K41" s="66">
        <v>0</v>
      </c>
      <c r="L41" s="66">
        <v>0</v>
      </c>
      <c r="M41" s="66">
        <v>0</v>
      </c>
      <c r="N41" s="66">
        <v>0</v>
      </c>
      <c r="O41" s="66">
        <v>0</v>
      </c>
      <c r="P41" s="66">
        <v>0</v>
      </c>
      <c r="Q41" s="66">
        <v>0</v>
      </c>
      <c r="R41" s="287">
        <v>0</v>
      </c>
    </row>
    <row r="42" spans="1:18" s="63" customFormat="1" ht="15.6" x14ac:dyDescent="0.3">
      <c r="A42" s="75" t="s">
        <v>29</v>
      </c>
      <c r="B42" s="170" t="s">
        <v>152</v>
      </c>
      <c r="C42" s="67" t="s">
        <v>152</v>
      </c>
      <c r="D42" s="66" t="s">
        <v>152</v>
      </c>
      <c r="E42" s="66" t="s">
        <v>152</v>
      </c>
      <c r="F42" s="66" t="s">
        <v>152</v>
      </c>
      <c r="G42" s="67">
        <v>-2391</v>
      </c>
      <c r="H42" s="66">
        <v>-465</v>
      </c>
      <c r="I42" s="66">
        <v>0</v>
      </c>
      <c r="J42" s="66">
        <v>0</v>
      </c>
      <c r="K42" s="66">
        <v>-7881</v>
      </c>
      <c r="L42" s="66">
        <v>-60</v>
      </c>
      <c r="M42" s="66">
        <v>0</v>
      </c>
      <c r="N42" s="66">
        <v>0</v>
      </c>
      <c r="O42" s="66">
        <v>0</v>
      </c>
      <c r="P42" s="66">
        <v>0</v>
      </c>
      <c r="Q42" s="66">
        <v>0</v>
      </c>
      <c r="R42" s="287">
        <v>0</v>
      </c>
    </row>
    <row r="43" spans="1:18" s="63" customFormat="1" ht="15.6" x14ac:dyDescent="0.3">
      <c r="A43" s="75" t="s">
        <v>30</v>
      </c>
      <c r="B43" s="170" t="s">
        <v>152</v>
      </c>
      <c r="C43" s="67" t="s">
        <v>152</v>
      </c>
      <c r="D43" s="66" t="s">
        <v>152</v>
      </c>
      <c r="E43" s="66" t="s">
        <v>152</v>
      </c>
      <c r="F43" s="66" t="s">
        <v>152</v>
      </c>
      <c r="G43" s="67">
        <v>-5</v>
      </c>
      <c r="H43" s="66">
        <v>-73</v>
      </c>
      <c r="I43" s="66">
        <v>-19835</v>
      </c>
      <c r="J43" s="66">
        <v>-566</v>
      </c>
      <c r="K43" s="66">
        <v>-240</v>
      </c>
      <c r="L43" s="66">
        <v>0</v>
      </c>
      <c r="M43" s="66">
        <v>0</v>
      </c>
      <c r="N43" s="66">
        <v>0</v>
      </c>
      <c r="O43" s="66">
        <v>0</v>
      </c>
      <c r="P43" s="66">
        <v>0</v>
      </c>
      <c r="Q43" s="66">
        <v>0</v>
      </c>
      <c r="R43" s="295" t="s">
        <v>152</v>
      </c>
    </row>
    <row r="44" spans="1:18" s="63" customFormat="1" ht="15.6" x14ac:dyDescent="0.3">
      <c r="A44" s="75" t="s">
        <v>31</v>
      </c>
      <c r="B44" s="170" t="s">
        <v>152</v>
      </c>
      <c r="C44" s="67" t="s">
        <v>152</v>
      </c>
      <c r="D44" s="66" t="s">
        <v>152</v>
      </c>
      <c r="E44" s="66" t="s">
        <v>152</v>
      </c>
      <c r="F44" s="66" t="s">
        <v>152</v>
      </c>
      <c r="G44" s="67">
        <v>-6461</v>
      </c>
      <c r="H44" s="66">
        <v>-2784</v>
      </c>
      <c r="I44" s="66">
        <v>-203</v>
      </c>
      <c r="J44" s="66">
        <v>-935</v>
      </c>
      <c r="K44" s="66">
        <v>0</v>
      </c>
      <c r="L44" s="66">
        <v>-14</v>
      </c>
      <c r="M44" s="66">
        <v>0</v>
      </c>
      <c r="N44" s="66">
        <v>0</v>
      </c>
      <c r="O44" s="66">
        <v>0</v>
      </c>
      <c r="P44" s="66">
        <v>0</v>
      </c>
      <c r="Q44" s="66">
        <v>0</v>
      </c>
      <c r="R44" s="295" t="s">
        <v>152</v>
      </c>
    </row>
    <row r="45" spans="1:18" s="63" customFormat="1" ht="15.6" x14ac:dyDescent="0.3">
      <c r="A45" s="75" t="s">
        <v>32</v>
      </c>
      <c r="B45" s="170" t="s">
        <v>152</v>
      </c>
      <c r="C45" s="67" t="s">
        <v>152</v>
      </c>
      <c r="D45" s="66" t="s">
        <v>152</v>
      </c>
      <c r="E45" s="66" t="s">
        <v>152</v>
      </c>
      <c r="F45" s="66" t="s">
        <v>152</v>
      </c>
      <c r="G45" s="67">
        <v>-14748</v>
      </c>
      <c r="H45" s="66">
        <v>-831</v>
      </c>
      <c r="I45" s="66">
        <v>-6083</v>
      </c>
      <c r="J45" s="66">
        <v>0</v>
      </c>
      <c r="K45" s="66">
        <v>0</v>
      </c>
      <c r="L45" s="66">
        <v>-229</v>
      </c>
      <c r="M45" s="66">
        <v>0</v>
      </c>
      <c r="N45" s="66">
        <v>0</v>
      </c>
      <c r="O45" s="66">
        <v>0</v>
      </c>
      <c r="P45" s="66">
        <v>0</v>
      </c>
      <c r="Q45" s="66">
        <v>0</v>
      </c>
      <c r="R45" s="295" t="s">
        <v>152</v>
      </c>
    </row>
    <row r="46" spans="1:18" s="63" customFormat="1" ht="15.6" x14ac:dyDescent="0.3">
      <c r="A46" s="75" t="s">
        <v>33</v>
      </c>
      <c r="B46" s="170" t="s">
        <v>152</v>
      </c>
      <c r="C46" s="67" t="s">
        <v>152</v>
      </c>
      <c r="D46" s="66" t="s">
        <v>152</v>
      </c>
      <c r="E46" s="66" t="s">
        <v>152</v>
      </c>
      <c r="F46" s="66" t="s">
        <v>152</v>
      </c>
      <c r="G46" s="67">
        <v>-19439</v>
      </c>
      <c r="H46" s="66">
        <v>-6335</v>
      </c>
      <c r="I46" s="66">
        <v>-16486</v>
      </c>
      <c r="J46" s="66">
        <v>-4506</v>
      </c>
      <c r="K46" s="66">
        <v>-141</v>
      </c>
      <c r="L46" s="66">
        <v>0</v>
      </c>
      <c r="M46" s="66">
        <v>0</v>
      </c>
      <c r="N46" s="66">
        <v>0</v>
      </c>
      <c r="O46" s="66">
        <v>0</v>
      </c>
      <c r="P46" s="66">
        <v>0</v>
      </c>
      <c r="Q46" s="66">
        <v>0</v>
      </c>
      <c r="R46" s="295" t="s">
        <v>152</v>
      </c>
    </row>
    <row r="47" spans="1:18" s="63" customFormat="1" ht="15.6" x14ac:dyDescent="0.3">
      <c r="A47" s="75" t="s">
        <v>34</v>
      </c>
      <c r="B47" s="170" t="s">
        <v>152</v>
      </c>
      <c r="C47" s="67" t="s">
        <v>152</v>
      </c>
      <c r="D47" s="66" t="s">
        <v>152</v>
      </c>
      <c r="E47" s="66" t="s">
        <v>152</v>
      </c>
      <c r="F47" s="66" t="s">
        <v>152</v>
      </c>
      <c r="G47" s="67">
        <v>-4694</v>
      </c>
      <c r="H47" s="66">
        <v>-13545</v>
      </c>
      <c r="I47" s="66">
        <v>-2724</v>
      </c>
      <c r="J47" s="66">
        <v>-21360</v>
      </c>
      <c r="K47" s="66">
        <v>-566</v>
      </c>
      <c r="L47" s="66">
        <v>0</v>
      </c>
      <c r="M47" s="66">
        <v>0</v>
      </c>
      <c r="N47" s="66">
        <v>0</v>
      </c>
      <c r="O47" s="66">
        <v>0</v>
      </c>
      <c r="P47" s="66">
        <v>0</v>
      </c>
      <c r="Q47" s="66">
        <v>0</v>
      </c>
      <c r="R47" s="295" t="s">
        <v>152</v>
      </c>
    </row>
    <row r="48" spans="1:18" s="63" customFormat="1" ht="16.2" thickBot="1" x14ac:dyDescent="0.35">
      <c r="A48" s="88" t="s">
        <v>36</v>
      </c>
      <c r="B48" s="87" t="s">
        <v>152</v>
      </c>
      <c r="C48" s="72" t="s">
        <v>152</v>
      </c>
      <c r="D48" s="72" t="s">
        <v>152</v>
      </c>
      <c r="E48" s="72" t="s">
        <v>152</v>
      </c>
      <c r="F48" s="274">
        <v>-19</v>
      </c>
      <c r="G48" s="72">
        <v>-2309</v>
      </c>
      <c r="H48" s="71">
        <v>0</v>
      </c>
      <c r="I48" s="71">
        <v>-8530</v>
      </c>
      <c r="J48" s="71">
        <v>-2587</v>
      </c>
      <c r="K48" s="71">
        <v>-9370</v>
      </c>
      <c r="L48" s="71">
        <v>0</v>
      </c>
      <c r="M48" s="71">
        <v>0</v>
      </c>
      <c r="N48" s="71">
        <v>0</v>
      </c>
      <c r="O48" s="71">
        <v>0</v>
      </c>
      <c r="P48" s="71">
        <v>0</v>
      </c>
      <c r="Q48" s="71">
        <v>0</v>
      </c>
      <c r="R48" s="292" t="s">
        <v>152</v>
      </c>
    </row>
    <row r="49" spans="1:18" s="63" customFormat="1" ht="16.2" thickTop="1" x14ac:dyDescent="0.3">
      <c r="A49" s="171" t="s">
        <v>37</v>
      </c>
      <c r="B49" s="90" t="s">
        <v>152</v>
      </c>
      <c r="C49" s="73" t="s">
        <v>152</v>
      </c>
      <c r="D49" s="73" t="s">
        <v>152</v>
      </c>
      <c r="E49" s="73" t="s">
        <v>152</v>
      </c>
      <c r="F49" s="273">
        <f t="shared" ref="F49:M49" si="4">SUM(F37:F48)</f>
        <v>-19</v>
      </c>
      <c r="G49" s="273">
        <f t="shared" si="4"/>
        <v>-123956</v>
      </c>
      <c r="H49" s="273">
        <f t="shared" si="4"/>
        <v>-49879</v>
      </c>
      <c r="I49" s="273">
        <f t="shared" si="4"/>
        <v>-92454</v>
      </c>
      <c r="J49" s="273">
        <f t="shared" si="4"/>
        <v>-43141</v>
      </c>
      <c r="K49" s="273">
        <f t="shared" si="4"/>
        <v>-19636</v>
      </c>
      <c r="L49" s="273">
        <f t="shared" si="4"/>
        <v>-669</v>
      </c>
      <c r="M49" s="273">
        <f t="shared" si="4"/>
        <v>-3739</v>
      </c>
      <c r="N49" s="273">
        <f>SUM(N37:N48)</f>
        <v>0</v>
      </c>
      <c r="O49" s="273">
        <f>SUM(O37:O48)</f>
        <v>0</v>
      </c>
      <c r="P49" s="273">
        <f>SUM(P37:P48)</f>
        <v>0</v>
      </c>
      <c r="Q49" s="273">
        <f>SUM(Q37:Q48)</f>
        <v>0</v>
      </c>
      <c r="R49" s="288">
        <f t="shared" ref="R49" si="5">SUM(R37:R48)</f>
        <v>0</v>
      </c>
    </row>
    <row r="50" spans="1:18" s="113" customFormat="1" ht="6.6" x14ac:dyDescent="0.3">
      <c r="A50" s="371" t="s">
        <v>174</v>
      </c>
      <c r="B50" s="371"/>
      <c r="C50" s="371"/>
      <c r="D50" s="371"/>
      <c r="E50" s="371"/>
      <c r="F50" s="371"/>
      <c r="G50" s="371"/>
      <c r="H50" s="371"/>
      <c r="I50" s="371"/>
      <c r="J50" s="371"/>
      <c r="K50" s="371"/>
      <c r="L50" s="371"/>
      <c r="M50" s="371"/>
      <c r="N50" s="371"/>
      <c r="O50" s="371"/>
      <c r="P50" s="371"/>
      <c r="Q50" s="371"/>
      <c r="R50" s="371"/>
    </row>
    <row r="51" spans="1:18" s="111" customFormat="1" ht="13.8" x14ac:dyDescent="0.3">
      <c r="A51" s="373" t="s">
        <v>154</v>
      </c>
      <c r="B51" s="373"/>
      <c r="C51" s="373"/>
      <c r="D51" s="373"/>
      <c r="E51" s="373"/>
      <c r="F51" s="373"/>
      <c r="G51" s="373"/>
      <c r="H51" s="373"/>
      <c r="I51" s="373"/>
      <c r="J51" s="373"/>
      <c r="K51" s="373"/>
      <c r="L51" s="373"/>
      <c r="M51" s="373"/>
      <c r="N51" s="373"/>
      <c r="O51" s="373"/>
      <c r="P51" s="373"/>
      <c r="Q51" s="373"/>
      <c r="R51" s="373"/>
    </row>
    <row r="52" spans="1:18" s="111" customFormat="1" ht="13.8" x14ac:dyDescent="0.3">
      <c r="A52" s="388" t="s">
        <v>39</v>
      </c>
      <c r="B52" s="388"/>
      <c r="C52" s="388"/>
      <c r="D52" s="388"/>
      <c r="E52" s="388"/>
      <c r="F52" s="388"/>
      <c r="G52" s="388"/>
      <c r="H52" s="388"/>
      <c r="I52" s="388"/>
      <c r="J52" s="388"/>
      <c r="K52" s="388"/>
      <c r="L52" s="388"/>
      <c r="M52" s="388"/>
      <c r="N52" s="388"/>
      <c r="O52" s="388"/>
      <c r="P52" s="388"/>
      <c r="Q52" s="388"/>
      <c r="R52" s="388"/>
    </row>
    <row r="53" spans="1:18" s="111" customFormat="1" ht="13.8" x14ac:dyDescent="0.3">
      <c r="A53" s="384" t="s">
        <v>181</v>
      </c>
      <c r="B53" s="384"/>
      <c r="C53" s="384"/>
      <c r="D53" s="384"/>
      <c r="E53" s="384"/>
      <c r="F53" s="384"/>
      <c r="G53" s="384"/>
      <c r="H53" s="384"/>
      <c r="I53" s="384"/>
      <c r="J53" s="384"/>
      <c r="K53" s="384"/>
      <c r="L53" s="384"/>
      <c r="M53" s="384"/>
      <c r="N53" s="384"/>
      <c r="O53" s="384"/>
      <c r="P53" s="384"/>
      <c r="Q53" s="384"/>
      <c r="R53" s="384"/>
    </row>
    <row r="54" spans="1:18" s="111" customFormat="1" ht="13.8" x14ac:dyDescent="0.3">
      <c r="A54" s="384" t="str">
        <f>'Local SUT'!A60</f>
        <v>Source:  Minnesota Department of Revenue, Tax Research Division, February 2021</v>
      </c>
      <c r="B54" s="384"/>
      <c r="C54" s="384"/>
      <c r="D54" s="384"/>
      <c r="E54" s="384"/>
      <c r="F54" s="384"/>
      <c r="G54" s="384"/>
      <c r="H54" s="384"/>
      <c r="I54" s="384"/>
      <c r="J54" s="384"/>
      <c r="K54" s="384"/>
      <c r="L54" s="384"/>
      <c r="M54" s="384"/>
      <c r="N54" s="384"/>
      <c r="O54" s="384"/>
      <c r="P54" s="384"/>
      <c r="Q54" s="384"/>
      <c r="R54" s="384"/>
    </row>
    <row r="55" spans="1:18" s="111" customFormat="1" ht="14.4" customHeight="1" x14ac:dyDescent="0.3">
      <c r="A55" s="379" t="s">
        <v>151</v>
      </c>
      <c r="B55" s="379"/>
      <c r="C55" s="379"/>
      <c r="D55" s="379"/>
      <c r="E55" s="379"/>
      <c r="F55" s="379"/>
      <c r="G55" s="379"/>
      <c r="H55" s="379"/>
      <c r="I55" s="379"/>
      <c r="J55" s="379"/>
      <c r="K55" s="379"/>
      <c r="L55" s="379"/>
      <c r="M55" s="379"/>
      <c r="N55" s="379"/>
      <c r="O55" s="379"/>
      <c r="P55" s="379"/>
      <c r="Q55" s="379"/>
      <c r="R55" s="379"/>
    </row>
  </sheetData>
  <mergeCells count="13">
    <mergeCell ref="A1:R1"/>
    <mergeCell ref="A2:R2"/>
    <mergeCell ref="A3:R3"/>
    <mergeCell ref="A18:R18"/>
    <mergeCell ref="A19:R19"/>
    <mergeCell ref="A53:R53"/>
    <mergeCell ref="A54:R54"/>
    <mergeCell ref="A55:R55"/>
    <mergeCell ref="A34:R34"/>
    <mergeCell ref="A35:R35"/>
    <mergeCell ref="A50:R50"/>
    <mergeCell ref="A51:R51"/>
    <mergeCell ref="A52:R52"/>
  </mergeCells>
  <pageMargins left="0" right="0" top="0.75" bottom="0.75" header="0.3" footer="0.3"/>
  <pageSetup scale="82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1">
    <pageSetUpPr fitToPage="1"/>
  </sheetPr>
  <dimension ref="A1:R54"/>
  <sheetViews>
    <sheetView showGridLines="0" workbookViewId="0">
      <pane ySplit="1" topLeftCell="A2" activePane="bottomLeft" state="frozen"/>
      <selection pane="bottomLeft" sqref="A1:R1"/>
    </sheetView>
  </sheetViews>
  <sheetFormatPr defaultColWidth="12.5546875" defaultRowHeight="14.4" x14ac:dyDescent="0.3"/>
  <cols>
    <col min="1" max="1" width="12.5546875" style="180"/>
    <col min="2" max="17" width="13.5546875" style="173" customWidth="1"/>
    <col min="18" max="18" width="13.5546875" style="145" customWidth="1"/>
    <col min="19" max="16384" width="12.5546875" style="173"/>
  </cols>
  <sheetData>
    <row r="1" spans="1:18" s="112" customFormat="1" ht="21" x14ac:dyDescent="0.3">
      <c r="A1" s="380" t="s">
        <v>212</v>
      </c>
      <c r="B1" s="380"/>
      <c r="C1" s="380"/>
      <c r="D1" s="380"/>
      <c r="E1" s="380"/>
      <c r="F1" s="380"/>
      <c r="G1" s="380"/>
      <c r="H1" s="380"/>
      <c r="I1" s="380"/>
      <c r="J1" s="380"/>
      <c r="K1" s="380"/>
      <c r="L1" s="380"/>
      <c r="M1" s="380"/>
      <c r="N1" s="380"/>
      <c r="O1" s="380"/>
      <c r="P1" s="380"/>
      <c r="Q1" s="380"/>
      <c r="R1" s="380"/>
    </row>
    <row r="2" spans="1:18" s="106" customFormat="1" ht="18" x14ac:dyDescent="0.3">
      <c r="A2" s="381" t="str">
        <f>'Local SUT'!A2</f>
        <v>CY 2004-2020</v>
      </c>
      <c r="B2" s="381"/>
      <c r="C2" s="381"/>
      <c r="D2" s="381"/>
      <c r="E2" s="381"/>
      <c r="F2" s="381"/>
      <c r="G2" s="381"/>
      <c r="H2" s="381"/>
      <c r="I2" s="381"/>
      <c r="J2" s="381"/>
      <c r="K2" s="381"/>
      <c r="L2" s="381"/>
      <c r="M2" s="381"/>
      <c r="N2" s="381"/>
      <c r="O2" s="381"/>
      <c r="P2" s="381"/>
      <c r="Q2" s="381"/>
      <c r="R2" s="381"/>
    </row>
    <row r="3" spans="1:18" s="106" customFormat="1" ht="18" x14ac:dyDescent="0.3">
      <c r="A3" s="370" t="s">
        <v>145</v>
      </c>
      <c r="B3" s="370"/>
      <c r="C3" s="370"/>
      <c r="D3" s="370"/>
      <c r="E3" s="370"/>
      <c r="F3" s="370"/>
      <c r="G3" s="370"/>
      <c r="H3" s="370"/>
      <c r="I3" s="370"/>
      <c r="J3" s="370"/>
      <c r="K3" s="370"/>
      <c r="L3" s="370"/>
      <c r="M3" s="370"/>
      <c r="N3" s="370"/>
      <c r="O3" s="370"/>
      <c r="P3" s="370"/>
      <c r="Q3" s="370"/>
      <c r="R3" s="370"/>
    </row>
    <row r="4" spans="1:18" s="63" customFormat="1" ht="15.6" x14ac:dyDescent="0.3">
      <c r="A4" s="77" t="s">
        <v>23</v>
      </c>
      <c r="B4" s="91">
        <v>2004</v>
      </c>
      <c r="C4" s="64">
        <v>2005</v>
      </c>
      <c r="D4" s="64">
        <v>2006</v>
      </c>
      <c r="E4" s="64">
        <v>2007</v>
      </c>
      <c r="F4" s="64">
        <v>2008</v>
      </c>
      <c r="G4" s="64">
        <v>2009</v>
      </c>
      <c r="H4" s="64">
        <v>2010</v>
      </c>
      <c r="I4" s="64">
        <v>2011</v>
      </c>
      <c r="J4" s="65">
        <v>2012</v>
      </c>
      <c r="K4" s="65">
        <v>2013</v>
      </c>
      <c r="L4" s="65">
        <v>2014</v>
      </c>
      <c r="M4" s="65">
        <v>2015</v>
      </c>
      <c r="N4" s="65">
        <v>2016</v>
      </c>
      <c r="O4" s="65">
        <v>2017</v>
      </c>
      <c r="P4" s="65">
        <v>2018</v>
      </c>
      <c r="Q4" s="65">
        <v>2019</v>
      </c>
      <c r="R4" s="49">
        <v>2020</v>
      </c>
    </row>
    <row r="5" spans="1:18" s="63" customFormat="1" ht="15.6" x14ac:dyDescent="0.3">
      <c r="A5" s="76" t="s">
        <v>24</v>
      </c>
      <c r="B5" s="278">
        <v>8506.85</v>
      </c>
      <c r="C5" s="272">
        <v>9701</v>
      </c>
      <c r="D5" s="271">
        <v>8915.98</v>
      </c>
      <c r="E5" s="271">
        <v>10406</v>
      </c>
      <c r="F5" s="271">
        <v>9119</v>
      </c>
      <c r="G5" s="271">
        <v>9804</v>
      </c>
      <c r="H5" s="271">
        <v>10655</v>
      </c>
      <c r="I5" s="271">
        <v>9269</v>
      </c>
      <c r="J5" s="271">
        <v>9969</v>
      </c>
      <c r="K5" s="271">
        <v>12546</v>
      </c>
      <c r="L5" s="271">
        <v>10584</v>
      </c>
      <c r="M5" s="271">
        <v>11490</v>
      </c>
      <c r="N5" s="271">
        <v>11067</v>
      </c>
      <c r="O5" s="271">
        <v>14049</v>
      </c>
      <c r="P5" s="271">
        <v>31922</v>
      </c>
      <c r="Q5" s="271">
        <v>27405</v>
      </c>
      <c r="R5" s="286">
        <v>27372</v>
      </c>
    </row>
    <row r="6" spans="1:18" s="63" customFormat="1" ht="15.6" x14ac:dyDescent="0.3">
      <c r="A6" s="75" t="s">
        <v>25</v>
      </c>
      <c r="B6" s="170">
        <v>7178.96</v>
      </c>
      <c r="C6" s="67">
        <v>8454</v>
      </c>
      <c r="D6" s="66">
        <v>7920</v>
      </c>
      <c r="E6" s="66">
        <v>8321</v>
      </c>
      <c r="F6" s="66">
        <v>9051</v>
      </c>
      <c r="G6" s="66">
        <v>14562</v>
      </c>
      <c r="H6" s="66">
        <v>7882</v>
      </c>
      <c r="I6" s="66">
        <v>8218</v>
      </c>
      <c r="J6" s="66">
        <v>2454</v>
      </c>
      <c r="K6" s="66">
        <v>9225</v>
      </c>
      <c r="L6" s="66">
        <v>9229</v>
      </c>
      <c r="M6" s="66">
        <v>10343</v>
      </c>
      <c r="N6" s="66">
        <v>11021</v>
      </c>
      <c r="O6" s="66">
        <v>10537</v>
      </c>
      <c r="P6" s="66">
        <v>22517</v>
      </c>
      <c r="Q6" s="66">
        <v>22508</v>
      </c>
      <c r="R6" s="287">
        <v>24926</v>
      </c>
    </row>
    <row r="7" spans="1:18" s="63" customFormat="1" ht="15.6" x14ac:dyDescent="0.3">
      <c r="A7" s="75" t="s">
        <v>26</v>
      </c>
      <c r="B7" s="170">
        <v>6889.97</v>
      </c>
      <c r="C7" s="67">
        <v>7537.15</v>
      </c>
      <c r="D7" s="66">
        <v>7673</v>
      </c>
      <c r="E7" s="66">
        <v>7490</v>
      </c>
      <c r="F7" s="66">
        <v>6825</v>
      </c>
      <c r="G7" s="66">
        <v>8677</v>
      </c>
      <c r="H7" s="66">
        <v>7325</v>
      </c>
      <c r="I7" s="66">
        <v>8384</v>
      </c>
      <c r="J7" s="66">
        <v>7170</v>
      </c>
      <c r="K7" s="66">
        <v>9306</v>
      </c>
      <c r="L7" s="66">
        <v>8325</v>
      </c>
      <c r="M7" s="66">
        <v>10654</v>
      </c>
      <c r="N7" s="66">
        <v>10849</v>
      </c>
      <c r="O7" s="66">
        <v>11208</v>
      </c>
      <c r="P7" s="66">
        <v>19884</v>
      </c>
      <c r="Q7" s="66">
        <v>21791</v>
      </c>
      <c r="R7" s="287">
        <v>22699</v>
      </c>
    </row>
    <row r="8" spans="1:18" s="63" customFormat="1" ht="15.6" x14ac:dyDescent="0.3">
      <c r="A8" s="75" t="s">
        <v>27</v>
      </c>
      <c r="B8" s="170">
        <v>8950</v>
      </c>
      <c r="C8" s="67">
        <v>8093</v>
      </c>
      <c r="D8" s="66">
        <v>7796</v>
      </c>
      <c r="E8" s="66">
        <v>8457.2900000000009</v>
      </c>
      <c r="F8" s="66">
        <v>8208</v>
      </c>
      <c r="G8" s="66">
        <v>8417</v>
      </c>
      <c r="H8" s="66">
        <v>8445</v>
      </c>
      <c r="I8" s="66">
        <v>8880</v>
      </c>
      <c r="J8" s="66">
        <v>8568</v>
      </c>
      <c r="K8" s="66">
        <v>10072</v>
      </c>
      <c r="L8" s="66">
        <v>9561</v>
      </c>
      <c r="M8" s="66">
        <v>12041</v>
      </c>
      <c r="N8" s="66">
        <v>11801</v>
      </c>
      <c r="O8" s="66">
        <v>12687</v>
      </c>
      <c r="P8" s="66">
        <v>22083</v>
      </c>
      <c r="Q8" s="66">
        <v>23687</v>
      </c>
      <c r="R8" s="287">
        <v>27327</v>
      </c>
    </row>
    <row r="9" spans="1:18" s="63" customFormat="1" ht="15.6" x14ac:dyDescent="0.3">
      <c r="A9" s="75" t="s">
        <v>28</v>
      </c>
      <c r="B9" s="170">
        <v>7562</v>
      </c>
      <c r="C9" s="67">
        <v>7595</v>
      </c>
      <c r="D9" s="66">
        <v>7350</v>
      </c>
      <c r="E9" s="66">
        <v>7336.17</v>
      </c>
      <c r="F9" s="66">
        <v>8213</v>
      </c>
      <c r="G9" s="66">
        <v>8660</v>
      </c>
      <c r="H9" s="66">
        <v>8779</v>
      </c>
      <c r="I9" s="66">
        <v>8217</v>
      </c>
      <c r="J9" s="66">
        <v>7306</v>
      </c>
      <c r="K9" s="66">
        <v>9395</v>
      </c>
      <c r="L9" s="66">
        <v>8568</v>
      </c>
      <c r="M9" s="66">
        <v>10523</v>
      </c>
      <c r="N9" s="66">
        <v>10510</v>
      </c>
      <c r="O9" s="66">
        <v>13905</v>
      </c>
      <c r="P9" s="66">
        <v>21282</v>
      </c>
      <c r="Q9" s="66">
        <v>22493</v>
      </c>
      <c r="R9" s="287">
        <v>19644</v>
      </c>
    </row>
    <row r="10" spans="1:18" s="63" customFormat="1" ht="15.6" x14ac:dyDescent="0.3">
      <c r="A10" s="75" t="s">
        <v>29</v>
      </c>
      <c r="B10" s="170">
        <v>8219</v>
      </c>
      <c r="C10" s="67">
        <v>8539</v>
      </c>
      <c r="D10" s="66">
        <v>8150</v>
      </c>
      <c r="E10" s="66">
        <v>9579</v>
      </c>
      <c r="F10" s="66">
        <v>10564.34</v>
      </c>
      <c r="G10" s="66">
        <v>9790</v>
      </c>
      <c r="H10" s="66">
        <v>9927</v>
      </c>
      <c r="I10" s="66">
        <v>9905</v>
      </c>
      <c r="J10" s="66">
        <v>11146</v>
      </c>
      <c r="K10" s="66">
        <v>35562</v>
      </c>
      <c r="L10" s="66">
        <v>10344</v>
      </c>
      <c r="M10" s="66">
        <v>14789</v>
      </c>
      <c r="N10" s="66">
        <v>12360</v>
      </c>
      <c r="O10" s="66">
        <v>18547</v>
      </c>
      <c r="P10" s="66">
        <v>26481</v>
      </c>
      <c r="Q10" s="66">
        <v>31394</v>
      </c>
      <c r="R10" s="287">
        <v>23481</v>
      </c>
    </row>
    <row r="11" spans="1:18" s="63" customFormat="1" ht="15.6" x14ac:dyDescent="0.3">
      <c r="A11" s="75" t="s">
        <v>30</v>
      </c>
      <c r="B11" s="170">
        <v>9650.7199999999993</v>
      </c>
      <c r="C11" s="67">
        <v>8774</v>
      </c>
      <c r="D11" s="66">
        <v>9334</v>
      </c>
      <c r="E11" s="66">
        <v>8751</v>
      </c>
      <c r="F11" s="66">
        <v>7248</v>
      </c>
      <c r="G11" s="66">
        <v>11498</v>
      </c>
      <c r="H11" s="66">
        <v>17369</v>
      </c>
      <c r="I11" s="66">
        <v>10689</v>
      </c>
      <c r="J11" s="66">
        <v>10190</v>
      </c>
      <c r="K11" s="66">
        <v>10739</v>
      </c>
      <c r="L11" s="66">
        <v>11751</v>
      </c>
      <c r="M11" s="66">
        <v>16267</v>
      </c>
      <c r="N11" s="66">
        <v>12788</v>
      </c>
      <c r="O11" s="66">
        <v>17366</v>
      </c>
      <c r="P11" s="66">
        <v>29382</v>
      </c>
      <c r="Q11" s="66">
        <v>34161</v>
      </c>
      <c r="R11" s="291" t="s">
        <v>152</v>
      </c>
    </row>
    <row r="12" spans="1:18" s="63" customFormat="1" ht="15.6" x14ac:dyDescent="0.3">
      <c r="A12" s="75" t="s">
        <v>31</v>
      </c>
      <c r="B12" s="170">
        <v>12187.85</v>
      </c>
      <c r="C12" s="67">
        <v>11833.38</v>
      </c>
      <c r="D12" s="66">
        <v>12534</v>
      </c>
      <c r="E12" s="66">
        <v>10920.41</v>
      </c>
      <c r="F12" s="66">
        <v>13871.23</v>
      </c>
      <c r="G12" s="66">
        <v>11724</v>
      </c>
      <c r="H12" s="66">
        <v>14196</v>
      </c>
      <c r="I12" s="66">
        <v>12521</v>
      </c>
      <c r="J12" s="66">
        <v>14830</v>
      </c>
      <c r="K12" s="66">
        <v>20983</v>
      </c>
      <c r="L12" s="66">
        <v>13132</v>
      </c>
      <c r="M12" s="66">
        <v>16700</v>
      </c>
      <c r="N12" s="66">
        <v>19325</v>
      </c>
      <c r="O12" s="66">
        <v>16227</v>
      </c>
      <c r="P12" s="66">
        <v>29403</v>
      </c>
      <c r="Q12" s="66">
        <v>32841</v>
      </c>
      <c r="R12" s="295" t="s">
        <v>152</v>
      </c>
    </row>
    <row r="13" spans="1:18" s="63" customFormat="1" ht="15.6" x14ac:dyDescent="0.3">
      <c r="A13" s="75" t="s">
        <v>32</v>
      </c>
      <c r="B13" s="170">
        <v>10884.92</v>
      </c>
      <c r="C13" s="67">
        <v>11857</v>
      </c>
      <c r="D13" s="66">
        <v>13016</v>
      </c>
      <c r="E13" s="66">
        <v>12388.07</v>
      </c>
      <c r="F13" s="66">
        <v>12926.44</v>
      </c>
      <c r="G13" s="66">
        <v>11438</v>
      </c>
      <c r="H13" s="66">
        <v>13801</v>
      </c>
      <c r="I13" s="66">
        <v>13122</v>
      </c>
      <c r="J13" s="66">
        <v>13822</v>
      </c>
      <c r="K13" s="66">
        <v>16586</v>
      </c>
      <c r="L13" s="66">
        <v>14125</v>
      </c>
      <c r="M13" s="66">
        <v>18706</v>
      </c>
      <c r="N13" s="66">
        <v>16973</v>
      </c>
      <c r="O13" s="66">
        <v>15054</v>
      </c>
      <c r="P13" s="66">
        <v>41760</v>
      </c>
      <c r="Q13" s="66">
        <v>36463</v>
      </c>
      <c r="R13" s="295" t="s">
        <v>152</v>
      </c>
    </row>
    <row r="14" spans="1:18" s="63" customFormat="1" ht="15.6" x14ac:dyDescent="0.3">
      <c r="A14" s="75" t="s">
        <v>33</v>
      </c>
      <c r="B14" s="170">
        <v>10755.66</v>
      </c>
      <c r="C14" s="67">
        <v>10458</v>
      </c>
      <c r="D14" s="66">
        <v>12000</v>
      </c>
      <c r="E14" s="66">
        <v>10305</v>
      </c>
      <c r="F14" s="66">
        <v>10463.4</v>
      </c>
      <c r="G14" s="66">
        <v>11093</v>
      </c>
      <c r="H14" s="66">
        <v>11849</v>
      </c>
      <c r="I14" s="66">
        <v>12223</v>
      </c>
      <c r="J14" s="66">
        <v>13249</v>
      </c>
      <c r="K14" s="66">
        <v>13525</v>
      </c>
      <c r="L14" s="66">
        <v>11472</v>
      </c>
      <c r="M14" s="66">
        <v>14382</v>
      </c>
      <c r="N14" s="66">
        <v>13927</v>
      </c>
      <c r="O14" s="66">
        <v>18444</v>
      </c>
      <c r="P14" s="66">
        <v>35016</v>
      </c>
      <c r="Q14" s="66">
        <v>31696</v>
      </c>
      <c r="R14" s="295" t="s">
        <v>152</v>
      </c>
    </row>
    <row r="15" spans="1:18" s="63" customFormat="1" ht="15.6" x14ac:dyDescent="0.3">
      <c r="A15" s="75" t="s">
        <v>34</v>
      </c>
      <c r="B15" s="170">
        <v>9975</v>
      </c>
      <c r="C15" s="67">
        <v>-6209</v>
      </c>
      <c r="D15" s="66">
        <v>9751</v>
      </c>
      <c r="E15" s="66">
        <v>9273</v>
      </c>
      <c r="F15" s="66" t="s">
        <v>35</v>
      </c>
      <c r="G15" s="66">
        <v>10228</v>
      </c>
      <c r="H15" s="66">
        <v>11490</v>
      </c>
      <c r="I15" s="66">
        <v>10662</v>
      </c>
      <c r="J15" s="66">
        <v>12410</v>
      </c>
      <c r="K15" s="66">
        <v>11876</v>
      </c>
      <c r="L15" s="66">
        <v>13669</v>
      </c>
      <c r="M15" s="66">
        <v>14336</v>
      </c>
      <c r="N15" s="66">
        <v>15356</v>
      </c>
      <c r="O15" s="66">
        <v>30581</v>
      </c>
      <c r="P15" s="66">
        <v>26861</v>
      </c>
      <c r="Q15" s="66">
        <v>29474</v>
      </c>
      <c r="R15" s="295" t="s">
        <v>152</v>
      </c>
    </row>
    <row r="16" spans="1:18" s="63" customFormat="1" ht="16.2" thickBot="1" x14ac:dyDescent="0.35">
      <c r="A16" s="88" t="s">
        <v>36</v>
      </c>
      <c r="B16" s="87">
        <v>8158</v>
      </c>
      <c r="C16" s="72">
        <v>7785</v>
      </c>
      <c r="D16" s="72">
        <v>8049.28</v>
      </c>
      <c r="E16" s="72">
        <v>8350.7000000000007</v>
      </c>
      <c r="F16" s="72">
        <v>17937</v>
      </c>
      <c r="G16" s="71">
        <v>8235</v>
      </c>
      <c r="H16" s="72">
        <v>9560</v>
      </c>
      <c r="I16" s="71">
        <v>10808</v>
      </c>
      <c r="J16" s="71">
        <v>9771</v>
      </c>
      <c r="K16" s="71">
        <v>10472</v>
      </c>
      <c r="L16" s="71">
        <v>10538</v>
      </c>
      <c r="M16" s="71">
        <v>12242</v>
      </c>
      <c r="N16" s="71">
        <v>12270</v>
      </c>
      <c r="O16" s="71">
        <v>21572</v>
      </c>
      <c r="P16" s="71">
        <v>24073</v>
      </c>
      <c r="Q16" s="71">
        <v>23199</v>
      </c>
      <c r="R16" s="292" t="s">
        <v>152</v>
      </c>
    </row>
    <row r="17" spans="1:18" s="63" customFormat="1" ht="16.2" thickTop="1" x14ac:dyDescent="0.3">
      <c r="A17" s="89" t="s">
        <v>37</v>
      </c>
      <c r="B17" s="277">
        <f t="shared" ref="B17:P17" si="0">SUM(B5:B16)</f>
        <v>108918.93000000001</v>
      </c>
      <c r="C17" s="273">
        <f t="shared" si="0"/>
        <v>94417.53</v>
      </c>
      <c r="D17" s="273">
        <f t="shared" si="0"/>
        <v>112489.26</v>
      </c>
      <c r="E17" s="273">
        <f t="shared" si="0"/>
        <v>111577.64</v>
      </c>
      <c r="F17" s="273">
        <f t="shared" si="0"/>
        <v>114426.40999999999</v>
      </c>
      <c r="G17" s="273">
        <f t="shared" si="0"/>
        <v>124126</v>
      </c>
      <c r="H17" s="273">
        <f t="shared" si="0"/>
        <v>131278</v>
      </c>
      <c r="I17" s="273">
        <f t="shared" si="0"/>
        <v>122898</v>
      </c>
      <c r="J17" s="273">
        <f t="shared" si="0"/>
        <v>120885</v>
      </c>
      <c r="K17" s="273">
        <f t="shared" si="0"/>
        <v>170287</v>
      </c>
      <c r="L17" s="273">
        <f t="shared" si="0"/>
        <v>131298</v>
      </c>
      <c r="M17" s="273">
        <f t="shared" si="0"/>
        <v>162473</v>
      </c>
      <c r="N17" s="273">
        <f t="shared" si="0"/>
        <v>158247</v>
      </c>
      <c r="O17" s="273">
        <f t="shared" si="0"/>
        <v>200177</v>
      </c>
      <c r="P17" s="273">
        <f t="shared" si="0"/>
        <v>330664</v>
      </c>
      <c r="Q17" s="273">
        <f t="shared" ref="Q17:R17" si="1">SUM(Q5:Q16)</f>
        <v>337112</v>
      </c>
      <c r="R17" s="288">
        <f t="shared" si="1"/>
        <v>145449</v>
      </c>
    </row>
    <row r="18" spans="1:18" s="113" customFormat="1" ht="6.6" x14ac:dyDescent="0.3">
      <c r="A18" s="371" t="s">
        <v>174</v>
      </c>
      <c r="B18" s="371"/>
      <c r="C18" s="371"/>
      <c r="D18" s="371"/>
      <c r="E18" s="371"/>
      <c r="F18" s="371"/>
      <c r="G18" s="371"/>
      <c r="H18" s="371"/>
      <c r="I18" s="371"/>
      <c r="J18" s="371"/>
      <c r="K18" s="371"/>
      <c r="L18" s="371"/>
      <c r="M18" s="371"/>
      <c r="N18" s="371"/>
      <c r="O18" s="371"/>
      <c r="P18" s="371"/>
      <c r="Q18" s="371"/>
      <c r="R18" s="371"/>
    </row>
    <row r="19" spans="1:18" s="106" customFormat="1" ht="18" x14ac:dyDescent="0.3">
      <c r="A19" s="370" t="s">
        <v>146</v>
      </c>
      <c r="B19" s="370"/>
      <c r="C19" s="370"/>
      <c r="D19" s="370"/>
      <c r="E19" s="370"/>
      <c r="F19" s="370"/>
      <c r="G19" s="370"/>
      <c r="H19" s="370"/>
      <c r="I19" s="370"/>
      <c r="J19" s="370"/>
      <c r="K19" s="370"/>
      <c r="L19" s="370"/>
      <c r="M19" s="370"/>
      <c r="N19" s="370"/>
      <c r="O19" s="370"/>
      <c r="P19" s="370"/>
      <c r="Q19" s="370"/>
      <c r="R19" s="370"/>
    </row>
    <row r="20" spans="1:18" s="63" customFormat="1" ht="15.6" x14ac:dyDescent="0.3">
      <c r="A20" s="77" t="s">
        <v>23</v>
      </c>
      <c r="B20" s="91">
        <v>2004</v>
      </c>
      <c r="C20" s="64">
        <v>2005</v>
      </c>
      <c r="D20" s="64">
        <v>2006</v>
      </c>
      <c r="E20" s="64">
        <v>2007</v>
      </c>
      <c r="F20" s="64">
        <v>2008</v>
      </c>
      <c r="G20" s="64">
        <v>2009</v>
      </c>
      <c r="H20" s="64">
        <v>2010</v>
      </c>
      <c r="I20" s="64">
        <v>2011</v>
      </c>
      <c r="J20" s="65">
        <v>2012</v>
      </c>
      <c r="K20" s="65">
        <v>2013</v>
      </c>
      <c r="L20" s="65">
        <v>2014</v>
      </c>
      <c r="M20" s="65">
        <v>2015</v>
      </c>
      <c r="N20" s="65">
        <v>2016</v>
      </c>
      <c r="O20" s="65">
        <v>2017</v>
      </c>
      <c r="P20" s="65">
        <v>2018</v>
      </c>
      <c r="Q20" s="65">
        <v>2019</v>
      </c>
      <c r="R20" s="49">
        <v>2020</v>
      </c>
    </row>
    <row r="21" spans="1:18" s="63" customFormat="1" ht="15.6" x14ac:dyDescent="0.3">
      <c r="A21" s="76" t="s">
        <v>24</v>
      </c>
      <c r="B21" s="278">
        <v>3084.23</v>
      </c>
      <c r="C21" s="272">
        <v>811</v>
      </c>
      <c r="D21" s="271">
        <v>3700</v>
      </c>
      <c r="E21" s="271">
        <v>1668.15</v>
      </c>
      <c r="F21" s="271">
        <v>956</v>
      </c>
      <c r="G21" s="271">
        <v>1357</v>
      </c>
      <c r="H21" s="271">
        <v>2703</v>
      </c>
      <c r="I21" s="271">
        <v>2583</v>
      </c>
      <c r="J21" s="271">
        <v>1463</v>
      </c>
      <c r="K21" s="271">
        <v>1185</v>
      </c>
      <c r="L21" s="271">
        <v>1528</v>
      </c>
      <c r="M21" s="271">
        <v>7106</v>
      </c>
      <c r="N21" s="271">
        <v>1903</v>
      </c>
      <c r="O21" s="271">
        <v>1319</v>
      </c>
      <c r="P21" s="271">
        <v>10627</v>
      </c>
      <c r="Q21" s="271">
        <v>15333</v>
      </c>
      <c r="R21" s="286">
        <v>4972</v>
      </c>
    </row>
    <row r="22" spans="1:18" s="63" customFormat="1" ht="15.6" x14ac:dyDescent="0.3">
      <c r="A22" s="75" t="s">
        <v>25</v>
      </c>
      <c r="B22" s="170">
        <v>686</v>
      </c>
      <c r="C22" s="67">
        <v>1095</v>
      </c>
      <c r="D22" s="66">
        <v>4805</v>
      </c>
      <c r="E22" s="66">
        <v>743.88</v>
      </c>
      <c r="F22" s="66">
        <v>1404</v>
      </c>
      <c r="G22" s="66">
        <v>5199</v>
      </c>
      <c r="H22" s="66">
        <v>-3556</v>
      </c>
      <c r="I22" s="66">
        <v>1137</v>
      </c>
      <c r="J22" s="66">
        <v>734</v>
      </c>
      <c r="K22" s="66">
        <v>1133</v>
      </c>
      <c r="L22" s="66">
        <v>3082</v>
      </c>
      <c r="M22" s="66">
        <v>2176</v>
      </c>
      <c r="N22" s="66">
        <v>1996</v>
      </c>
      <c r="O22" s="66">
        <v>1217</v>
      </c>
      <c r="P22" s="66">
        <v>20298</v>
      </c>
      <c r="Q22" s="66">
        <v>3233</v>
      </c>
      <c r="R22" s="287">
        <v>4843</v>
      </c>
    </row>
    <row r="23" spans="1:18" s="63" customFormat="1" ht="15.6" x14ac:dyDescent="0.3">
      <c r="A23" s="75" t="s">
        <v>26</v>
      </c>
      <c r="B23" s="170">
        <v>914.84</v>
      </c>
      <c r="C23" s="67">
        <v>1832.65</v>
      </c>
      <c r="D23" s="66">
        <v>5000</v>
      </c>
      <c r="E23" s="66">
        <v>1740.35</v>
      </c>
      <c r="F23" s="66">
        <v>1026</v>
      </c>
      <c r="G23" s="66">
        <v>850</v>
      </c>
      <c r="H23" s="66">
        <v>1169</v>
      </c>
      <c r="I23" s="66">
        <v>1156</v>
      </c>
      <c r="J23" s="66">
        <v>1105</v>
      </c>
      <c r="K23" s="66">
        <v>1308</v>
      </c>
      <c r="L23" s="66">
        <v>1643</v>
      </c>
      <c r="M23" s="66">
        <v>4286</v>
      </c>
      <c r="N23" s="66">
        <v>1963</v>
      </c>
      <c r="O23" s="66">
        <v>2188</v>
      </c>
      <c r="P23" s="66">
        <v>1978</v>
      </c>
      <c r="Q23" s="66">
        <v>5827</v>
      </c>
      <c r="R23" s="287">
        <v>5247</v>
      </c>
    </row>
    <row r="24" spans="1:18" s="63" customFormat="1" ht="15.6" x14ac:dyDescent="0.3">
      <c r="A24" s="75" t="s">
        <v>27</v>
      </c>
      <c r="B24" s="170">
        <v>1316</v>
      </c>
      <c r="C24" s="67">
        <v>5441.15</v>
      </c>
      <c r="D24" s="66">
        <v>4686</v>
      </c>
      <c r="E24" s="66">
        <v>1347.78</v>
      </c>
      <c r="F24" s="66">
        <v>1838</v>
      </c>
      <c r="G24" s="66">
        <v>1080</v>
      </c>
      <c r="H24" s="66">
        <v>351</v>
      </c>
      <c r="I24" s="66">
        <v>1977</v>
      </c>
      <c r="J24" s="66">
        <v>3049</v>
      </c>
      <c r="K24" s="66">
        <v>1015</v>
      </c>
      <c r="L24" s="66">
        <v>1183</v>
      </c>
      <c r="M24" s="66">
        <v>1788</v>
      </c>
      <c r="N24" s="66">
        <v>3412</v>
      </c>
      <c r="O24" s="66">
        <v>2393</v>
      </c>
      <c r="P24" s="66">
        <v>57953</v>
      </c>
      <c r="Q24" s="66">
        <v>5130</v>
      </c>
      <c r="R24" s="287">
        <v>3300</v>
      </c>
    </row>
    <row r="25" spans="1:18" s="63" customFormat="1" ht="15.6" x14ac:dyDescent="0.3">
      <c r="A25" s="75" t="s">
        <v>28</v>
      </c>
      <c r="B25" s="170">
        <v>841</v>
      </c>
      <c r="C25" s="67">
        <v>2641</v>
      </c>
      <c r="D25" s="66">
        <v>3541.62</v>
      </c>
      <c r="E25" s="66">
        <v>2574</v>
      </c>
      <c r="F25" s="66">
        <v>812</v>
      </c>
      <c r="G25" s="66">
        <v>939</v>
      </c>
      <c r="H25" s="66">
        <v>1248</v>
      </c>
      <c r="I25" s="66">
        <v>1831</v>
      </c>
      <c r="J25" s="66">
        <v>589</v>
      </c>
      <c r="K25" s="66">
        <v>7174</v>
      </c>
      <c r="L25" s="66">
        <v>4650</v>
      </c>
      <c r="M25" s="66">
        <v>7632</v>
      </c>
      <c r="N25" s="66">
        <v>3124</v>
      </c>
      <c r="O25" s="66">
        <v>2134</v>
      </c>
      <c r="P25" s="66">
        <v>16645</v>
      </c>
      <c r="Q25" s="66">
        <v>9103</v>
      </c>
      <c r="R25" s="287">
        <v>31321</v>
      </c>
    </row>
    <row r="26" spans="1:18" s="63" customFormat="1" ht="15.6" x14ac:dyDescent="0.3">
      <c r="A26" s="75" t="s">
        <v>29</v>
      </c>
      <c r="B26" s="170">
        <v>763</v>
      </c>
      <c r="C26" s="67">
        <v>2755</v>
      </c>
      <c r="D26" s="66">
        <v>1750.62</v>
      </c>
      <c r="E26" s="66">
        <v>2659</v>
      </c>
      <c r="F26" s="66">
        <v>1511</v>
      </c>
      <c r="G26" s="66">
        <v>1092</v>
      </c>
      <c r="H26" s="66">
        <v>1586</v>
      </c>
      <c r="I26" s="66">
        <v>3295</v>
      </c>
      <c r="J26" s="66">
        <v>2510</v>
      </c>
      <c r="K26" s="66">
        <v>6731</v>
      </c>
      <c r="L26" s="66">
        <v>2813</v>
      </c>
      <c r="M26" s="66">
        <v>2484</v>
      </c>
      <c r="N26" s="66">
        <v>5126</v>
      </c>
      <c r="O26" s="66">
        <v>4261</v>
      </c>
      <c r="P26" s="66">
        <v>6680</v>
      </c>
      <c r="Q26" s="66">
        <v>5939</v>
      </c>
      <c r="R26" s="287">
        <v>117</v>
      </c>
    </row>
    <row r="27" spans="1:18" s="63" customFormat="1" ht="15.6" x14ac:dyDescent="0.3">
      <c r="A27" s="75" t="s">
        <v>30</v>
      </c>
      <c r="B27" s="170">
        <v>1285</v>
      </c>
      <c r="C27" s="67">
        <v>510</v>
      </c>
      <c r="D27" s="66">
        <v>636</v>
      </c>
      <c r="E27" s="66">
        <v>1540.61</v>
      </c>
      <c r="F27" s="66">
        <v>1475</v>
      </c>
      <c r="G27" s="66">
        <v>2375</v>
      </c>
      <c r="H27" s="66">
        <v>1494</v>
      </c>
      <c r="I27" s="66">
        <v>3878</v>
      </c>
      <c r="J27" s="66">
        <v>10415</v>
      </c>
      <c r="K27" s="66">
        <v>2535</v>
      </c>
      <c r="L27" s="66">
        <v>829</v>
      </c>
      <c r="M27" s="66">
        <v>6303</v>
      </c>
      <c r="N27" s="66">
        <v>11209</v>
      </c>
      <c r="O27" s="66">
        <v>2755</v>
      </c>
      <c r="P27" s="66">
        <v>10293</v>
      </c>
      <c r="Q27" s="66">
        <v>3168</v>
      </c>
      <c r="R27" s="295" t="s">
        <v>152</v>
      </c>
    </row>
    <row r="28" spans="1:18" s="63" customFormat="1" ht="15.6" x14ac:dyDescent="0.3">
      <c r="A28" s="75" t="s">
        <v>31</v>
      </c>
      <c r="B28" s="170">
        <v>1058</v>
      </c>
      <c r="C28" s="67">
        <v>4068</v>
      </c>
      <c r="D28" s="66">
        <v>4476</v>
      </c>
      <c r="E28" s="66">
        <v>2228</v>
      </c>
      <c r="F28" s="66">
        <v>1766</v>
      </c>
      <c r="G28" s="66">
        <v>1717</v>
      </c>
      <c r="H28" s="66">
        <v>1705</v>
      </c>
      <c r="I28" s="66">
        <v>2212</v>
      </c>
      <c r="J28" s="66">
        <v>6023</v>
      </c>
      <c r="K28" s="66">
        <v>2457</v>
      </c>
      <c r="L28" s="66">
        <v>17912</v>
      </c>
      <c r="M28" s="66">
        <v>4777</v>
      </c>
      <c r="N28" s="66">
        <v>14625</v>
      </c>
      <c r="O28" s="66">
        <v>2120</v>
      </c>
      <c r="P28" s="66">
        <v>4252</v>
      </c>
      <c r="Q28" s="66">
        <v>7252</v>
      </c>
      <c r="R28" s="295" t="s">
        <v>152</v>
      </c>
    </row>
    <row r="29" spans="1:18" s="63" customFormat="1" ht="15.6" x14ac:dyDescent="0.3">
      <c r="A29" s="75" t="s">
        <v>32</v>
      </c>
      <c r="B29" s="170">
        <v>1510</v>
      </c>
      <c r="C29" s="67">
        <v>1979</v>
      </c>
      <c r="D29" s="66">
        <v>3451</v>
      </c>
      <c r="E29" s="66">
        <v>1282</v>
      </c>
      <c r="F29" s="66">
        <v>941</v>
      </c>
      <c r="G29" s="66">
        <v>3452</v>
      </c>
      <c r="H29" s="66">
        <v>1941</v>
      </c>
      <c r="I29" s="66">
        <v>3244</v>
      </c>
      <c r="J29" s="66">
        <v>4593</v>
      </c>
      <c r="K29" s="66">
        <v>9442</v>
      </c>
      <c r="L29" s="66">
        <v>6853</v>
      </c>
      <c r="M29" s="66">
        <v>4102</v>
      </c>
      <c r="N29" s="66">
        <v>6979</v>
      </c>
      <c r="O29" s="66">
        <v>6087</v>
      </c>
      <c r="P29" s="66">
        <v>12266</v>
      </c>
      <c r="Q29" s="66">
        <v>3284</v>
      </c>
      <c r="R29" s="295" t="s">
        <v>152</v>
      </c>
    </row>
    <row r="30" spans="1:18" s="63" customFormat="1" ht="15.6" x14ac:dyDescent="0.3">
      <c r="A30" s="75" t="s">
        <v>33</v>
      </c>
      <c r="B30" s="170">
        <v>775</v>
      </c>
      <c r="C30" s="67">
        <v>2462</v>
      </c>
      <c r="D30" s="66">
        <v>2724</v>
      </c>
      <c r="E30" s="66">
        <v>2204</v>
      </c>
      <c r="F30" s="66">
        <v>2488.6999999999998</v>
      </c>
      <c r="G30" s="66">
        <v>3846</v>
      </c>
      <c r="H30" s="66">
        <v>6232</v>
      </c>
      <c r="I30" s="66">
        <v>3385</v>
      </c>
      <c r="J30" s="66">
        <v>6900</v>
      </c>
      <c r="K30" s="66">
        <v>6591</v>
      </c>
      <c r="L30" s="66">
        <v>3637</v>
      </c>
      <c r="M30" s="66">
        <v>2646</v>
      </c>
      <c r="N30" s="66">
        <v>6840</v>
      </c>
      <c r="O30" s="66">
        <v>3515</v>
      </c>
      <c r="P30" s="66">
        <v>5545</v>
      </c>
      <c r="Q30" s="66">
        <v>3384</v>
      </c>
      <c r="R30" s="295" t="s">
        <v>152</v>
      </c>
    </row>
    <row r="31" spans="1:18" s="63" customFormat="1" ht="15.6" x14ac:dyDescent="0.3">
      <c r="A31" s="75" t="s">
        <v>34</v>
      </c>
      <c r="B31" s="170">
        <v>643</v>
      </c>
      <c r="C31" s="67">
        <v>3474</v>
      </c>
      <c r="D31" s="66">
        <v>2898.09</v>
      </c>
      <c r="E31" s="66">
        <v>2182</v>
      </c>
      <c r="F31" s="66" t="s">
        <v>35</v>
      </c>
      <c r="G31" s="66">
        <v>2619</v>
      </c>
      <c r="H31" s="66">
        <v>2231</v>
      </c>
      <c r="I31" s="66">
        <v>1892</v>
      </c>
      <c r="J31" s="66">
        <v>2483</v>
      </c>
      <c r="K31" s="66">
        <v>2102</v>
      </c>
      <c r="L31" s="66">
        <v>2903</v>
      </c>
      <c r="M31" s="66">
        <v>4930</v>
      </c>
      <c r="N31" s="66">
        <v>3640</v>
      </c>
      <c r="O31" s="66">
        <v>2788</v>
      </c>
      <c r="P31" s="66">
        <v>6561</v>
      </c>
      <c r="Q31" s="66">
        <v>2257</v>
      </c>
      <c r="R31" s="295" t="s">
        <v>152</v>
      </c>
    </row>
    <row r="32" spans="1:18" s="63" customFormat="1" ht="16.2" thickBot="1" x14ac:dyDescent="0.35">
      <c r="A32" s="88" t="s">
        <v>36</v>
      </c>
      <c r="B32" s="87">
        <v>883</v>
      </c>
      <c r="C32" s="72">
        <v>5083.2299999999996</v>
      </c>
      <c r="D32" s="72">
        <v>1157</v>
      </c>
      <c r="E32" s="72">
        <v>834</v>
      </c>
      <c r="F32" s="72">
        <v>1523</v>
      </c>
      <c r="G32" s="71">
        <v>5764</v>
      </c>
      <c r="H32" s="71">
        <v>2559</v>
      </c>
      <c r="I32" s="71">
        <v>1618</v>
      </c>
      <c r="J32" s="71">
        <v>1614</v>
      </c>
      <c r="K32" s="71">
        <v>1870</v>
      </c>
      <c r="L32" s="71">
        <v>5270</v>
      </c>
      <c r="M32" s="71">
        <v>2318</v>
      </c>
      <c r="N32" s="71">
        <v>2625</v>
      </c>
      <c r="O32" s="71">
        <v>5400</v>
      </c>
      <c r="P32" s="71">
        <v>6030</v>
      </c>
      <c r="Q32" s="71">
        <v>4914</v>
      </c>
      <c r="R32" s="292" t="s">
        <v>152</v>
      </c>
    </row>
    <row r="33" spans="1:18" s="63" customFormat="1" ht="16.2" thickTop="1" x14ac:dyDescent="0.3">
      <c r="A33" s="89" t="s">
        <v>37</v>
      </c>
      <c r="B33" s="277">
        <f t="shared" ref="B33:P33" si="2">SUM(B21:B32)</f>
        <v>13759.07</v>
      </c>
      <c r="C33" s="273">
        <f t="shared" si="2"/>
        <v>32152.03</v>
      </c>
      <c r="D33" s="273">
        <f t="shared" si="2"/>
        <v>38825.33</v>
      </c>
      <c r="E33" s="273">
        <f t="shared" si="2"/>
        <v>21003.77</v>
      </c>
      <c r="F33" s="273">
        <f t="shared" si="2"/>
        <v>15740.7</v>
      </c>
      <c r="G33" s="273">
        <f t="shared" si="2"/>
        <v>30290</v>
      </c>
      <c r="H33" s="273">
        <f t="shared" si="2"/>
        <v>19663</v>
      </c>
      <c r="I33" s="273">
        <f t="shared" si="2"/>
        <v>28208</v>
      </c>
      <c r="J33" s="273">
        <f t="shared" si="2"/>
        <v>41478</v>
      </c>
      <c r="K33" s="273">
        <f t="shared" si="2"/>
        <v>43543</v>
      </c>
      <c r="L33" s="273">
        <f t="shared" si="2"/>
        <v>52303</v>
      </c>
      <c r="M33" s="273">
        <f t="shared" si="2"/>
        <v>50548</v>
      </c>
      <c r="N33" s="273">
        <f t="shared" si="2"/>
        <v>63442</v>
      </c>
      <c r="O33" s="273">
        <f t="shared" si="2"/>
        <v>36177</v>
      </c>
      <c r="P33" s="273">
        <f t="shared" si="2"/>
        <v>159128</v>
      </c>
      <c r="Q33" s="273">
        <f t="shared" ref="Q33:R33" si="3">SUM(Q21:Q32)</f>
        <v>68824</v>
      </c>
      <c r="R33" s="288">
        <f t="shared" si="3"/>
        <v>49800</v>
      </c>
    </row>
    <row r="34" spans="1:18" s="113" customFormat="1" ht="6.6" x14ac:dyDescent="0.3">
      <c r="A34" s="371" t="s">
        <v>174</v>
      </c>
      <c r="B34" s="371"/>
      <c r="C34" s="371"/>
      <c r="D34" s="371"/>
      <c r="E34" s="371"/>
      <c r="F34" s="371"/>
      <c r="G34" s="371"/>
      <c r="H34" s="371"/>
      <c r="I34" s="371"/>
      <c r="J34" s="371"/>
      <c r="K34" s="371"/>
      <c r="L34" s="371"/>
      <c r="M34" s="371"/>
      <c r="N34" s="371"/>
      <c r="O34" s="371"/>
      <c r="P34" s="371"/>
      <c r="Q34" s="371"/>
      <c r="R34" s="371"/>
    </row>
    <row r="35" spans="1:18" s="106" customFormat="1" ht="18" x14ac:dyDescent="0.3">
      <c r="A35" s="370" t="s">
        <v>125</v>
      </c>
      <c r="B35" s="370"/>
      <c r="C35" s="370"/>
      <c r="D35" s="370"/>
      <c r="E35" s="370"/>
      <c r="F35" s="370"/>
      <c r="G35" s="370"/>
      <c r="H35" s="370"/>
      <c r="I35" s="370"/>
      <c r="J35" s="370"/>
      <c r="K35" s="370"/>
      <c r="L35" s="370"/>
      <c r="M35" s="370"/>
      <c r="N35" s="370"/>
      <c r="O35" s="370"/>
      <c r="P35" s="370"/>
      <c r="Q35" s="370"/>
      <c r="R35" s="370"/>
    </row>
    <row r="36" spans="1:18" s="63" customFormat="1" ht="15.6" x14ac:dyDescent="0.3">
      <c r="A36" s="77" t="s">
        <v>23</v>
      </c>
      <c r="B36" s="91">
        <v>2004</v>
      </c>
      <c r="C36" s="64">
        <v>2005</v>
      </c>
      <c r="D36" s="64">
        <v>2006</v>
      </c>
      <c r="E36" s="64">
        <v>2007</v>
      </c>
      <c r="F36" s="64">
        <v>2008</v>
      </c>
      <c r="G36" s="64">
        <v>2009</v>
      </c>
      <c r="H36" s="64">
        <v>2010</v>
      </c>
      <c r="I36" s="64">
        <v>2011</v>
      </c>
      <c r="J36" s="65">
        <v>2012</v>
      </c>
      <c r="K36" s="65">
        <v>2013</v>
      </c>
      <c r="L36" s="65">
        <v>2014</v>
      </c>
      <c r="M36" s="65">
        <v>2015</v>
      </c>
      <c r="N36" s="65">
        <v>2016</v>
      </c>
      <c r="O36" s="65">
        <v>2017</v>
      </c>
      <c r="P36" s="65">
        <v>2018</v>
      </c>
      <c r="Q36" s="65">
        <v>2019</v>
      </c>
      <c r="R36" s="49">
        <v>2020</v>
      </c>
    </row>
    <row r="37" spans="1:18" s="63" customFormat="1" ht="15.6" x14ac:dyDescent="0.3">
      <c r="A37" s="76" t="s">
        <v>24</v>
      </c>
      <c r="B37" s="108" t="s">
        <v>152</v>
      </c>
      <c r="C37" s="107" t="s">
        <v>152</v>
      </c>
      <c r="D37" s="83" t="s">
        <v>152</v>
      </c>
      <c r="E37" s="83" t="s">
        <v>152</v>
      </c>
      <c r="F37" s="83" t="s">
        <v>152</v>
      </c>
      <c r="G37" s="271">
        <v>0</v>
      </c>
      <c r="H37" s="271">
        <v>0</v>
      </c>
      <c r="I37" s="271">
        <v>0</v>
      </c>
      <c r="J37" s="271">
        <v>0</v>
      </c>
      <c r="K37" s="271">
        <v>0</v>
      </c>
      <c r="L37" s="271">
        <v>0</v>
      </c>
      <c r="M37" s="271">
        <v>0</v>
      </c>
      <c r="N37" s="271">
        <v>0</v>
      </c>
      <c r="O37" s="271">
        <v>0</v>
      </c>
      <c r="P37" s="271">
        <v>0</v>
      </c>
      <c r="Q37" s="271">
        <v>0</v>
      </c>
      <c r="R37" s="286">
        <v>-283</v>
      </c>
    </row>
    <row r="38" spans="1:18" s="63" customFormat="1" ht="15.6" x14ac:dyDescent="0.3">
      <c r="A38" s="75" t="s">
        <v>25</v>
      </c>
      <c r="B38" s="170" t="s">
        <v>152</v>
      </c>
      <c r="C38" s="67" t="s">
        <v>152</v>
      </c>
      <c r="D38" s="66" t="s">
        <v>152</v>
      </c>
      <c r="E38" s="66" t="s">
        <v>152</v>
      </c>
      <c r="F38" s="66" t="s">
        <v>152</v>
      </c>
      <c r="G38" s="66">
        <v>0</v>
      </c>
      <c r="H38" s="66">
        <v>0</v>
      </c>
      <c r="I38" s="66">
        <v>0</v>
      </c>
      <c r="J38" s="66">
        <v>-4</v>
      </c>
      <c r="K38" s="66">
        <v>0</v>
      </c>
      <c r="L38" s="66">
        <v>0</v>
      </c>
      <c r="M38" s="66">
        <v>-43</v>
      </c>
      <c r="N38" s="66">
        <v>0</v>
      </c>
      <c r="O38" s="66">
        <v>-9</v>
      </c>
      <c r="P38" s="66">
        <v>0</v>
      </c>
      <c r="Q38" s="66">
        <v>0</v>
      </c>
      <c r="R38" s="287">
        <v>0</v>
      </c>
    </row>
    <row r="39" spans="1:18" s="63" customFormat="1" ht="15.6" x14ac:dyDescent="0.3">
      <c r="A39" s="75" t="s">
        <v>26</v>
      </c>
      <c r="B39" s="170" t="s">
        <v>152</v>
      </c>
      <c r="C39" s="67" t="s">
        <v>152</v>
      </c>
      <c r="D39" s="66" t="s">
        <v>152</v>
      </c>
      <c r="E39" s="66" t="s">
        <v>152</v>
      </c>
      <c r="F39" s="66" t="s">
        <v>152</v>
      </c>
      <c r="G39" s="66">
        <v>-4702</v>
      </c>
      <c r="H39" s="66">
        <v>0</v>
      </c>
      <c r="I39" s="66">
        <v>-24</v>
      </c>
      <c r="J39" s="66">
        <v>-1</v>
      </c>
      <c r="K39" s="66">
        <v>0</v>
      </c>
      <c r="L39" s="66">
        <v>0</v>
      </c>
      <c r="M39" s="66">
        <v>0</v>
      </c>
      <c r="N39" s="66">
        <v>-31</v>
      </c>
      <c r="O39" s="66">
        <v>0</v>
      </c>
      <c r="P39" s="66">
        <v>0</v>
      </c>
      <c r="Q39" s="66">
        <v>-38</v>
      </c>
      <c r="R39" s="287">
        <v>0</v>
      </c>
    </row>
    <row r="40" spans="1:18" s="63" customFormat="1" ht="15.6" x14ac:dyDescent="0.3">
      <c r="A40" s="75" t="s">
        <v>27</v>
      </c>
      <c r="B40" s="170" t="s">
        <v>152</v>
      </c>
      <c r="C40" s="67" t="s">
        <v>152</v>
      </c>
      <c r="D40" s="66" t="s">
        <v>152</v>
      </c>
      <c r="E40" s="66" t="s">
        <v>152</v>
      </c>
      <c r="F40" s="66" t="s">
        <v>152</v>
      </c>
      <c r="G40" s="66">
        <v>0</v>
      </c>
      <c r="H40" s="66">
        <v>-48</v>
      </c>
      <c r="I40" s="66">
        <v>0</v>
      </c>
      <c r="J40" s="66">
        <v>-6</v>
      </c>
      <c r="K40" s="66">
        <v>0</v>
      </c>
      <c r="L40" s="66">
        <v>0</v>
      </c>
      <c r="M40" s="66">
        <v>0</v>
      </c>
      <c r="N40" s="66">
        <v>-42</v>
      </c>
      <c r="O40" s="66">
        <v>0</v>
      </c>
      <c r="P40" s="66">
        <v>0</v>
      </c>
      <c r="Q40" s="66">
        <v>0</v>
      </c>
      <c r="R40" s="287">
        <v>-485</v>
      </c>
    </row>
    <row r="41" spans="1:18" s="63" customFormat="1" ht="15.6" x14ac:dyDescent="0.3">
      <c r="A41" s="75" t="s">
        <v>28</v>
      </c>
      <c r="B41" s="170" t="s">
        <v>152</v>
      </c>
      <c r="C41" s="67" t="s">
        <v>152</v>
      </c>
      <c r="D41" s="66" t="s">
        <v>152</v>
      </c>
      <c r="E41" s="66" t="s">
        <v>152</v>
      </c>
      <c r="F41" s="66" t="s">
        <v>152</v>
      </c>
      <c r="G41" s="66">
        <v>0</v>
      </c>
      <c r="H41" s="66">
        <v>-128</v>
      </c>
      <c r="I41" s="66">
        <v>0</v>
      </c>
      <c r="J41" s="66">
        <v>0</v>
      </c>
      <c r="K41" s="66">
        <v>0</v>
      </c>
      <c r="L41" s="66">
        <v>-33</v>
      </c>
      <c r="M41" s="66">
        <v>0</v>
      </c>
      <c r="N41" s="66">
        <v>0</v>
      </c>
      <c r="O41" s="66">
        <v>0</v>
      </c>
      <c r="P41" s="66">
        <v>0</v>
      </c>
      <c r="Q41" s="66">
        <v>0</v>
      </c>
      <c r="R41" s="287">
        <v>0</v>
      </c>
    </row>
    <row r="42" spans="1:18" s="63" customFormat="1" ht="15.6" x14ac:dyDescent="0.3">
      <c r="A42" s="75" t="s">
        <v>29</v>
      </c>
      <c r="B42" s="170" t="s">
        <v>152</v>
      </c>
      <c r="C42" s="67" t="s">
        <v>152</v>
      </c>
      <c r="D42" s="66" t="s">
        <v>152</v>
      </c>
      <c r="E42" s="66" t="s">
        <v>152</v>
      </c>
      <c r="F42" s="66" t="s">
        <v>152</v>
      </c>
      <c r="G42" s="66">
        <v>0</v>
      </c>
      <c r="H42" s="66">
        <v>0</v>
      </c>
      <c r="I42" s="66">
        <v>0</v>
      </c>
      <c r="J42" s="66">
        <v>0</v>
      </c>
      <c r="K42" s="66">
        <v>-16155</v>
      </c>
      <c r="L42" s="66">
        <v>0</v>
      </c>
      <c r="M42" s="66">
        <v>0</v>
      </c>
      <c r="N42" s="66">
        <v>0</v>
      </c>
      <c r="O42" s="66">
        <v>0</v>
      </c>
      <c r="P42" s="66">
        <v>0</v>
      </c>
      <c r="Q42" s="66">
        <v>-120</v>
      </c>
      <c r="R42" s="287">
        <v>0</v>
      </c>
    </row>
    <row r="43" spans="1:18" s="63" customFormat="1" ht="15.6" x14ac:dyDescent="0.3">
      <c r="A43" s="75" t="s">
        <v>30</v>
      </c>
      <c r="B43" s="170" t="s">
        <v>152</v>
      </c>
      <c r="C43" s="67" t="s">
        <v>152</v>
      </c>
      <c r="D43" s="66" t="s">
        <v>152</v>
      </c>
      <c r="E43" s="66" t="s">
        <v>152</v>
      </c>
      <c r="F43" s="66" t="s">
        <v>152</v>
      </c>
      <c r="G43" s="66">
        <v>-1031</v>
      </c>
      <c r="H43" s="66">
        <v>0</v>
      </c>
      <c r="I43" s="66">
        <v>-188</v>
      </c>
      <c r="J43" s="66">
        <v>0</v>
      </c>
      <c r="K43" s="66">
        <v>0</v>
      </c>
      <c r="L43" s="66">
        <v>0</v>
      </c>
      <c r="M43" s="66">
        <v>0</v>
      </c>
      <c r="N43" s="66">
        <v>0</v>
      </c>
      <c r="O43" s="66">
        <v>0</v>
      </c>
      <c r="P43" s="66">
        <v>0</v>
      </c>
      <c r="Q43" s="66">
        <v>0</v>
      </c>
      <c r="R43" s="295" t="s">
        <v>152</v>
      </c>
    </row>
    <row r="44" spans="1:18" s="63" customFormat="1" ht="15.6" x14ac:dyDescent="0.3">
      <c r="A44" s="75" t="s">
        <v>31</v>
      </c>
      <c r="B44" s="170" t="s">
        <v>152</v>
      </c>
      <c r="C44" s="67" t="s">
        <v>152</v>
      </c>
      <c r="D44" s="66" t="s">
        <v>152</v>
      </c>
      <c r="E44" s="66" t="s">
        <v>152</v>
      </c>
      <c r="F44" s="66" t="s">
        <v>152</v>
      </c>
      <c r="G44" s="66">
        <v>0</v>
      </c>
      <c r="H44" s="66">
        <v>-1008</v>
      </c>
      <c r="I44" s="66">
        <v>0</v>
      </c>
      <c r="J44" s="66">
        <v>0</v>
      </c>
      <c r="K44" s="66">
        <v>-32</v>
      </c>
      <c r="L44" s="66">
        <v>0</v>
      </c>
      <c r="M44" s="66">
        <v>0</v>
      </c>
      <c r="N44" s="66">
        <v>0</v>
      </c>
      <c r="O44" s="66">
        <v>0</v>
      </c>
      <c r="P44" s="66">
        <v>0</v>
      </c>
      <c r="Q44" s="66">
        <v>0</v>
      </c>
      <c r="R44" s="295" t="s">
        <v>152</v>
      </c>
    </row>
    <row r="45" spans="1:18" s="63" customFormat="1" ht="15.6" x14ac:dyDescent="0.3">
      <c r="A45" s="75" t="s">
        <v>32</v>
      </c>
      <c r="B45" s="170" t="s">
        <v>152</v>
      </c>
      <c r="C45" s="67" t="s">
        <v>152</v>
      </c>
      <c r="D45" s="66" t="s">
        <v>152</v>
      </c>
      <c r="E45" s="66" t="s">
        <v>152</v>
      </c>
      <c r="F45" s="66" t="s">
        <v>152</v>
      </c>
      <c r="G45" s="66">
        <v>0</v>
      </c>
      <c r="H45" s="66">
        <v>0</v>
      </c>
      <c r="I45" s="66">
        <v>0</v>
      </c>
      <c r="J45" s="66">
        <v>0</v>
      </c>
      <c r="K45" s="66">
        <v>0</v>
      </c>
      <c r="L45" s="66">
        <v>-11</v>
      </c>
      <c r="M45" s="66">
        <v>0</v>
      </c>
      <c r="N45" s="66">
        <v>0</v>
      </c>
      <c r="O45" s="66">
        <v>-1</v>
      </c>
      <c r="P45" s="66">
        <v>0</v>
      </c>
      <c r="Q45" s="66">
        <v>-283</v>
      </c>
      <c r="R45" s="295" t="s">
        <v>152</v>
      </c>
    </row>
    <row r="46" spans="1:18" s="63" customFormat="1" ht="15.6" x14ac:dyDescent="0.3">
      <c r="A46" s="75" t="s">
        <v>33</v>
      </c>
      <c r="B46" s="170" t="s">
        <v>152</v>
      </c>
      <c r="C46" s="67" t="s">
        <v>152</v>
      </c>
      <c r="D46" s="66" t="s">
        <v>152</v>
      </c>
      <c r="E46" s="66" t="s">
        <v>152</v>
      </c>
      <c r="F46" s="66" t="s">
        <v>152</v>
      </c>
      <c r="G46" s="66">
        <v>0</v>
      </c>
      <c r="H46" s="66">
        <v>0</v>
      </c>
      <c r="I46" s="66">
        <v>0</v>
      </c>
      <c r="J46" s="66">
        <v>0</v>
      </c>
      <c r="K46" s="66">
        <v>0</v>
      </c>
      <c r="L46" s="66">
        <v>-421</v>
      </c>
      <c r="M46" s="66">
        <v>0</v>
      </c>
      <c r="N46" s="66">
        <v>0</v>
      </c>
      <c r="O46" s="66">
        <v>0</v>
      </c>
      <c r="P46" s="66">
        <v>0</v>
      </c>
      <c r="Q46" s="66">
        <v>0</v>
      </c>
      <c r="R46" s="295" t="s">
        <v>152</v>
      </c>
    </row>
    <row r="47" spans="1:18" s="63" customFormat="1" ht="15.6" x14ac:dyDescent="0.3">
      <c r="A47" s="75" t="s">
        <v>34</v>
      </c>
      <c r="B47" s="170" t="s">
        <v>152</v>
      </c>
      <c r="C47" s="67" t="s">
        <v>152</v>
      </c>
      <c r="D47" s="66" t="s">
        <v>152</v>
      </c>
      <c r="E47" s="66" t="s">
        <v>152</v>
      </c>
      <c r="F47" s="66" t="s">
        <v>152</v>
      </c>
      <c r="G47" s="66">
        <v>0</v>
      </c>
      <c r="H47" s="66">
        <v>-1094</v>
      </c>
      <c r="I47" s="66">
        <v>0</v>
      </c>
      <c r="J47" s="66">
        <v>0</v>
      </c>
      <c r="K47" s="66">
        <v>0</v>
      </c>
      <c r="L47" s="66">
        <v>0</v>
      </c>
      <c r="M47" s="66">
        <v>0</v>
      </c>
      <c r="N47" s="66">
        <v>0</v>
      </c>
      <c r="O47" s="66">
        <v>0</v>
      </c>
      <c r="P47" s="66">
        <v>0</v>
      </c>
      <c r="Q47" s="66">
        <v>0</v>
      </c>
      <c r="R47" s="295" t="s">
        <v>152</v>
      </c>
    </row>
    <row r="48" spans="1:18" s="63" customFormat="1" ht="16.2" thickBot="1" x14ac:dyDescent="0.35">
      <c r="A48" s="88" t="s">
        <v>36</v>
      </c>
      <c r="B48" s="87" t="s">
        <v>152</v>
      </c>
      <c r="C48" s="72" t="s">
        <v>152</v>
      </c>
      <c r="D48" s="72" t="s">
        <v>152</v>
      </c>
      <c r="E48" s="72" t="s">
        <v>152</v>
      </c>
      <c r="F48" s="72" t="s">
        <v>152</v>
      </c>
      <c r="G48" s="71">
        <v>0</v>
      </c>
      <c r="H48" s="71">
        <v>0</v>
      </c>
      <c r="I48" s="71">
        <v>0</v>
      </c>
      <c r="J48" s="71">
        <v>0</v>
      </c>
      <c r="K48" s="71">
        <v>0</v>
      </c>
      <c r="L48" s="71">
        <v>0</v>
      </c>
      <c r="M48" s="71">
        <v>0</v>
      </c>
      <c r="N48" s="71">
        <v>0</v>
      </c>
      <c r="O48" s="71">
        <v>0</v>
      </c>
      <c r="P48" s="71">
        <v>0</v>
      </c>
      <c r="Q48" s="71">
        <v>0</v>
      </c>
      <c r="R48" s="292" t="s">
        <v>152</v>
      </c>
    </row>
    <row r="49" spans="1:18" s="63" customFormat="1" ht="16.2" thickTop="1" x14ac:dyDescent="0.3">
      <c r="A49" s="89" t="s">
        <v>37</v>
      </c>
      <c r="B49" s="90" t="s">
        <v>152</v>
      </c>
      <c r="C49" s="73" t="s">
        <v>152</v>
      </c>
      <c r="D49" s="73" t="s">
        <v>152</v>
      </c>
      <c r="E49" s="73" t="s">
        <v>152</v>
      </c>
      <c r="F49" s="73" t="s">
        <v>152</v>
      </c>
      <c r="G49" s="273">
        <f t="shared" ref="G49:P49" si="4">SUM(G37:G48)</f>
        <v>-5733</v>
      </c>
      <c r="H49" s="273">
        <f t="shared" si="4"/>
        <v>-2278</v>
      </c>
      <c r="I49" s="273">
        <f t="shared" si="4"/>
        <v>-212</v>
      </c>
      <c r="J49" s="273">
        <f t="shared" si="4"/>
        <v>-11</v>
      </c>
      <c r="K49" s="273">
        <f t="shared" si="4"/>
        <v>-16187</v>
      </c>
      <c r="L49" s="273">
        <f t="shared" si="4"/>
        <v>-465</v>
      </c>
      <c r="M49" s="273">
        <f t="shared" si="4"/>
        <v>-43</v>
      </c>
      <c r="N49" s="273">
        <f t="shared" si="4"/>
        <v>-73</v>
      </c>
      <c r="O49" s="273">
        <f t="shared" si="4"/>
        <v>-10</v>
      </c>
      <c r="P49" s="273">
        <f t="shared" si="4"/>
        <v>0</v>
      </c>
      <c r="Q49" s="273">
        <f t="shared" ref="Q49:R49" si="5">SUM(Q37:Q48)</f>
        <v>-441</v>
      </c>
      <c r="R49" s="288">
        <f t="shared" si="5"/>
        <v>-768</v>
      </c>
    </row>
    <row r="50" spans="1:18" s="113" customFormat="1" ht="6.6" x14ac:dyDescent="0.3">
      <c r="A50" s="371" t="s">
        <v>174</v>
      </c>
      <c r="B50" s="371"/>
      <c r="C50" s="371"/>
      <c r="D50" s="371"/>
      <c r="E50" s="371"/>
      <c r="F50" s="371"/>
      <c r="G50" s="371"/>
      <c r="H50" s="371"/>
      <c r="I50" s="371"/>
      <c r="J50" s="371"/>
      <c r="K50" s="371"/>
      <c r="L50" s="371"/>
      <c r="M50" s="371"/>
      <c r="N50" s="371"/>
      <c r="O50" s="371"/>
      <c r="P50" s="371"/>
      <c r="Q50" s="371"/>
      <c r="R50" s="371"/>
    </row>
    <row r="51" spans="1:18" s="111" customFormat="1" ht="13.8" x14ac:dyDescent="0.3">
      <c r="A51" s="390" t="s">
        <v>39</v>
      </c>
      <c r="B51" s="390"/>
      <c r="C51" s="390"/>
      <c r="D51" s="390"/>
      <c r="E51" s="390"/>
      <c r="F51" s="390"/>
      <c r="G51" s="390"/>
      <c r="H51" s="390"/>
      <c r="I51" s="390"/>
      <c r="J51" s="390"/>
      <c r="K51" s="390"/>
      <c r="L51" s="390"/>
      <c r="M51" s="390"/>
      <c r="N51" s="390"/>
      <c r="O51" s="390"/>
      <c r="P51" s="390"/>
      <c r="Q51" s="390"/>
      <c r="R51" s="390"/>
    </row>
    <row r="52" spans="1:18" s="111" customFormat="1" ht="13.8" x14ac:dyDescent="0.3">
      <c r="A52" s="383" t="str">
        <f>'Local SUT'!A60</f>
        <v>Source:  Minnesota Department of Revenue, Tax Research Division, February 2021</v>
      </c>
      <c r="B52" s="383"/>
      <c r="C52" s="383"/>
      <c r="D52" s="383"/>
      <c r="E52" s="383"/>
      <c r="F52" s="383"/>
      <c r="G52" s="383"/>
      <c r="H52" s="383"/>
      <c r="I52" s="383"/>
      <c r="J52" s="383"/>
      <c r="K52" s="383"/>
      <c r="L52" s="383"/>
      <c r="M52" s="383"/>
      <c r="N52" s="383"/>
      <c r="O52" s="383"/>
      <c r="P52" s="383"/>
      <c r="Q52" s="383"/>
      <c r="R52" s="383"/>
    </row>
    <row r="53" spans="1:18" s="111" customFormat="1" ht="13.8" x14ac:dyDescent="0.3">
      <c r="A53" s="382" t="s">
        <v>151</v>
      </c>
      <c r="B53" s="382"/>
      <c r="C53" s="382"/>
      <c r="D53" s="382"/>
      <c r="E53" s="382"/>
      <c r="F53" s="382"/>
      <c r="G53" s="382"/>
      <c r="H53" s="382"/>
      <c r="I53" s="382"/>
      <c r="J53" s="382"/>
      <c r="K53" s="382"/>
      <c r="L53" s="382"/>
      <c r="M53" s="382"/>
      <c r="N53" s="382"/>
      <c r="O53" s="382"/>
      <c r="P53" s="382"/>
      <c r="Q53" s="382"/>
      <c r="R53" s="382"/>
    </row>
    <row r="54" spans="1:18" x14ac:dyDescent="0.3">
      <c r="R54" s="117"/>
    </row>
  </sheetData>
  <mergeCells count="11">
    <mergeCell ref="A53:R53"/>
    <mergeCell ref="A1:R1"/>
    <mergeCell ref="A2:R2"/>
    <mergeCell ref="A3:R3"/>
    <mergeCell ref="A18:R18"/>
    <mergeCell ref="A19:R19"/>
    <mergeCell ref="A34:R34"/>
    <mergeCell ref="A35:R35"/>
    <mergeCell ref="A50:R50"/>
    <mergeCell ref="A51:R51"/>
    <mergeCell ref="A52:R52"/>
  </mergeCells>
  <pageMargins left="0" right="0" top="0.75" bottom="0.75" header="0.3" footer="0.3"/>
  <pageSetup scale="74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2">
    <pageSetUpPr fitToPage="1"/>
  </sheetPr>
  <dimension ref="A1:R225"/>
  <sheetViews>
    <sheetView showGridLines="0" zoomScaleNormal="100" workbookViewId="0">
      <pane ySplit="1" topLeftCell="A2" activePane="bottomLeft" state="frozen"/>
      <selection pane="bottomLeft" sqref="A1:R1"/>
    </sheetView>
  </sheetViews>
  <sheetFormatPr defaultColWidth="12.5546875" defaultRowHeight="14.4" x14ac:dyDescent="0.3"/>
  <cols>
    <col min="1" max="1" width="12.5546875" style="173"/>
    <col min="2" max="17" width="13.5546875" style="173" customWidth="1"/>
    <col min="18" max="18" width="13.5546875" style="145" customWidth="1"/>
    <col min="19" max="16384" width="12.5546875" style="173"/>
  </cols>
  <sheetData>
    <row r="1" spans="1:18" s="112" customFormat="1" ht="21" x14ac:dyDescent="0.3">
      <c r="A1" s="380" t="s">
        <v>187</v>
      </c>
      <c r="B1" s="380"/>
      <c r="C1" s="380"/>
      <c r="D1" s="380"/>
      <c r="E1" s="380"/>
      <c r="F1" s="380"/>
      <c r="G1" s="380"/>
      <c r="H1" s="380"/>
      <c r="I1" s="380"/>
      <c r="J1" s="380"/>
      <c r="K1" s="380"/>
      <c r="L1" s="380"/>
      <c r="M1" s="380"/>
      <c r="N1" s="380"/>
      <c r="O1" s="380"/>
      <c r="P1" s="380"/>
      <c r="Q1" s="380"/>
      <c r="R1" s="380"/>
    </row>
    <row r="2" spans="1:18" s="106" customFormat="1" ht="18" x14ac:dyDescent="0.3">
      <c r="A2" s="381" t="str">
        <f>'Local SUT'!A2</f>
        <v>CY 2004-2020</v>
      </c>
      <c r="B2" s="381"/>
      <c r="C2" s="381"/>
      <c r="D2" s="381"/>
      <c r="E2" s="381"/>
      <c r="F2" s="381"/>
      <c r="G2" s="381"/>
      <c r="H2" s="381"/>
      <c r="I2" s="381"/>
      <c r="J2" s="381"/>
      <c r="K2" s="381"/>
      <c r="L2" s="381"/>
      <c r="M2" s="381"/>
      <c r="N2" s="381"/>
      <c r="O2" s="381"/>
      <c r="P2" s="381"/>
      <c r="Q2" s="381"/>
      <c r="R2" s="381"/>
    </row>
    <row r="3" spans="1:18" s="106" customFormat="1" ht="18" x14ac:dyDescent="0.3">
      <c r="A3" s="370" t="s">
        <v>93</v>
      </c>
      <c r="B3" s="370"/>
      <c r="C3" s="370"/>
      <c r="D3" s="370"/>
      <c r="E3" s="370"/>
      <c r="F3" s="370"/>
      <c r="G3" s="370"/>
      <c r="H3" s="370"/>
      <c r="I3" s="370"/>
      <c r="J3" s="370"/>
      <c r="K3" s="370"/>
      <c r="L3" s="370"/>
      <c r="M3" s="370"/>
      <c r="N3" s="370"/>
      <c r="O3" s="370"/>
      <c r="P3" s="370"/>
      <c r="Q3" s="370"/>
      <c r="R3" s="370"/>
    </row>
    <row r="4" spans="1:18" s="63" customFormat="1" ht="15.6" x14ac:dyDescent="0.3">
      <c r="A4" s="172" t="s">
        <v>23</v>
      </c>
      <c r="B4" s="91">
        <v>2004</v>
      </c>
      <c r="C4" s="64">
        <v>2005</v>
      </c>
      <c r="D4" s="64">
        <v>2006</v>
      </c>
      <c r="E4" s="64">
        <v>2007</v>
      </c>
      <c r="F4" s="64">
        <v>2008</v>
      </c>
      <c r="G4" s="64">
        <v>2009</v>
      </c>
      <c r="H4" s="64">
        <v>2010</v>
      </c>
      <c r="I4" s="64">
        <v>2011</v>
      </c>
      <c r="J4" s="65">
        <v>2012</v>
      </c>
      <c r="K4" s="65">
        <v>2013</v>
      </c>
      <c r="L4" s="65">
        <v>2014</v>
      </c>
      <c r="M4" s="65">
        <v>2015</v>
      </c>
      <c r="N4" s="65">
        <v>2016</v>
      </c>
      <c r="O4" s="65">
        <v>2017</v>
      </c>
      <c r="P4" s="65">
        <v>2018</v>
      </c>
      <c r="Q4" s="65">
        <v>2019</v>
      </c>
      <c r="R4" s="49">
        <v>2020</v>
      </c>
    </row>
    <row r="5" spans="1:18" s="63" customFormat="1" ht="15.6" x14ac:dyDescent="0.3">
      <c r="A5" s="76" t="s">
        <v>24</v>
      </c>
      <c r="B5" s="278">
        <v>775903.69</v>
      </c>
      <c r="C5" s="272">
        <v>823283.89</v>
      </c>
      <c r="D5" s="271">
        <v>813109.86</v>
      </c>
      <c r="E5" s="271">
        <v>835614.07</v>
      </c>
      <c r="F5" s="271">
        <v>853929.23</v>
      </c>
      <c r="G5" s="271">
        <v>937589</v>
      </c>
      <c r="H5" s="271">
        <v>822467</v>
      </c>
      <c r="I5" s="271">
        <v>819149</v>
      </c>
      <c r="J5" s="271">
        <v>879824</v>
      </c>
      <c r="K5" s="271">
        <v>924880</v>
      </c>
      <c r="L5" s="271">
        <v>926954</v>
      </c>
      <c r="M5" s="271">
        <v>974084</v>
      </c>
      <c r="N5" s="271">
        <v>1042149</v>
      </c>
      <c r="O5" s="271">
        <v>1581797</v>
      </c>
      <c r="P5" s="271">
        <v>1549456</v>
      </c>
      <c r="Q5" s="271">
        <v>1618752</v>
      </c>
      <c r="R5" s="286">
        <v>1725552</v>
      </c>
    </row>
    <row r="6" spans="1:18" s="63" customFormat="1" ht="15.6" x14ac:dyDescent="0.3">
      <c r="A6" s="75" t="s">
        <v>25</v>
      </c>
      <c r="B6" s="170">
        <v>579006.47</v>
      </c>
      <c r="C6" s="67">
        <v>553115.36</v>
      </c>
      <c r="D6" s="66">
        <v>588331.94999999995</v>
      </c>
      <c r="E6" s="66">
        <v>630078.56000000006</v>
      </c>
      <c r="F6" s="66">
        <v>689567.11</v>
      </c>
      <c r="G6" s="66">
        <v>720599</v>
      </c>
      <c r="H6" s="66">
        <v>577256</v>
      </c>
      <c r="I6" s="66">
        <v>659209</v>
      </c>
      <c r="J6" s="66">
        <v>632150</v>
      </c>
      <c r="K6" s="66">
        <v>679850</v>
      </c>
      <c r="L6" s="66">
        <v>701807</v>
      </c>
      <c r="M6" s="66">
        <v>741965</v>
      </c>
      <c r="N6" s="66">
        <v>1172763</v>
      </c>
      <c r="O6" s="66">
        <v>1162979</v>
      </c>
      <c r="P6" s="66">
        <v>1213218</v>
      </c>
      <c r="Q6" s="66">
        <v>1267989</v>
      </c>
      <c r="R6" s="287">
        <v>1442892</v>
      </c>
    </row>
    <row r="7" spans="1:18" s="63" customFormat="1" ht="15.6" x14ac:dyDescent="0.3">
      <c r="A7" s="75" t="s">
        <v>26</v>
      </c>
      <c r="B7" s="170">
        <v>513972.55</v>
      </c>
      <c r="C7" s="67">
        <v>528953.35</v>
      </c>
      <c r="D7" s="66">
        <v>548558.63</v>
      </c>
      <c r="E7" s="66">
        <v>598668.78</v>
      </c>
      <c r="F7" s="66">
        <v>609264.30000000005</v>
      </c>
      <c r="G7" s="66">
        <v>660370</v>
      </c>
      <c r="H7" s="66">
        <v>571831</v>
      </c>
      <c r="I7" s="66">
        <v>611353</v>
      </c>
      <c r="J7" s="66">
        <v>675085</v>
      </c>
      <c r="K7" s="66">
        <v>637679</v>
      </c>
      <c r="L7" s="66">
        <v>650241</v>
      </c>
      <c r="M7" s="66">
        <v>724423</v>
      </c>
      <c r="N7" s="66">
        <v>1122661</v>
      </c>
      <c r="O7" s="66">
        <v>1078011</v>
      </c>
      <c r="P7" s="66">
        <v>1149973</v>
      </c>
      <c r="Q7" s="66">
        <v>1158721</v>
      </c>
      <c r="R7" s="287">
        <v>1251818</v>
      </c>
    </row>
    <row r="8" spans="1:18" s="63" customFormat="1" ht="15.6" x14ac:dyDescent="0.3">
      <c r="A8" s="75" t="s">
        <v>27</v>
      </c>
      <c r="B8" s="170">
        <v>644991.84</v>
      </c>
      <c r="C8" s="67">
        <v>619722.28</v>
      </c>
      <c r="D8" s="66">
        <v>652202.9</v>
      </c>
      <c r="E8" s="66">
        <v>729713.34</v>
      </c>
      <c r="F8" s="66">
        <v>716350.91</v>
      </c>
      <c r="G8" s="66">
        <v>681669</v>
      </c>
      <c r="H8" s="66">
        <v>710281</v>
      </c>
      <c r="I8" s="66">
        <v>687703</v>
      </c>
      <c r="J8" s="66">
        <v>761975</v>
      </c>
      <c r="K8" s="66">
        <v>747238</v>
      </c>
      <c r="L8" s="66">
        <v>790744</v>
      </c>
      <c r="M8" s="66">
        <v>836037</v>
      </c>
      <c r="N8" s="66">
        <v>1343578</v>
      </c>
      <c r="O8" s="66">
        <v>1329348</v>
      </c>
      <c r="P8" s="66">
        <v>1366183</v>
      </c>
      <c r="Q8" s="66">
        <v>1437190</v>
      </c>
      <c r="R8" s="287">
        <v>1319865</v>
      </c>
    </row>
    <row r="9" spans="1:18" s="63" customFormat="1" ht="15.6" x14ac:dyDescent="0.3">
      <c r="A9" s="75" t="s">
        <v>28</v>
      </c>
      <c r="B9" s="170">
        <v>621929.53</v>
      </c>
      <c r="C9" s="67">
        <v>650964.32999999996</v>
      </c>
      <c r="D9" s="66">
        <v>628528.23</v>
      </c>
      <c r="E9" s="66">
        <v>675065.65</v>
      </c>
      <c r="F9" s="66">
        <v>682824.69</v>
      </c>
      <c r="G9" s="66">
        <v>666392</v>
      </c>
      <c r="H9" s="66">
        <v>669320</v>
      </c>
      <c r="I9" s="66">
        <v>731865</v>
      </c>
      <c r="J9" s="66">
        <v>719978</v>
      </c>
      <c r="K9" s="66">
        <v>778592</v>
      </c>
      <c r="L9" s="66">
        <v>756508</v>
      </c>
      <c r="M9" s="66">
        <v>845171</v>
      </c>
      <c r="N9" s="66">
        <v>1277355</v>
      </c>
      <c r="O9" s="66">
        <v>1265679</v>
      </c>
      <c r="P9" s="66">
        <v>1308265</v>
      </c>
      <c r="Q9" s="66">
        <v>1447269</v>
      </c>
      <c r="R9" s="287">
        <v>1125718</v>
      </c>
    </row>
    <row r="10" spans="1:18" s="63" customFormat="1" ht="15.6" x14ac:dyDescent="0.3">
      <c r="A10" s="75" t="s">
        <v>29</v>
      </c>
      <c r="B10" s="170">
        <v>640598.61</v>
      </c>
      <c r="C10" s="67">
        <v>691621.5</v>
      </c>
      <c r="D10" s="66">
        <v>690037.68</v>
      </c>
      <c r="E10" s="66">
        <v>752727.93</v>
      </c>
      <c r="F10" s="66">
        <v>745058.43</v>
      </c>
      <c r="G10" s="66">
        <v>694113</v>
      </c>
      <c r="H10" s="66">
        <v>720427</v>
      </c>
      <c r="I10" s="66">
        <v>723202</v>
      </c>
      <c r="J10" s="66">
        <v>745680</v>
      </c>
      <c r="K10" s="66">
        <v>823596</v>
      </c>
      <c r="L10" s="66">
        <v>822041</v>
      </c>
      <c r="M10" s="66">
        <v>884052</v>
      </c>
      <c r="N10" s="66">
        <v>1338896</v>
      </c>
      <c r="O10" s="66">
        <v>1387327</v>
      </c>
      <c r="P10" s="66">
        <v>1499538</v>
      </c>
      <c r="Q10" s="66">
        <v>1656036</v>
      </c>
      <c r="R10" s="287">
        <v>1336026</v>
      </c>
    </row>
    <row r="11" spans="1:18" s="63" customFormat="1" ht="15.6" x14ac:dyDescent="0.3">
      <c r="A11" s="75" t="s">
        <v>30</v>
      </c>
      <c r="B11" s="170">
        <v>498817.05</v>
      </c>
      <c r="C11" s="67">
        <v>500691.7</v>
      </c>
      <c r="D11" s="66">
        <v>563990.16</v>
      </c>
      <c r="E11" s="66">
        <v>655332.62</v>
      </c>
      <c r="F11" s="66">
        <v>646845.89</v>
      </c>
      <c r="G11" s="66">
        <v>596080</v>
      </c>
      <c r="H11" s="66">
        <v>644714</v>
      </c>
      <c r="I11" s="66">
        <v>680367</v>
      </c>
      <c r="J11" s="66">
        <v>739725</v>
      </c>
      <c r="K11" s="66">
        <v>690189</v>
      </c>
      <c r="L11" s="66">
        <v>770883</v>
      </c>
      <c r="M11" s="66">
        <v>831233</v>
      </c>
      <c r="N11" s="66">
        <v>1186258</v>
      </c>
      <c r="O11" s="66">
        <v>1264962</v>
      </c>
      <c r="P11" s="66">
        <v>1271855</v>
      </c>
      <c r="Q11" s="66">
        <v>1436042</v>
      </c>
      <c r="R11" s="291" t="s">
        <v>152</v>
      </c>
    </row>
    <row r="12" spans="1:18" s="63" customFormat="1" ht="15.6" x14ac:dyDescent="0.3">
      <c r="A12" s="75" t="s">
        <v>31</v>
      </c>
      <c r="B12" s="170">
        <v>840699.82</v>
      </c>
      <c r="C12" s="67">
        <v>861969.85</v>
      </c>
      <c r="D12" s="66">
        <v>874349.2</v>
      </c>
      <c r="E12" s="66">
        <v>880234.27</v>
      </c>
      <c r="F12" s="66">
        <v>888551.7</v>
      </c>
      <c r="G12" s="66">
        <v>902180</v>
      </c>
      <c r="H12" s="66">
        <v>841730</v>
      </c>
      <c r="I12" s="66">
        <v>791490</v>
      </c>
      <c r="J12" s="66">
        <v>923472</v>
      </c>
      <c r="K12" s="66">
        <v>953242</v>
      </c>
      <c r="L12" s="66">
        <v>978568</v>
      </c>
      <c r="M12" s="66">
        <v>1064524</v>
      </c>
      <c r="N12" s="66">
        <v>1603521</v>
      </c>
      <c r="O12" s="66">
        <v>1641344</v>
      </c>
      <c r="P12" s="66">
        <v>1766162</v>
      </c>
      <c r="Q12" s="66">
        <v>1630893</v>
      </c>
      <c r="R12" s="295" t="s">
        <v>152</v>
      </c>
    </row>
    <row r="13" spans="1:18" s="63" customFormat="1" ht="15.6" x14ac:dyDescent="0.3">
      <c r="A13" s="75" t="s">
        <v>32</v>
      </c>
      <c r="B13" s="170">
        <v>662747.15</v>
      </c>
      <c r="C13" s="67">
        <v>664042.14</v>
      </c>
      <c r="D13" s="66">
        <v>742426.07</v>
      </c>
      <c r="E13" s="66">
        <v>742938.1</v>
      </c>
      <c r="F13" s="66">
        <v>750839.08</v>
      </c>
      <c r="G13" s="66">
        <v>677821</v>
      </c>
      <c r="H13" s="66">
        <v>713295</v>
      </c>
      <c r="I13" s="66">
        <v>747478</v>
      </c>
      <c r="J13" s="66">
        <v>799936</v>
      </c>
      <c r="K13" s="66">
        <v>832127</v>
      </c>
      <c r="L13" s="66">
        <v>876175</v>
      </c>
      <c r="M13" s="66">
        <v>903964</v>
      </c>
      <c r="N13" s="66">
        <v>1385387</v>
      </c>
      <c r="O13" s="66">
        <v>1451085</v>
      </c>
      <c r="P13" s="66">
        <v>1567296</v>
      </c>
      <c r="Q13" s="66">
        <v>1476420</v>
      </c>
      <c r="R13" s="295" t="s">
        <v>152</v>
      </c>
    </row>
    <row r="14" spans="1:18" s="63" customFormat="1" ht="15.6" x14ac:dyDescent="0.3">
      <c r="A14" s="75" t="s">
        <v>33</v>
      </c>
      <c r="B14" s="170">
        <v>719592.31</v>
      </c>
      <c r="C14" s="67">
        <v>675715.72</v>
      </c>
      <c r="D14" s="66">
        <v>727055.91</v>
      </c>
      <c r="E14" s="66">
        <v>737353.71</v>
      </c>
      <c r="F14" s="66">
        <v>760792.73</v>
      </c>
      <c r="G14" s="66">
        <v>925967</v>
      </c>
      <c r="H14" s="66">
        <v>729585</v>
      </c>
      <c r="I14" s="66">
        <v>745903</v>
      </c>
      <c r="J14" s="66">
        <v>822308</v>
      </c>
      <c r="K14" s="66">
        <v>841565</v>
      </c>
      <c r="L14" s="66">
        <v>896258</v>
      </c>
      <c r="M14" s="66">
        <v>932746</v>
      </c>
      <c r="N14" s="66">
        <v>1388532</v>
      </c>
      <c r="O14" s="66">
        <v>1471469</v>
      </c>
      <c r="P14" s="66">
        <v>1466180</v>
      </c>
      <c r="Q14" s="66">
        <v>1522285</v>
      </c>
      <c r="R14" s="295" t="s">
        <v>152</v>
      </c>
    </row>
    <row r="15" spans="1:18" s="63" customFormat="1" ht="15.6" x14ac:dyDescent="0.3">
      <c r="A15" s="75" t="s">
        <v>34</v>
      </c>
      <c r="B15" s="170">
        <v>639096.91</v>
      </c>
      <c r="C15" s="67">
        <v>634752.52</v>
      </c>
      <c r="D15" s="66">
        <v>690235.79</v>
      </c>
      <c r="E15" s="66">
        <v>720871.29</v>
      </c>
      <c r="F15" s="66" t="s">
        <v>35</v>
      </c>
      <c r="G15" s="66">
        <v>672755</v>
      </c>
      <c r="H15" s="66">
        <v>701680</v>
      </c>
      <c r="I15" s="66">
        <v>716645</v>
      </c>
      <c r="J15" s="66">
        <v>763221</v>
      </c>
      <c r="K15" s="66">
        <v>791495</v>
      </c>
      <c r="L15" s="66">
        <v>873077</v>
      </c>
      <c r="M15" s="66">
        <v>905165</v>
      </c>
      <c r="N15" s="66">
        <v>1378170</v>
      </c>
      <c r="O15" s="66">
        <v>1348650</v>
      </c>
      <c r="P15" s="66">
        <v>1499171</v>
      </c>
      <c r="Q15" s="66">
        <v>1536743</v>
      </c>
      <c r="R15" s="295" t="s">
        <v>152</v>
      </c>
    </row>
    <row r="16" spans="1:18" s="63" customFormat="1" ht="16.2" thickBot="1" x14ac:dyDescent="0.35">
      <c r="A16" s="88" t="s">
        <v>36</v>
      </c>
      <c r="B16" s="87">
        <v>623896.01</v>
      </c>
      <c r="C16" s="72">
        <v>606721.84</v>
      </c>
      <c r="D16" s="72">
        <v>793137.95</v>
      </c>
      <c r="E16" s="72">
        <v>741752.58</v>
      </c>
      <c r="F16" s="72">
        <v>1260386</v>
      </c>
      <c r="G16" s="71">
        <v>678585</v>
      </c>
      <c r="H16" s="71">
        <v>724323</v>
      </c>
      <c r="I16" s="71">
        <v>763283</v>
      </c>
      <c r="J16" s="71">
        <v>755260</v>
      </c>
      <c r="K16" s="71">
        <v>775392</v>
      </c>
      <c r="L16" s="71">
        <v>898765</v>
      </c>
      <c r="M16" s="71">
        <v>862923</v>
      </c>
      <c r="N16" s="71">
        <v>1327435</v>
      </c>
      <c r="O16" s="71">
        <v>1360424</v>
      </c>
      <c r="P16" s="71">
        <v>1508748</v>
      </c>
      <c r="Q16" s="71">
        <v>1490051</v>
      </c>
      <c r="R16" s="292" t="s">
        <v>152</v>
      </c>
    </row>
    <row r="17" spans="1:18" s="63" customFormat="1" ht="16.2" thickTop="1" x14ac:dyDescent="0.3">
      <c r="A17" s="171" t="s">
        <v>37</v>
      </c>
      <c r="B17" s="277">
        <f t="shared" ref="B17:P17" si="0">SUM(B5:B16)</f>
        <v>7761251.9400000013</v>
      </c>
      <c r="C17" s="273">
        <f t="shared" si="0"/>
        <v>7811554.4799999986</v>
      </c>
      <c r="D17" s="273">
        <f t="shared" si="0"/>
        <v>8311964.330000001</v>
      </c>
      <c r="E17" s="273">
        <f t="shared" si="0"/>
        <v>8700350.9000000004</v>
      </c>
      <c r="F17" s="273">
        <f t="shared" si="0"/>
        <v>8604410.0700000003</v>
      </c>
      <c r="G17" s="273">
        <f t="shared" si="0"/>
        <v>8814120</v>
      </c>
      <c r="H17" s="273">
        <f t="shared" si="0"/>
        <v>8426909</v>
      </c>
      <c r="I17" s="273">
        <f t="shared" si="0"/>
        <v>8677647</v>
      </c>
      <c r="J17" s="273">
        <f t="shared" si="0"/>
        <v>9218614</v>
      </c>
      <c r="K17" s="273">
        <f t="shared" si="0"/>
        <v>9475845</v>
      </c>
      <c r="L17" s="273">
        <f t="shared" si="0"/>
        <v>9942021</v>
      </c>
      <c r="M17" s="273">
        <f t="shared" si="0"/>
        <v>10506287</v>
      </c>
      <c r="N17" s="273">
        <f t="shared" si="0"/>
        <v>15566705</v>
      </c>
      <c r="O17" s="273">
        <f t="shared" si="0"/>
        <v>16343075</v>
      </c>
      <c r="P17" s="273">
        <f t="shared" si="0"/>
        <v>17166045</v>
      </c>
      <c r="Q17" s="273">
        <f t="shared" ref="Q17:R17" si="1">SUM(Q5:Q16)</f>
        <v>17678391</v>
      </c>
      <c r="R17" s="288">
        <f t="shared" si="1"/>
        <v>8201871</v>
      </c>
    </row>
    <row r="18" spans="1:18" s="113" customFormat="1" ht="6.6" x14ac:dyDescent="0.3">
      <c r="A18" s="371" t="s">
        <v>174</v>
      </c>
      <c r="B18" s="371"/>
      <c r="C18" s="371"/>
      <c r="D18" s="371"/>
      <c r="E18" s="371"/>
      <c r="F18" s="371"/>
      <c r="G18" s="371"/>
      <c r="H18" s="371"/>
      <c r="I18" s="371"/>
      <c r="J18" s="371"/>
      <c r="K18" s="371"/>
      <c r="L18" s="371"/>
      <c r="M18" s="371"/>
      <c r="N18" s="371"/>
      <c r="O18" s="371"/>
      <c r="P18" s="371"/>
      <c r="Q18" s="371"/>
      <c r="R18" s="371"/>
    </row>
    <row r="19" spans="1:18" s="106" customFormat="1" ht="18" x14ac:dyDescent="0.3">
      <c r="A19" s="370" t="s">
        <v>94</v>
      </c>
      <c r="B19" s="370"/>
      <c r="C19" s="370"/>
      <c r="D19" s="370"/>
      <c r="E19" s="370"/>
      <c r="F19" s="370"/>
      <c r="G19" s="370"/>
      <c r="H19" s="370"/>
      <c r="I19" s="370"/>
      <c r="J19" s="370"/>
      <c r="K19" s="370"/>
      <c r="L19" s="370"/>
      <c r="M19" s="370"/>
      <c r="N19" s="370"/>
      <c r="O19" s="370"/>
      <c r="P19" s="370"/>
      <c r="Q19" s="370"/>
      <c r="R19" s="370"/>
    </row>
    <row r="20" spans="1:18" s="63" customFormat="1" ht="15.6" x14ac:dyDescent="0.3">
      <c r="A20" s="172" t="s">
        <v>23</v>
      </c>
      <c r="B20" s="91">
        <v>2004</v>
      </c>
      <c r="C20" s="64">
        <v>2005</v>
      </c>
      <c r="D20" s="64">
        <v>2006</v>
      </c>
      <c r="E20" s="64">
        <v>2007</v>
      </c>
      <c r="F20" s="64">
        <v>2008</v>
      </c>
      <c r="G20" s="64">
        <v>2009</v>
      </c>
      <c r="H20" s="64">
        <v>2010</v>
      </c>
      <c r="I20" s="64">
        <v>2011</v>
      </c>
      <c r="J20" s="65">
        <v>2012</v>
      </c>
      <c r="K20" s="65">
        <v>2013</v>
      </c>
      <c r="L20" s="65">
        <v>2014</v>
      </c>
      <c r="M20" s="65">
        <v>2015</v>
      </c>
      <c r="N20" s="65">
        <v>2016</v>
      </c>
      <c r="O20" s="65">
        <v>2017</v>
      </c>
      <c r="P20" s="65">
        <v>2018</v>
      </c>
      <c r="Q20" s="65">
        <v>2019</v>
      </c>
      <c r="R20" s="49">
        <v>2020</v>
      </c>
    </row>
    <row r="21" spans="1:18" s="63" customFormat="1" ht="15.6" x14ac:dyDescent="0.3">
      <c r="A21" s="76" t="s">
        <v>24</v>
      </c>
      <c r="B21" s="278">
        <v>77789.89</v>
      </c>
      <c r="C21" s="272">
        <v>76638.95</v>
      </c>
      <c r="D21" s="271">
        <v>62474.75</v>
      </c>
      <c r="E21" s="271">
        <v>74754.09</v>
      </c>
      <c r="F21" s="271">
        <v>117213.44</v>
      </c>
      <c r="G21" s="271">
        <v>82904</v>
      </c>
      <c r="H21" s="271">
        <v>68413</v>
      </c>
      <c r="I21" s="271">
        <v>91222</v>
      </c>
      <c r="J21" s="271">
        <v>182866</v>
      </c>
      <c r="K21" s="271">
        <v>106439</v>
      </c>
      <c r="L21" s="271">
        <v>113957</v>
      </c>
      <c r="M21" s="271">
        <v>109527</v>
      </c>
      <c r="N21" s="271">
        <v>155886</v>
      </c>
      <c r="O21" s="271">
        <v>192432</v>
      </c>
      <c r="P21" s="271">
        <v>151818</v>
      </c>
      <c r="Q21" s="271">
        <v>156944</v>
      </c>
      <c r="R21" s="286">
        <v>143327</v>
      </c>
    </row>
    <row r="22" spans="1:18" s="63" customFormat="1" ht="15.6" x14ac:dyDescent="0.3">
      <c r="A22" s="75" t="s">
        <v>25</v>
      </c>
      <c r="B22" s="170">
        <v>70984.53</v>
      </c>
      <c r="C22" s="67">
        <v>41518.410000000003</v>
      </c>
      <c r="D22" s="66">
        <v>86963.07</v>
      </c>
      <c r="E22" s="66">
        <v>117356.3</v>
      </c>
      <c r="F22" s="66">
        <v>81857.81</v>
      </c>
      <c r="G22" s="66">
        <v>63279</v>
      </c>
      <c r="H22" s="66">
        <v>73466</v>
      </c>
      <c r="I22" s="66">
        <v>40561</v>
      </c>
      <c r="J22" s="66">
        <v>62067</v>
      </c>
      <c r="K22" s="66">
        <v>-56707</v>
      </c>
      <c r="L22" s="66">
        <v>95231</v>
      </c>
      <c r="M22" s="66">
        <v>82630</v>
      </c>
      <c r="N22" s="66">
        <v>100035</v>
      </c>
      <c r="O22" s="66">
        <v>107721</v>
      </c>
      <c r="P22" s="66">
        <v>149603</v>
      </c>
      <c r="Q22" s="66">
        <v>158016</v>
      </c>
      <c r="R22" s="287">
        <v>185406</v>
      </c>
    </row>
    <row r="23" spans="1:18" s="63" customFormat="1" ht="15.6" x14ac:dyDescent="0.3">
      <c r="A23" s="75" t="s">
        <v>26</v>
      </c>
      <c r="B23" s="170">
        <v>59269.83</v>
      </c>
      <c r="C23" s="67">
        <v>56917.07</v>
      </c>
      <c r="D23" s="66">
        <v>52282.99</v>
      </c>
      <c r="E23" s="66">
        <v>59169.02</v>
      </c>
      <c r="F23" s="66">
        <v>59807.15</v>
      </c>
      <c r="G23" s="66">
        <v>49240</v>
      </c>
      <c r="H23" s="66">
        <v>70839</v>
      </c>
      <c r="I23" s="66">
        <v>68846</v>
      </c>
      <c r="J23" s="66">
        <v>55521</v>
      </c>
      <c r="K23" s="66">
        <v>82020</v>
      </c>
      <c r="L23" s="66">
        <v>64272</v>
      </c>
      <c r="M23" s="66">
        <v>80854</v>
      </c>
      <c r="N23" s="66">
        <v>107221</v>
      </c>
      <c r="O23" s="66">
        <v>91277</v>
      </c>
      <c r="P23" s="66">
        <v>83589</v>
      </c>
      <c r="Q23" s="66">
        <v>102711</v>
      </c>
      <c r="R23" s="287">
        <v>141322</v>
      </c>
    </row>
    <row r="24" spans="1:18" s="63" customFormat="1" ht="15.6" x14ac:dyDescent="0.3">
      <c r="A24" s="75" t="s">
        <v>27</v>
      </c>
      <c r="B24" s="170">
        <v>71477.17</v>
      </c>
      <c r="C24" s="67">
        <v>74530.87</v>
      </c>
      <c r="D24" s="66">
        <v>70681.02</v>
      </c>
      <c r="E24" s="66">
        <v>110096.32000000001</v>
      </c>
      <c r="F24" s="66">
        <v>71470.009999999995</v>
      </c>
      <c r="G24" s="66">
        <v>73305</v>
      </c>
      <c r="H24" s="66">
        <v>77115</v>
      </c>
      <c r="I24" s="66">
        <v>73491</v>
      </c>
      <c r="J24" s="66">
        <v>126244</v>
      </c>
      <c r="K24" s="66">
        <v>82034</v>
      </c>
      <c r="L24" s="66">
        <v>81335</v>
      </c>
      <c r="M24" s="66">
        <v>83953</v>
      </c>
      <c r="N24" s="66">
        <v>134954</v>
      </c>
      <c r="O24" s="66">
        <v>147997</v>
      </c>
      <c r="P24" s="66">
        <v>136229</v>
      </c>
      <c r="Q24" s="66">
        <v>128205</v>
      </c>
      <c r="R24" s="287">
        <v>115908</v>
      </c>
    </row>
    <row r="25" spans="1:18" s="63" customFormat="1" ht="15.6" x14ac:dyDescent="0.3">
      <c r="A25" s="75" t="s">
        <v>28</v>
      </c>
      <c r="B25" s="170">
        <v>65843.259999999995</v>
      </c>
      <c r="C25" s="67">
        <v>47215.08</v>
      </c>
      <c r="D25" s="66">
        <v>38883.019999999997</v>
      </c>
      <c r="E25" s="66">
        <v>70907.929999999993</v>
      </c>
      <c r="F25" s="66">
        <v>55104.85</v>
      </c>
      <c r="G25" s="66">
        <v>68673</v>
      </c>
      <c r="H25" s="66">
        <v>61077</v>
      </c>
      <c r="I25" s="66">
        <v>74490</v>
      </c>
      <c r="J25" s="66">
        <v>90951</v>
      </c>
      <c r="K25" s="66">
        <v>82637</v>
      </c>
      <c r="L25" s="66">
        <v>84901</v>
      </c>
      <c r="M25" s="66">
        <v>96844</v>
      </c>
      <c r="N25" s="66">
        <v>92995</v>
      </c>
      <c r="O25" s="66">
        <v>101347</v>
      </c>
      <c r="P25" s="66">
        <v>103172</v>
      </c>
      <c r="Q25" s="66">
        <v>157548</v>
      </c>
      <c r="R25" s="287">
        <v>122509</v>
      </c>
    </row>
    <row r="26" spans="1:18" s="63" customFormat="1" ht="15.6" x14ac:dyDescent="0.3">
      <c r="A26" s="75" t="s">
        <v>29</v>
      </c>
      <c r="B26" s="170">
        <v>58575.31</v>
      </c>
      <c r="C26" s="67">
        <v>49080.13</v>
      </c>
      <c r="D26" s="66">
        <v>81456.639999999999</v>
      </c>
      <c r="E26" s="66">
        <v>97888.16</v>
      </c>
      <c r="F26" s="66">
        <v>59851.32</v>
      </c>
      <c r="G26" s="66">
        <v>58827</v>
      </c>
      <c r="H26" s="66">
        <v>83243</v>
      </c>
      <c r="I26" s="66">
        <v>80038</v>
      </c>
      <c r="J26" s="66">
        <v>-161364</v>
      </c>
      <c r="K26" s="66">
        <v>79702</v>
      </c>
      <c r="L26" s="66">
        <v>91784</v>
      </c>
      <c r="M26" s="66">
        <v>91555</v>
      </c>
      <c r="N26" s="66">
        <v>96436</v>
      </c>
      <c r="O26" s="66">
        <v>136623</v>
      </c>
      <c r="P26" s="66">
        <v>114350</v>
      </c>
      <c r="Q26" s="66">
        <v>148999</v>
      </c>
      <c r="R26" s="287">
        <v>108400</v>
      </c>
    </row>
    <row r="27" spans="1:18" s="63" customFormat="1" ht="15.6" x14ac:dyDescent="0.3">
      <c r="A27" s="75" t="s">
        <v>30</v>
      </c>
      <c r="B27" s="170">
        <v>43534.01</v>
      </c>
      <c r="C27" s="67">
        <v>34388.11</v>
      </c>
      <c r="D27" s="66">
        <v>41423.67</v>
      </c>
      <c r="E27" s="66">
        <v>125818.98</v>
      </c>
      <c r="F27" s="66">
        <v>33535.599999999999</v>
      </c>
      <c r="G27" s="66">
        <v>54738</v>
      </c>
      <c r="H27" s="66">
        <v>135359</v>
      </c>
      <c r="I27" s="66">
        <v>69332</v>
      </c>
      <c r="J27" s="66">
        <v>66696</v>
      </c>
      <c r="K27" s="66">
        <v>83501</v>
      </c>
      <c r="L27" s="66">
        <v>72233</v>
      </c>
      <c r="M27" s="66">
        <v>77972</v>
      </c>
      <c r="N27" s="66">
        <v>79972</v>
      </c>
      <c r="O27" s="66">
        <v>118709</v>
      </c>
      <c r="P27" s="66">
        <v>153515</v>
      </c>
      <c r="Q27" s="66">
        <v>151995</v>
      </c>
      <c r="R27" s="295" t="s">
        <v>152</v>
      </c>
    </row>
    <row r="28" spans="1:18" s="63" customFormat="1" ht="15.6" x14ac:dyDescent="0.3">
      <c r="A28" s="75" t="s">
        <v>31</v>
      </c>
      <c r="B28" s="170">
        <v>89060.06</v>
      </c>
      <c r="C28" s="67">
        <v>99183.67</v>
      </c>
      <c r="D28" s="66">
        <v>124247.87</v>
      </c>
      <c r="E28" s="66">
        <v>96543.21</v>
      </c>
      <c r="F28" s="66">
        <v>114872.28</v>
      </c>
      <c r="G28" s="66">
        <v>67341</v>
      </c>
      <c r="H28" s="66">
        <v>72246</v>
      </c>
      <c r="I28" s="66">
        <v>123794</v>
      </c>
      <c r="J28" s="66">
        <v>67177</v>
      </c>
      <c r="K28" s="66">
        <v>167440</v>
      </c>
      <c r="L28" s="66">
        <v>153662</v>
      </c>
      <c r="M28" s="66">
        <v>117728</v>
      </c>
      <c r="N28" s="66">
        <v>150790</v>
      </c>
      <c r="O28" s="66">
        <v>117215</v>
      </c>
      <c r="P28" s="66">
        <v>124192</v>
      </c>
      <c r="Q28" s="66">
        <v>171792</v>
      </c>
      <c r="R28" s="295" t="s">
        <v>152</v>
      </c>
    </row>
    <row r="29" spans="1:18" s="63" customFormat="1" ht="15.6" x14ac:dyDescent="0.3">
      <c r="A29" s="75" t="s">
        <v>32</v>
      </c>
      <c r="B29" s="170">
        <v>58821.97</v>
      </c>
      <c r="C29" s="67">
        <v>207500.88</v>
      </c>
      <c r="D29" s="66">
        <v>83791.210000000006</v>
      </c>
      <c r="E29" s="66">
        <v>82475.56</v>
      </c>
      <c r="F29" s="66">
        <v>84113.26</v>
      </c>
      <c r="G29" s="66">
        <v>68688</v>
      </c>
      <c r="H29" s="66">
        <v>64918</v>
      </c>
      <c r="I29" s="66">
        <v>96221</v>
      </c>
      <c r="J29" s="66">
        <v>77886</v>
      </c>
      <c r="K29" s="66">
        <v>85594</v>
      </c>
      <c r="L29" s="66">
        <v>95108</v>
      </c>
      <c r="M29" s="66">
        <v>96415</v>
      </c>
      <c r="N29" s="66">
        <v>103347</v>
      </c>
      <c r="O29" s="66">
        <v>143377</v>
      </c>
      <c r="P29" s="66">
        <v>148552</v>
      </c>
      <c r="Q29" s="66">
        <v>130594</v>
      </c>
      <c r="R29" s="295" t="s">
        <v>152</v>
      </c>
    </row>
    <row r="30" spans="1:18" s="63" customFormat="1" ht="15.6" x14ac:dyDescent="0.3">
      <c r="A30" s="75" t="s">
        <v>33</v>
      </c>
      <c r="B30" s="170">
        <v>60466.67</v>
      </c>
      <c r="C30" s="67">
        <v>89505.78</v>
      </c>
      <c r="D30" s="66">
        <v>80561.94</v>
      </c>
      <c r="E30" s="66">
        <v>114836.61</v>
      </c>
      <c r="F30" s="66">
        <v>78480.78</v>
      </c>
      <c r="G30" s="66">
        <v>65542</v>
      </c>
      <c r="H30" s="66">
        <v>46556</v>
      </c>
      <c r="I30" s="66">
        <v>87310</v>
      </c>
      <c r="J30" s="66">
        <v>108502</v>
      </c>
      <c r="K30" s="66">
        <v>-223324</v>
      </c>
      <c r="L30" s="66">
        <v>95153</v>
      </c>
      <c r="M30" s="66">
        <v>170162</v>
      </c>
      <c r="N30" s="66">
        <v>122804</v>
      </c>
      <c r="O30" s="66">
        <v>145024</v>
      </c>
      <c r="P30" s="66">
        <v>110637</v>
      </c>
      <c r="Q30" s="66">
        <v>141101</v>
      </c>
      <c r="R30" s="295" t="s">
        <v>152</v>
      </c>
    </row>
    <row r="31" spans="1:18" s="63" customFormat="1" ht="15.6" x14ac:dyDescent="0.3">
      <c r="A31" s="75" t="s">
        <v>34</v>
      </c>
      <c r="B31" s="170">
        <v>64569.440000000002</v>
      </c>
      <c r="C31" s="67">
        <v>72000.740000000005</v>
      </c>
      <c r="D31" s="66">
        <v>85341.17</v>
      </c>
      <c r="E31" s="66">
        <v>102988.53</v>
      </c>
      <c r="F31" s="66" t="s">
        <v>35</v>
      </c>
      <c r="G31" s="66">
        <v>116694</v>
      </c>
      <c r="H31" s="66">
        <v>68442</v>
      </c>
      <c r="I31" s="66">
        <v>92309</v>
      </c>
      <c r="J31" s="66">
        <v>79422</v>
      </c>
      <c r="K31" s="66">
        <v>377253</v>
      </c>
      <c r="L31" s="66">
        <v>83834</v>
      </c>
      <c r="M31" s="66">
        <v>83998</v>
      </c>
      <c r="N31" s="66">
        <v>97993</v>
      </c>
      <c r="O31" s="66">
        <v>123895</v>
      </c>
      <c r="P31" s="66">
        <v>157613</v>
      </c>
      <c r="Q31" s="66">
        <v>138002</v>
      </c>
      <c r="R31" s="295" t="s">
        <v>152</v>
      </c>
    </row>
    <row r="32" spans="1:18" s="63" customFormat="1" ht="16.2" thickBot="1" x14ac:dyDescent="0.35">
      <c r="A32" s="88" t="s">
        <v>36</v>
      </c>
      <c r="B32" s="87">
        <v>66505.960000000006</v>
      </c>
      <c r="C32" s="72">
        <v>72465.91</v>
      </c>
      <c r="D32" s="72">
        <v>135759.70000000001</v>
      </c>
      <c r="E32" s="72">
        <v>80444.77</v>
      </c>
      <c r="F32" s="72">
        <v>122154</v>
      </c>
      <c r="G32" s="71">
        <v>52283</v>
      </c>
      <c r="H32" s="71">
        <v>71087</v>
      </c>
      <c r="I32" s="71">
        <v>82756</v>
      </c>
      <c r="J32" s="71">
        <v>96550</v>
      </c>
      <c r="K32" s="71">
        <v>85988</v>
      </c>
      <c r="L32" s="71">
        <v>79217</v>
      </c>
      <c r="M32" s="71">
        <v>77207</v>
      </c>
      <c r="N32" s="71">
        <v>121354</v>
      </c>
      <c r="O32" s="71">
        <v>122185</v>
      </c>
      <c r="P32" s="71">
        <v>122941</v>
      </c>
      <c r="Q32" s="71">
        <v>128146</v>
      </c>
      <c r="R32" s="292" t="s">
        <v>152</v>
      </c>
    </row>
    <row r="33" spans="1:18" s="63" customFormat="1" ht="16.2" thickTop="1" x14ac:dyDescent="0.3">
      <c r="A33" s="171" t="s">
        <v>37</v>
      </c>
      <c r="B33" s="277">
        <f t="shared" ref="B33:P33" si="2">SUM(B21:B32)</f>
        <v>786898.10000000009</v>
      </c>
      <c r="C33" s="273">
        <f t="shared" si="2"/>
        <v>920945.6</v>
      </c>
      <c r="D33" s="273">
        <f t="shared" si="2"/>
        <v>943867.05</v>
      </c>
      <c r="E33" s="273">
        <f t="shared" si="2"/>
        <v>1133279.4799999997</v>
      </c>
      <c r="F33" s="273">
        <f t="shared" si="2"/>
        <v>878460.5</v>
      </c>
      <c r="G33" s="273">
        <f t="shared" si="2"/>
        <v>821514</v>
      </c>
      <c r="H33" s="273">
        <f t="shared" si="2"/>
        <v>892761</v>
      </c>
      <c r="I33" s="273">
        <f t="shared" si="2"/>
        <v>980370</v>
      </c>
      <c r="J33" s="273">
        <f t="shared" si="2"/>
        <v>852518</v>
      </c>
      <c r="K33" s="273">
        <f t="shared" si="2"/>
        <v>952577</v>
      </c>
      <c r="L33" s="273">
        <f t="shared" si="2"/>
        <v>1110687</v>
      </c>
      <c r="M33" s="273">
        <f t="shared" si="2"/>
        <v>1168845</v>
      </c>
      <c r="N33" s="273">
        <f t="shared" si="2"/>
        <v>1363787</v>
      </c>
      <c r="O33" s="273">
        <f t="shared" si="2"/>
        <v>1547802</v>
      </c>
      <c r="P33" s="273">
        <f t="shared" si="2"/>
        <v>1556211</v>
      </c>
      <c r="Q33" s="273">
        <f t="shared" ref="Q33:R33" si="3">SUM(Q21:Q32)</f>
        <v>1714053</v>
      </c>
      <c r="R33" s="288">
        <f t="shared" si="3"/>
        <v>816872</v>
      </c>
    </row>
    <row r="34" spans="1:18" s="113" customFormat="1" ht="6.6" x14ac:dyDescent="0.3">
      <c r="A34" s="371" t="s">
        <v>174</v>
      </c>
      <c r="B34" s="371"/>
      <c r="C34" s="371"/>
      <c r="D34" s="371"/>
      <c r="E34" s="371"/>
      <c r="F34" s="371"/>
      <c r="G34" s="371"/>
      <c r="H34" s="371"/>
      <c r="I34" s="371"/>
      <c r="J34" s="371"/>
      <c r="K34" s="371"/>
      <c r="L34" s="371"/>
      <c r="M34" s="371"/>
      <c r="N34" s="371"/>
      <c r="O34" s="371"/>
      <c r="P34" s="371"/>
      <c r="Q34" s="371"/>
      <c r="R34" s="371"/>
    </row>
    <row r="35" spans="1:18" s="106" customFormat="1" ht="18" x14ac:dyDescent="0.3">
      <c r="A35" s="370" t="s">
        <v>126</v>
      </c>
      <c r="B35" s="370"/>
      <c r="C35" s="370"/>
      <c r="D35" s="370"/>
      <c r="E35" s="370"/>
      <c r="F35" s="370"/>
      <c r="G35" s="370"/>
      <c r="H35" s="370"/>
      <c r="I35" s="370"/>
      <c r="J35" s="370"/>
      <c r="K35" s="370"/>
      <c r="L35" s="370"/>
      <c r="M35" s="370"/>
      <c r="N35" s="370"/>
      <c r="O35" s="370"/>
      <c r="P35" s="370"/>
      <c r="Q35" s="370"/>
      <c r="R35" s="370"/>
    </row>
    <row r="36" spans="1:18" s="63" customFormat="1" ht="15.6" x14ac:dyDescent="0.3">
      <c r="A36" s="172" t="s">
        <v>23</v>
      </c>
      <c r="B36" s="91">
        <v>2004</v>
      </c>
      <c r="C36" s="64">
        <v>2005</v>
      </c>
      <c r="D36" s="64">
        <v>2006</v>
      </c>
      <c r="E36" s="64">
        <v>2007</v>
      </c>
      <c r="F36" s="64">
        <v>2008</v>
      </c>
      <c r="G36" s="64">
        <v>2009</v>
      </c>
      <c r="H36" s="64">
        <v>2010</v>
      </c>
      <c r="I36" s="64">
        <v>2011</v>
      </c>
      <c r="J36" s="65">
        <v>2012</v>
      </c>
      <c r="K36" s="65">
        <v>2013</v>
      </c>
      <c r="L36" s="65">
        <v>2014</v>
      </c>
      <c r="M36" s="65">
        <v>2015</v>
      </c>
      <c r="N36" s="65">
        <v>2016</v>
      </c>
      <c r="O36" s="65">
        <v>2017</v>
      </c>
      <c r="P36" s="65">
        <v>2018</v>
      </c>
      <c r="Q36" s="65">
        <v>2019</v>
      </c>
      <c r="R36" s="49">
        <v>2020</v>
      </c>
    </row>
    <row r="37" spans="1:18" s="63" customFormat="1" ht="15.6" x14ac:dyDescent="0.3">
      <c r="A37" s="76" t="s">
        <v>24</v>
      </c>
      <c r="B37" s="108" t="s">
        <v>152</v>
      </c>
      <c r="C37" s="107" t="s">
        <v>152</v>
      </c>
      <c r="D37" s="83" t="s">
        <v>152</v>
      </c>
      <c r="E37" s="83" t="s">
        <v>152</v>
      </c>
      <c r="F37" s="83" t="s">
        <v>152</v>
      </c>
      <c r="G37" s="271">
        <v>-3291</v>
      </c>
      <c r="H37" s="271">
        <v>-13651</v>
      </c>
      <c r="I37" s="271">
        <v>-1377</v>
      </c>
      <c r="J37" s="271">
        <v>-30</v>
      </c>
      <c r="K37" s="271">
        <v>-3156</v>
      </c>
      <c r="L37" s="271">
        <v>-4023</v>
      </c>
      <c r="M37" s="271">
        <v>-27715</v>
      </c>
      <c r="N37" s="271">
        <v>-28637</v>
      </c>
      <c r="O37" s="271">
        <v>-378</v>
      </c>
      <c r="P37" s="271">
        <v>-11126</v>
      </c>
      <c r="Q37" s="271">
        <v>-7575</v>
      </c>
      <c r="R37" s="286">
        <v>-883</v>
      </c>
    </row>
    <row r="38" spans="1:18" s="63" customFormat="1" ht="15.6" x14ac:dyDescent="0.3">
      <c r="A38" s="75" t="s">
        <v>25</v>
      </c>
      <c r="B38" s="170" t="s">
        <v>152</v>
      </c>
      <c r="C38" s="67" t="s">
        <v>152</v>
      </c>
      <c r="D38" s="66" t="s">
        <v>152</v>
      </c>
      <c r="E38" s="66" t="s">
        <v>152</v>
      </c>
      <c r="F38" s="66" t="s">
        <v>152</v>
      </c>
      <c r="G38" s="66">
        <v>-16808</v>
      </c>
      <c r="H38" s="66">
        <v>-105766</v>
      </c>
      <c r="I38" s="66">
        <v>-135735</v>
      </c>
      <c r="J38" s="66">
        <v>-1042</v>
      </c>
      <c r="K38" s="66">
        <v>-63706</v>
      </c>
      <c r="L38" s="66">
        <v>-12162</v>
      </c>
      <c r="M38" s="66">
        <v>-368</v>
      </c>
      <c r="N38" s="66">
        <v>-1721</v>
      </c>
      <c r="O38" s="66">
        <v>-3255</v>
      </c>
      <c r="P38" s="66">
        <v>-86479</v>
      </c>
      <c r="Q38" s="66">
        <v>-3610</v>
      </c>
      <c r="R38" s="287">
        <v>-2548</v>
      </c>
    </row>
    <row r="39" spans="1:18" s="63" customFormat="1" ht="15.6" x14ac:dyDescent="0.3">
      <c r="A39" s="75" t="s">
        <v>26</v>
      </c>
      <c r="B39" s="170" t="s">
        <v>152</v>
      </c>
      <c r="C39" s="67" t="s">
        <v>152</v>
      </c>
      <c r="D39" s="66" t="s">
        <v>152</v>
      </c>
      <c r="E39" s="66" t="s">
        <v>152</v>
      </c>
      <c r="F39" s="66" t="s">
        <v>152</v>
      </c>
      <c r="G39" s="66">
        <v>-17100</v>
      </c>
      <c r="H39" s="66">
        <v>-53369</v>
      </c>
      <c r="I39" s="66">
        <v>-18941</v>
      </c>
      <c r="J39" s="66">
        <v>-19145</v>
      </c>
      <c r="K39" s="66">
        <v>-116</v>
      </c>
      <c r="L39" s="66">
        <v>-492</v>
      </c>
      <c r="M39" s="66">
        <v>-5600</v>
      </c>
      <c r="N39" s="66">
        <v>-568</v>
      </c>
      <c r="O39" s="66">
        <v>-3671</v>
      </c>
      <c r="P39" s="66">
        <v>-7538</v>
      </c>
      <c r="Q39" s="66">
        <v>-1</v>
      </c>
      <c r="R39" s="287">
        <v>-90545</v>
      </c>
    </row>
    <row r="40" spans="1:18" s="63" customFormat="1" ht="15.6" x14ac:dyDescent="0.3">
      <c r="A40" s="75" t="s">
        <v>27</v>
      </c>
      <c r="B40" s="170" t="s">
        <v>152</v>
      </c>
      <c r="C40" s="67" t="s">
        <v>152</v>
      </c>
      <c r="D40" s="66" t="s">
        <v>152</v>
      </c>
      <c r="E40" s="66" t="s">
        <v>152</v>
      </c>
      <c r="F40" s="66" t="s">
        <v>152</v>
      </c>
      <c r="G40" s="66">
        <v>-343826</v>
      </c>
      <c r="H40" s="66">
        <v>-23365</v>
      </c>
      <c r="I40" s="66">
        <v>-8884</v>
      </c>
      <c r="J40" s="66">
        <v>-526</v>
      </c>
      <c r="K40" s="66">
        <v>-18808</v>
      </c>
      <c r="L40" s="66">
        <v>-762</v>
      </c>
      <c r="M40" s="66">
        <v>-649</v>
      </c>
      <c r="N40" s="66">
        <v>-1455</v>
      </c>
      <c r="O40" s="66">
        <v>-70</v>
      </c>
      <c r="P40" s="66">
        <v>-2731</v>
      </c>
      <c r="Q40" s="66">
        <v>-201688</v>
      </c>
      <c r="R40" s="287">
        <v>-1344</v>
      </c>
    </row>
    <row r="41" spans="1:18" s="63" customFormat="1" ht="15.6" x14ac:dyDescent="0.3">
      <c r="A41" s="75" t="s">
        <v>28</v>
      </c>
      <c r="B41" s="170" t="s">
        <v>152</v>
      </c>
      <c r="C41" s="67" t="s">
        <v>152</v>
      </c>
      <c r="D41" s="66" t="s">
        <v>152</v>
      </c>
      <c r="E41" s="66" t="s">
        <v>152</v>
      </c>
      <c r="F41" s="66" t="s">
        <v>152</v>
      </c>
      <c r="G41" s="66">
        <v>-10549</v>
      </c>
      <c r="H41" s="66">
        <v>-3175</v>
      </c>
      <c r="I41" s="66">
        <v>-1484</v>
      </c>
      <c r="J41" s="66">
        <v>-49566</v>
      </c>
      <c r="K41" s="66">
        <v>-1100</v>
      </c>
      <c r="L41" s="66">
        <v>-1046</v>
      </c>
      <c r="M41" s="66">
        <v>-1881</v>
      </c>
      <c r="N41" s="66">
        <v>-56035</v>
      </c>
      <c r="O41" s="66">
        <v>-22354</v>
      </c>
      <c r="P41" s="66">
        <v>-6918</v>
      </c>
      <c r="Q41" s="66">
        <v>-22147</v>
      </c>
      <c r="R41" s="287">
        <v>-159</v>
      </c>
    </row>
    <row r="42" spans="1:18" s="63" customFormat="1" ht="15.6" x14ac:dyDescent="0.3">
      <c r="A42" s="75" t="s">
        <v>29</v>
      </c>
      <c r="B42" s="170" t="s">
        <v>152</v>
      </c>
      <c r="C42" s="67" t="s">
        <v>152</v>
      </c>
      <c r="D42" s="66" t="s">
        <v>152</v>
      </c>
      <c r="E42" s="66" t="s">
        <v>152</v>
      </c>
      <c r="F42" s="66" t="s">
        <v>152</v>
      </c>
      <c r="G42" s="66">
        <v>-35792</v>
      </c>
      <c r="H42" s="66">
        <v>-17740</v>
      </c>
      <c r="I42" s="66">
        <v>-1452</v>
      </c>
      <c r="J42" s="66">
        <v>-90310</v>
      </c>
      <c r="K42" s="66">
        <v>-15588</v>
      </c>
      <c r="L42" s="66">
        <v>-9102</v>
      </c>
      <c r="M42" s="66">
        <v>-6782</v>
      </c>
      <c r="N42" s="66">
        <v>-35765</v>
      </c>
      <c r="O42" s="66">
        <v>-38091</v>
      </c>
      <c r="P42" s="66">
        <v>-3388</v>
      </c>
      <c r="Q42" s="66">
        <v>-8987</v>
      </c>
      <c r="R42" s="287">
        <v>-103339</v>
      </c>
    </row>
    <row r="43" spans="1:18" s="63" customFormat="1" ht="15.6" x14ac:dyDescent="0.3">
      <c r="A43" s="75" t="s">
        <v>30</v>
      </c>
      <c r="B43" s="170" t="s">
        <v>152</v>
      </c>
      <c r="C43" s="67" t="s">
        <v>152</v>
      </c>
      <c r="D43" s="66" t="s">
        <v>152</v>
      </c>
      <c r="E43" s="66" t="s">
        <v>152</v>
      </c>
      <c r="F43" s="66" t="s">
        <v>152</v>
      </c>
      <c r="G43" s="66">
        <v>-5</v>
      </c>
      <c r="H43" s="66">
        <v>-366</v>
      </c>
      <c r="I43" s="66">
        <v>-12005</v>
      </c>
      <c r="J43" s="66">
        <v>-12585</v>
      </c>
      <c r="K43" s="66">
        <v>-3093</v>
      </c>
      <c r="L43" s="66">
        <v>-93515</v>
      </c>
      <c r="M43" s="66">
        <v>-56461</v>
      </c>
      <c r="N43" s="66">
        <v>-15841</v>
      </c>
      <c r="O43" s="66">
        <v>-28360</v>
      </c>
      <c r="P43" s="66">
        <v>-106</v>
      </c>
      <c r="Q43" s="66">
        <v>-2133</v>
      </c>
      <c r="R43" s="295" t="s">
        <v>152</v>
      </c>
    </row>
    <row r="44" spans="1:18" s="63" customFormat="1" ht="15.6" x14ac:dyDescent="0.3">
      <c r="A44" s="75" t="s">
        <v>31</v>
      </c>
      <c r="B44" s="170" t="s">
        <v>152</v>
      </c>
      <c r="C44" s="67" t="s">
        <v>152</v>
      </c>
      <c r="D44" s="66" t="s">
        <v>152</v>
      </c>
      <c r="E44" s="66" t="s">
        <v>152</v>
      </c>
      <c r="F44" s="66" t="s">
        <v>152</v>
      </c>
      <c r="G44" s="66">
        <v>-19267</v>
      </c>
      <c r="H44" s="66">
        <v>-4966</v>
      </c>
      <c r="I44" s="66">
        <v>-6584</v>
      </c>
      <c r="J44" s="66">
        <v>-18242</v>
      </c>
      <c r="K44" s="66">
        <v>-29847</v>
      </c>
      <c r="L44" s="66">
        <v>-6269</v>
      </c>
      <c r="M44" s="66">
        <v>-5458</v>
      </c>
      <c r="N44" s="66">
        <v>-5679</v>
      </c>
      <c r="O44" s="66">
        <v>-22542</v>
      </c>
      <c r="P44" s="66">
        <v>-3</v>
      </c>
      <c r="Q44" s="66">
        <v>-455</v>
      </c>
      <c r="R44" s="295" t="s">
        <v>152</v>
      </c>
    </row>
    <row r="45" spans="1:18" s="63" customFormat="1" ht="15.6" x14ac:dyDescent="0.3">
      <c r="A45" s="75" t="s">
        <v>32</v>
      </c>
      <c r="B45" s="170" t="s">
        <v>152</v>
      </c>
      <c r="C45" s="67" t="s">
        <v>152</v>
      </c>
      <c r="D45" s="66" t="s">
        <v>152</v>
      </c>
      <c r="E45" s="66" t="s">
        <v>152</v>
      </c>
      <c r="F45" s="66" t="s">
        <v>152</v>
      </c>
      <c r="G45" s="66">
        <v>-2307</v>
      </c>
      <c r="H45" s="66">
        <v>-688</v>
      </c>
      <c r="I45" s="66">
        <v>-16942</v>
      </c>
      <c r="J45" s="66">
        <v>-7380</v>
      </c>
      <c r="K45" s="66">
        <v>-7995</v>
      </c>
      <c r="L45" s="66">
        <v>-311</v>
      </c>
      <c r="M45" s="66">
        <v>-10630</v>
      </c>
      <c r="N45" s="66">
        <v>-5673</v>
      </c>
      <c r="O45" s="66">
        <v>-134</v>
      </c>
      <c r="P45" s="66">
        <v>0</v>
      </c>
      <c r="Q45" s="66">
        <v>0</v>
      </c>
      <c r="R45" s="295" t="s">
        <v>152</v>
      </c>
    </row>
    <row r="46" spans="1:18" s="63" customFormat="1" ht="15.6" x14ac:dyDescent="0.3">
      <c r="A46" s="75" t="s">
        <v>33</v>
      </c>
      <c r="B46" s="170" t="s">
        <v>152</v>
      </c>
      <c r="C46" s="67" t="s">
        <v>152</v>
      </c>
      <c r="D46" s="66" t="s">
        <v>152</v>
      </c>
      <c r="E46" s="66" t="s">
        <v>152</v>
      </c>
      <c r="F46" s="66" t="s">
        <v>152</v>
      </c>
      <c r="G46" s="66">
        <v>-8509</v>
      </c>
      <c r="H46" s="66">
        <v>-336</v>
      </c>
      <c r="I46" s="66">
        <v>-4610</v>
      </c>
      <c r="J46" s="66">
        <v>-9303</v>
      </c>
      <c r="K46" s="66">
        <v>-245709</v>
      </c>
      <c r="L46" s="66">
        <v>-324</v>
      </c>
      <c r="M46" s="66">
        <v>-1915</v>
      </c>
      <c r="N46" s="66">
        <v>-3</v>
      </c>
      <c r="O46" s="66">
        <v>-1284</v>
      </c>
      <c r="P46" s="66">
        <v>-27325</v>
      </c>
      <c r="Q46" s="66">
        <v>-332</v>
      </c>
      <c r="R46" s="295" t="s">
        <v>152</v>
      </c>
    </row>
    <row r="47" spans="1:18" s="63" customFormat="1" ht="15.6" x14ac:dyDescent="0.3">
      <c r="A47" s="75" t="s">
        <v>34</v>
      </c>
      <c r="B47" s="170" t="s">
        <v>152</v>
      </c>
      <c r="C47" s="67" t="s">
        <v>152</v>
      </c>
      <c r="D47" s="66" t="s">
        <v>152</v>
      </c>
      <c r="E47" s="66" t="s">
        <v>152</v>
      </c>
      <c r="F47" s="66" t="s">
        <v>152</v>
      </c>
      <c r="G47" s="66">
        <v>-5154</v>
      </c>
      <c r="H47" s="66">
        <v>-29815</v>
      </c>
      <c r="I47" s="66">
        <v>-7909</v>
      </c>
      <c r="J47" s="66">
        <v>-19176</v>
      </c>
      <c r="K47" s="66">
        <v>-23663</v>
      </c>
      <c r="L47" s="66">
        <v>-24648</v>
      </c>
      <c r="M47" s="66">
        <v>-32021</v>
      </c>
      <c r="N47" s="66">
        <v>-17644</v>
      </c>
      <c r="O47" s="66">
        <v>-71</v>
      </c>
      <c r="P47" s="66">
        <v>-95</v>
      </c>
      <c r="Q47" s="66">
        <v>-2526</v>
      </c>
      <c r="R47" s="295" t="s">
        <v>152</v>
      </c>
    </row>
    <row r="48" spans="1:18" s="63" customFormat="1" ht="16.2" thickBot="1" x14ac:dyDescent="0.35">
      <c r="A48" s="88" t="s">
        <v>36</v>
      </c>
      <c r="B48" s="87" t="s">
        <v>152</v>
      </c>
      <c r="C48" s="72" t="s">
        <v>152</v>
      </c>
      <c r="D48" s="72" t="s">
        <v>152</v>
      </c>
      <c r="E48" s="72" t="s">
        <v>152</v>
      </c>
      <c r="F48" s="274">
        <v>-27</v>
      </c>
      <c r="G48" s="71">
        <v>-26928</v>
      </c>
      <c r="H48" s="71">
        <v>-306</v>
      </c>
      <c r="I48" s="71">
        <v>-4591</v>
      </c>
      <c r="J48" s="71">
        <v>-17908</v>
      </c>
      <c r="K48" s="71">
        <v>-28768</v>
      </c>
      <c r="L48" s="71">
        <v>-48507</v>
      </c>
      <c r="M48" s="71">
        <v>-5417</v>
      </c>
      <c r="N48" s="71">
        <v>-18079</v>
      </c>
      <c r="O48" s="71">
        <v>-10661</v>
      </c>
      <c r="P48" s="71">
        <v>-108</v>
      </c>
      <c r="Q48" s="71">
        <v>-2447</v>
      </c>
      <c r="R48" s="292" t="s">
        <v>152</v>
      </c>
    </row>
    <row r="49" spans="1:18" s="63" customFormat="1" ht="16.2" thickTop="1" x14ac:dyDescent="0.3">
      <c r="A49" s="171" t="s">
        <v>37</v>
      </c>
      <c r="B49" s="90" t="s">
        <v>152</v>
      </c>
      <c r="C49" s="73" t="s">
        <v>152</v>
      </c>
      <c r="D49" s="73" t="s">
        <v>152</v>
      </c>
      <c r="E49" s="73" t="s">
        <v>152</v>
      </c>
      <c r="F49" s="273">
        <f t="shared" ref="F49:P49" si="4">SUM(F37:F48)</f>
        <v>-27</v>
      </c>
      <c r="G49" s="273">
        <f t="shared" si="4"/>
        <v>-489536</v>
      </c>
      <c r="H49" s="273">
        <f t="shared" si="4"/>
        <v>-253543</v>
      </c>
      <c r="I49" s="273">
        <f t="shared" si="4"/>
        <v>-220514</v>
      </c>
      <c r="J49" s="273">
        <f t="shared" si="4"/>
        <v>-245213</v>
      </c>
      <c r="K49" s="273">
        <f t="shared" si="4"/>
        <v>-441549</v>
      </c>
      <c r="L49" s="273">
        <f t="shared" si="4"/>
        <v>-201161</v>
      </c>
      <c r="M49" s="273">
        <f t="shared" si="4"/>
        <v>-154897</v>
      </c>
      <c r="N49" s="273">
        <f t="shared" si="4"/>
        <v>-187100</v>
      </c>
      <c r="O49" s="273">
        <f t="shared" si="4"/>
        <v>-130871</v>
      </c>
      <c r="P49" s="273">
        <f t="shared" si="4"/>
        <v>-145817</v>
      </c>
      <c r="Q49" s="273">
        <f t="shared" ref="Q49:R49" si="5">SUM(Q37:Q48)</f>
        <v>-251901</v>
      </c>
      <c r="R49" s="288">
        <f t="shared" si="5"/>
        <v>-198818</v>
      </c>
    </row>
    <row r="50" spans="1:18" s="113" customFormat="1" ht="6.6" x14ac:dyDescent="0.3">
      <c r="A50" s="391" t="s">
        <v>174</v>
      </c>
      <c r="B50" s="391"/>
      <c r="C50" s="391"/>
      <c r="D50" s="391"/>
      <c r="E50" s="391"/>
      <c r="F50" s="391"/>
      <c r="G50" s="391"/>
      <c r="H50" s="391"/>
      <c r="I50" s="391"/>
      <c r="J50" s="391"/>
      <c r="K50" s="391"/>
      <c r="L50" s="391"/>
      <c r="M50" s="391"/>
      <c r="N50" s="391"/>
      <c r="O50" s="391"/>
      <c r="P50" s="391"/>
      <c r="Q50" s="391"/>
      <c r="R50" s="391"/>
    </row>
    <row r="51" spans="1:18" s="111" customFormat="1" ht="13.8" x14ac:dyDescent="0.3">
      <c r="A51" s="388" t="s">
        <v>39</v>
      </c>
      <c r="B51" s="388"/>
      <c r="C51" s="388"/>
      <c r="D51" s="388"/>
      <c r="E51" s="388"/>
      <c r="F51" s="388"/>
      <c r="G51" s="388"/>
      <c r="H51" s="388"/>
      <c r="I51" s="388"/>
      <c r="J51" s="388"/>
      <c r="K51" s="388"/>
      <c r="L51" s="388"/>
      <c r="M51" s="388"/>
      <c r="N51" s="388"/>
      <c r="O51" s="388"/>
      <c r="P51" s="388"/>
      <c r="Q51" s="388"/>
      <c r="R51" s="388"/>
    </row>
    <row r="52" spans="1:18" s="111" customFormat="1" ht="13.8" x14ac:dyDescent="0.3">
      <c r="A52" s="383" t="str">
        <f>'Local SUT'!A60</f>
        <v>Source:  Minnesota Department of Revenue, Tax Research Division, February 2021</v>
      </c>
      <c r="B52" s="383"/>
      <c r="C52" s="383"/>
      <c r="D52" s="383"/>
      <c r="E52" s="383"/>
      <c r="F52" s="383"/>
      <c r="G52" s="383"/>
      <c r="H52" s="383"/>
      <c r="I52" s="383"/>
      <c r="J52" s="383"/>
      <c r="K52" s="383"/>
      <c r="L52" s="383"/>
      <c r="M52" s="383"/>
      <c r="N52" s="383"/>
      <c r="O52" s="383"/>
      <c r="P52" s="383"/>
      <c r="Q52" s="383"/>
      <c r="R52" s="383"/>
    </row>
    <row r="53" spans="1:18" s="111" customFormat="1" ht="13.8" x14ac:dyDescent="0.3">
      <c r="A53" s="382" t="s">
        <v>151</v>
      </c>
      <c r="B53" s="382"/>
      <c r="C53" s="382"/>
      <c r="D53" s="382"/>
      <c r="E53" s="382"/>
      <c r="F53" s="382"/>
      <c r="G53" s="382"/>
      <c r="H53" s="382"/>
      <c r="I53" s="382"/>
      <c r="J53" s="382"/>
      <c r="K53" s="382"/>
      <c r="L53" s="382"/>
      <c r="M53" s="382"/>
      <c r="N53" s="382"/>
      <c r="O53" s="382"/>
      <c r="P53" s="382"/>
      <c r="Q53" s="382"/>
      <c r="R53" s="382"/>
    </row>
    <row r="54" spans="1:18" x14ac:dyDescent="0.3">
      <c r="A54" s="185"/>
      <c r="G54" s="184"/>
      <c r="R54" s="117"/>
    </row>
    <row r="55" spans="1:18" x14ac:dyDescent="0.3">
      <c r="A55" s="185"/>
      <c r="G55" s="184"/>
    </row>
    <row r="56" spans="1:18" x14ac:dyDescent="0.3">
      <c r="A56" s="185"/>
      <c r="G56" s="184"/>
    </row>
    <row r="58" spans="1:18" x14ac:dyDescent="0.3">
      <c r="A58" s="185"/>
    </row>
    <row r="59" spans="1:18" x14ac:dyDescent="0.3">
      <c r="A59" s="185"/>
    </row>
    <row r="60" spans="1:18" x14ac:dyDescent="0.3">
      <c r="A60" s="185"/>
    </row>
    <row r="61" spans="1:18" x14ac:dyDescent="0.3">
      <c r="A61" s="185"/>
    </row>
    <row r="62" spans="1:18" x14ac:dyDescent="0.3">
      <c r="A62" s="185"/>
    </row>
    <row r="63" spans="1:18" x14ac:dyDescent="0.3">
      <c r="A63" s="185"/>
    </row>
    <row r="64" spans="1:18" x14ac:dyDescent="0.3">
      <c r="A64" s="185"/>
    </row>
    <row r="65" spans="1:1" x14ac:dyDescent="0.3">
      <c r="A65" s="185"/>
    </row>
    <row r="66" spans="1:1" x14ac:dyDescent="0.3">
      <c r="A66" s="185"/>
    </row>
    <row r="67" spans="1:1" x14ac:dyDescent="0.3">
      <c r="A67" s="185"/>
    </row>
    <row r="68" spans="1:1" x14ac:dyDescent="0.3">
      <c r="A68" s="185"/>
    </row>
    <row r="69" spans="1:1" x14ac:dyDescent="0.3">
      <c r="A69" s="185"/>
    </row>
    <row r="70" spans="1:1" x14ac:dyDescent="0.3">
      <c r="A70" s="185"/>
    </row>
    <row r="71" spans="1:1" x14ac:dyDescent="0.3">
      <c r="A71" s="185"/>
    </row>
    <row r="72" spans="1:1" x14ac:dyDescent="0.3">
      <c r="A72" s="185"/>
    </row>
    <row r="73" spans="1:1" x14ac:dyDescent="0.3">
      <c r="A73" s="185"/>
    </row>
    <row r="74" spans="1:1" x14ac:dyDescent="0.3">
      <c r="A74" s="185"/>
    </row>
    <row r="75" spans="1:1" x14ac:dyDescent="0.3">
      <c r="A75" s="185"/>
    </row>
    <row r="76" spans="1:1" x14ac:dyDescent="0.3">
      <c r="A76" s="185"/>
    </row>
    <row r="77" spans="1:1" x14ac:dyDescent="0.3">
      <c r="A77" s="185"/>
    </row>
    <row r="78" spans="1:1" x14ac:dyDescent="0.3">
      <c r="A78" s="185"/>
    </row>
    <row r="79" spans="1:1" x14ac:dyDescent="0.3">
      <c r="A79" s="185"/>
    </row>
    <row r="80" spans="1:1" x14ac:dyDescent="0.3">
      <c r="A80" s="185"/>
    </row>
    <row r="81" spans="1:1" x14ac:dyDescent="0.3">
      <c r="A81" s="185"/>
    </row>
    <row r="82" spans="1:1" x14ac:dyDescent="0.3">
      <c r="A82" s="185"/>
    </row>
    <row r="83" spans="1:1" x14ac:dyDescent="0.3">
      <c r="A83" s="185"/>
    </row>
    <row r="84" spans="1:1" x14ac:dyDescent="0.3">
      <c r="A84" s="185"/>
    </row>
    <row r="85" spans="1:1" x14ac:dyDescent="0.3">
      <c r="A85" s="185"/>
    </row>
    <row r="86" spans="1:1" x14ac:dyDescent="0.3">
      <c r="A86" s="185"/>
    </row>
    <row r="87" spans="1:1" x14ac:dyDescent="0.3">
      <c r="A87" s="185"/>
    </row>
    <row r="88" spans="1:1" x14ac:dyDescent="0.3">
      <c r="A88" s="185"/>
    </row>
    <row r="89" spans="1:1" x14ac:dyDescent="0.3">
      <c r="A89" s="185"/>
    </row>
    <row r="90" spans="1:1" x14ac:dyDescent="0.3">
      <c r="A90" s="185"/>
    </row>
    <row r="91" spans="1:1" x14ac:dyDescent="0.3">
      <c r="A91" s="185"/>
    </row>
    <row r="92" spans="1:1" x14ac:dyDescent="0.3">
      <c r="A92" s="185"/>
    </row>
    <row r="93" spans="1:1" x14ac:dyDescent="0.3">
      <c r="A93" s="185"/>
    </row>
    <row r="94" spans="1:1" x14ac:dyDescent="0.3">
      <c r="A94" s="185"/>
    </row>
    <row r="95" spans="1:1" x14ac:dyDescent="0.3">
      <c r="A95" s="185"/>
    </row>
    <row r="96" spans="1:1" x14ac:dyDescent="0.3">
      <c r="A96" s="185"/>
    </row>
    <row r="97" spans="1:1" x14ac:dyDescent="0.3">
      <c r="A97" s="185"/>
    </row>
    <row r="98" spans="1:1" x14ac:dyDescent="0.3">
      <c r="A98" s="185"/>
    </row>
    <row r="99" spans="1:1" x14ac:dyDescent="0.3">
      <c r="A99" s="185"/>
    </row>
    <row r="100" spans="1:1" x14ac:dyDescent="0.3">
      <c r="A100" s="185"/>
    </row>
    <row r="101" spans="1:1" x14ac:dyDescent="0.3">
      <c r="A101" s="185"/>
    </row>
    <row r="102" spans="1:1" x14ac:dyDescent="0.3">
      <c r="A102" s="185"/>
    </row>
    <row r="103" spans="1:1" x14ac:dyDescent="0.3">
      <c r="A103" s="185"/>
    </row>
    <row r="104" spans="1:1" x14ac:dyDescent="0.3">
      <c r="A104" s="185"/>
    </row>
    <row r="105" spans="1:1" x14ac:dyDescent="0.3">
      <c r="A105" s="185"/>
    </row>
    <row r="106" spans="1:1" x14ac:dyDescent="0.3">
      <c r="A106" s="185"/>
    </row>
    <row r="107" spans="1:1" x14ac:dyDescent="0.3">
      <c r="A107" s="185"/>
    </row>
    <row r="108" spans="1:1" x14ac:dyDescent="0.3">
      <c r="A108" s="185"/>
    </row>
    <row r="109" spans="1:1" x14ac:dyDescent="0.3">
      <c r="A109" s="185"/>
    </row>
    <row r="110" spans="1:1" x14ac:dyDescent="0.3">
      <c r="A110" s="185"/>
    </row>
    <row r="111" spans="1:1" x14ac:dyDescent="0.3">
      <c r="A111" s="185"/>
    </row>
    <row r="112" spans="1:1" x14ac:dyDescent="0.3">
      <c r="A112" s="185"/>
    </row>
    <row r="113" spans="1:1" x14ac:dyDescent="0.3">
      <c r="A113" s="185"/>
    </row>
    <row r="114" spans="1:1" x14ac:dyDescent="0.3">
      <c r="A114" s="185"/>
    </row>
    <row r="115" spans="1:1" x14ac:dyDescent="0.3">
      <c r="A115" s="185"/>
    </row>
    <row r="116" spans="1:1" x14ac:dyDescent="0.3">
      <c r="A116" s="185"/>
    </row>
    <row r="117" spans="1:1" x14ac:dyDescent="0.3">
      <c r="A117" s="185"/>
    </row>
    <row r="118" spans="1:1" x14ac:dyDescent="0.3">
      <c r="A118" s="185"/>
    </row>
    <row r="119" spans="1:1" x14ac:dyDescent="0.3">
      <c r="A119" s="185"/>
    </row>
    <row r="120" spans="1:1" x14ac:dyDescent="0.3">
      <c r="A120" s="185"/>
    </row>
    <row r="121" spans="1:1" x14ac:dyDescent="0.3">
      <c r="A121" s="185"/>
    </row>
    <row r="122" spans="1:1" x14ac:dyDescent="0.3">
      <c r="A122" s="185"/>
    </row>
    <row r="123" spans="1:1" x14ac:dyDescent="0.3">
      <c r="A123" s="185"/>
    </row>
    <row r="124" spans="1:1" x14ac:dyDescent="0.3">
      <c r="A124" s="185"/>
    </row>
    <row r="125" spans="1:1" x14ac:dyDescent="0.3">
      <c r="A125" s="185"/>
    </row>
    <row r="126" spans="1:1" x14ac:dyDescent="0.3">
      <c r="A126" s="185"/>
    </row>
    <row r="127" spans="1:1" x14ac:dyDescent="0.3">
      <c r="A127" s="185"/>
    </row>
    <row r="128" spans="1:1" x14ac:dyDescent="0.3">
      <c r="A128" s="185"/>
    </row>
    <row r="129" spans="1:1" x14ac:dyDescent="0.3">
      <c r="A129" s="185"/>
    </row>
    <row r="130" spans="1:1" x14ac:dyDescent="0.3">
      <c r="A130" s="185"/>
    </row>
    <row r="131" spans="1:1" x14ac:dyDescent="0.3">
      <c r="A131" s="185"/>
    </row>
    <row r="132" spans="1:1" x14ac:dyDescent="0.3">
      <c r="A132" s="185"/>
    </row>
    <row r="133" spans="1:1" x14ac:dyDescent="0.3">
      <c r="A133" s="185"/>
    </row>
    <row r="134" spans="1:1" x14ac:dyDescent="0.3">
      <c r="A134" s="185"/>
    </row>
    <row r="135" spans="1:1" x14ac:dyDescent="0.3">
      <c r="A135" s="185"/>
    </row>
    <row r="136" spans="1:1" x14ac:dyDescent="0.3">
      <c r="A136" s="185"/>
    </row>
    <row r="137" spans="1:1" x14ac:dyDescent="0.3">
      <c r="A137" s="185"/>
    </row>
    <row r="138" spans="1:1" x14ac:dyDescent="0.3">
      <c r="A138" s="185"/>
    </row>
    <row r="139" spans="1:1" x14ac:dyDescent="0.3">
      <c r="A139" s="185"/>
    </row>
    <row r="140" spans="1:1" x14ac:dyDescent="0.3">
      <c r="A140" s="185"/>
    </row>
    <row r="141" spans="1:1" x14ac:dyDescent="0.3">
      <c r="A141" s="185"/>
    </row>
    <row r="142" spans="1:1" x14ac:dyDescent="0.3">
      <c r="A142" s="185"/>
    </row>
    <row r="143" spans="1:1" x14ac:dyDescent="0.3">
      <c r="A143" s="185"/>
    </row>
    <row r="144" spans="1:1" x14ac:dyDescent="0.3">
      <c r="A144" s="185"/>
    </row>
    <row r="145" spans="1:1" x14ac:dyDescent="0.3">
      <c r="A145" s="185"/>
    </row>
    <row r="146" spans="1:1" x14ac:dyDescent="0.3">
      <c r="A146" s="185"/>
    </row>
    <row r="147" spans="1:1" x14ac:dyDescent="0.3">
      <c r="A147" s="185"/>
    </row>
    <row r="148" spans="1:1" x14ac:dyDescent="0.3">
      <c r="A148" s="185"/>
    </row>
    <row r="149" spans="1:1" x14ac:dyDescent="0.3">
      <c r="A149" s="185"/>
    </row>
    <row r="150" spans="1:1" x14ac:dyDescent="0.3">
      <c r="A150" s="185"/>
    </row>
    <row r="151" spans="1:1" x14ac:dyDescent="0.3">
      <c r="A151" s="185"/>
    </row>
    <row r="152" spans="1:1" x14ac:dyDescent="0.3">
      <c r="A152" s="185"/>
    </row>
    <row r="153" spans="1:1" x14ac:dyDescent="0.3">
      <c r="A153" s="185"/>
    </row>
    <row r="154" spans="1:1" x14ac:dyDescent="0.3">
      <c r="A154" s="185"/>
    </row>
    <row r="155" spans="1:1" x14ac:dyDescent="0.3">
      <c r="A155" s="185"/>
    </row>
    <row r="156" spans="1:1" x14ac:dyDescent="0.3">
      <c r="A156" s="185"/>
    </row>
    <row r="157" spans="1:1" x14ac:dyDescent="0.3">
      <c r="A157" s="185"/>
    </row>
    <row r="158" spans="1:1" x14ac:dyDescent="0.3">
      <c r="A158" s="185"/>
    </row>
    <row r="159" spans="1:1" x14ac:dyDescent="0.3">
      <c r="A159" s="185"/>
    </row>
    <row r="160" spans="1:1" x14ac:dyDescent="0.3">
      <c r="A160" s="185"/>
    </row>
    <row r="161" spans="1:1" x14ac:dyDescent="0.3">
      <c r="A161" s="185"/>
    </row>
    <row r="162" spans="1:1" x14ac:dyDescent="0.3">
      <c r="A162" s="185"/>
    </row>
    <row r="163" spans="1:1" x14ac:dyDescent="0.3">
      <c r="A163" s="185"/>
    </row>
    <row r="164" spans="1:1" x14ac:dyDescent="0.3">
      <c r="A164" s="185"/>
    </row>
    <row r="165" spans="1:1" x14ac:dyDescent="0.3">
      <c r="A165" s="185"/>
    </row>
    <row r="166" spans="1:1" x14ac:dyDescent="0.3">
      <c r="A166" s="185"/>
    </row>
    <row r="167" spans="1:1" x14ac:dyDescent="0.3">
      <c r="A167" s="185"/>
    </row>
    <row r="168" spans="1:1" x14ac:dyDescent="0.3">
      <c r="A168" s="185"/>
    </row>
    <row r="169" spans="1:1" x14ac:dyDescent="0.3">
      <c r="A169" s="185"/>
    </row>
    <row r="170" spans="1:1" x14ac:dyDescent="0.3">
      <c r="A170" s="185"/>
    </row>
    <row r="171" spans="1:1" x14ac:dyDescent="0.3">
      <c r="A171" s="185"/>
    </row>
    <row r="172" spans="1:1" x14ac:dyDescent="0.3">
      <c r="A172" s="185"/>
    </row>
    <row r="173" spans="1:1" x14ac:dyDescent="0.3">
      <c r="A173" s="185"/>
    </row>
    <row r="174" spans="1:1" x14ac:dyDescent="0.3">
      <c r="A174" s="185"/>
    </row>
    <row r="175" spans="1:1" x14ac:dyDescent="0.3">
      <c r="A175" s="185"/>
    </row>
    <row r="176" spans="1:1" x14ac:dyDescent="0.3">
      <c r="A176" s="185"/>
    </row>
    <row r="177" spans="1:1" x14ac:dyDescent="0.3">
      <c r="A177" s="185"/>
    </row>
    <row r="178" spans="1:1" x14ac:dyDescent="0.3">
      <c r="A178" s="185"/>
    </row>
    <row r="179" spans="1:1" x14ac:dyDescent="0.3">
      <c r="A179" s="185"/>
    </row>
    <row r="180" spans="1:1" x14ac:dyDescent="0.3">
      <c r="A180" s="185"/>
    </row>
    <row r="181" spans="1:1" x14ac:dyDescent="0.3">
      <c r="A181" s="185"/>
    </row>
    <row r="182" spans="1:1" x14ac:dyDescent="0.3">
      <c r="A182" s="185"/>
    </row>
    <row r="183" spans="1:1" x14ac:dyDescent="0.3">
      <c r="A183" s="185"/>
    </row>
    <row r="184" spans="1:1" x14ac:dyDescent="0.3">
      <c r="A184" s="185"/>
    </row>
    <row r="185" spans="1:1" x14ac:dyDescent="0.3">
      <c r="A185" s="185"/>
    </row>
    <row r="186" spans="1:1" x14ac:dyDescent="0.3">
      <c r="A186" s="185"/>
    </row>
    <row r="187" spans="1:1" x14ac:dyDescent="0.3">
      <c r="A187" s="185"/>
    </row>
    <row r="188" spans="1:1" x14ac:dyDescent="0.3">
      <c r="A188" s="185"/>
    </row>
    <row r="189" spans="1:1" x14ac:dyDescent="0.3">
      <c r="A189" s="185"/>
    </row>
    <row r="190" spans="1:1" x14ac:dyDescent="0.3">
      <c r="A190" s="185"/>
    </row>
    <row r="191" spans="1:1" x14ac:dyDescent="0.3">
      <c r="A191" s="185"/>
    </row>
    <row r="192" spans="1:1" x14ac:dyDescent="0.3">
      <c r="A192" s="185"/>
    </row>
    <row r="193" spans="1:1" x14ac:dyDescent="0.3">
      <c r="A193" s="185"/>
    </row>
    <row r="194" spans="1:1" x14ac:dyDescent="0.3">
      <c r="A194" s="185"/>
    </row>
    <row r="195" spans="1:1" x14ac:dyDescent="0.3">
      <c r="A195" s="185"/>
    </row>
    <row r="196" spans="1:1" x14ac:dyDescent="0.3">
      <c r="A196" s="185"/>
    </row>
    <row r="197" spans="1:1" x14ac:dyDescent="0.3">
      <c r="A197" s="185"/>
    </row>
    <row r="198" spans="1:1" x14ac:dyDescent="0.3">
      <c r="A198" s="185"/>
    </row>
    <row r="199" spans="1:1" x14ac:dyDescent="0.3">
      <c r="A199" s="185"/>
    </row>
    <row r="200" spans="1:1" x14ac:dyDescent="0.3">
      <c r="A200" s="185"/>
    </row>
    <row r="201" spans="1:1" x14ac:dyDescent="0.3">
      <c r="A201" s="185"/>
    </row>
    <row r="202" spans="1:1" x14ac:dyDescent="0.3">
      <c r="A202" s="185"/>
    </row>
    <row r="203" spans="1:1" x14ac:dyDescent="0.3">
      <c r="A203" s="185"/>
    </row>
    <row r="204" spans="1:1" x14ac:dyDescent="0.3">
      <c r="A204" s="185"/>
    </row>
    <row r="205" spans="1:1" x14ac:dyDescent="0.3">
      <c r="A205" s="185"/>
    </row>
    <row r="206" spans="1:1" x14ac:dyDescent="0.3">
      <c r="A206" s="185"/>
    </row>
    <row r="207" spans="1:1" x14ac:dyDescent="0.3">
      <c r="A207" s="185"/>
    </row>
    <row r="208" spans="1:1" x14ac:dyDescent="0.3">
      <c r="A208" s="185"/>
    </row>
    <row r="209" spans="1:1" x14ac:dyDescent="0.3">
      <c r="A209" s="185"/>
    </row>
    <row r="210" spans="1:1" x14ac:dyDescent="0.3">
      <c r="A210" s="185"/>
    </row>
    <row r="211" spans="1:1" x14ac:dyDescent="0.3">
      <c r="A211" s="185"/>
    </row>
    <row r="212" spans="1:1" x14ac:dyDescent="0.3">
      <c r="A212" s="185"/>
    </row>
    <row r="213" spans="1:1" x14ac:dyDescent="0.3">
      <c r="A213" s="185"/>
    </row>
    <row r="214" spans="1:1" x14ac:dyDescent="0.3">
      <c r="A214" s="185"/>
    </row>
    <row r="215" spans="1:1" x14ac:dyDescent="0.3">
      <c r="A215" s="185"/>
    </row>
    <row r="216" spans="1:1" x14ac:dyDescent="0.3">
      <c r="A216" s="185"/>
    </row>
    <row r="217" spans="1:1" x14ac:dyDescent="0.3">
      <c r="A217" s="185"/>
    </row>
    <row r="218" spans="1:1" x14ac:dyDescent="0.3">
      <c r="A218" s="185"/>
    </row>
    <row r="219" spans="1:1" x14ac:dyDescent="0.3">
      <c r="A219" s="185"/>
    </row>
    <row r="220" spans="1:1" x14ac:dyDescent="0.3">
      <c r="A220" s="185"/>
    </row>
    <row r="221" spans="1:1" x14ac:dyDescent="0.3">
      <c r="A221" s="185"/>
    </row>
    <row r="222" spans="1:1" x14ac:dyDescent="0.3">
      <c r="A222" s="185"/>
    </row>
    <row r="223" spans="1:1" x14ac:dyDescent="0.3">
      <c r="A223" s="185"/>
    </row>
    <row r="224" spans="1:1" x14ac:dyDescent="0.3">
      <c r="A224" s="185"/>
    </row>
    <row r="225" spans="1:1" x14ac:dyDescent="0.3">
      <c r="A225" s="185"/>
    </row>
  </sheetData>
  <mergeCells count="11">
    <mergeCell ref="A53:R53"/>
    <mergeCell ref="A1:R1"/>
    <mergeCell ref="A2:R2"/>
    <mergeCell ref="A3:R3"/>
    <mergeCell ref="A18:R18"/>
    <mergeCell ref="A19:R19"/>
    <mergeCell ref="A34:R34"/>
    <mergeCell ref="A35:R35"/>
    <mergeCell ref="A50:R50"/>
    <mergeCell ref="A51:R51"/>
    <mergeCell ref="A52:R52"/>
  </mergeCells>
  <pageMargins left="0" right="0" top="0.75" bottom="0" header="0.3" footer="0.3"/>
  <pageSetup scale="63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34">
    <pageSetUpPr fitToPage="1"/>
  </sheetPr>
  <dimension ref="A1:S54"/>
  <sheetViews>
    <sheetView showGridLines="0" workbookViewId="0">
      <pane ySplit="1" topLeftCell="A2" activePane="bottomLeft" state="frozen"/>
      <selection pane="bottomLeft" sqref="A1:S1"/>
    </sheetView>
  </sheetViews>
  <sheetFormatPr defaultColWidth="12.5546875" defaultRowHeight="14.4" x14ac:dyDescent="0.3"/>
  <cols>
    <col min="1" max="1" width="12.5546875" style="180"/>
    <col min="2" max="14" width="13.5546875" style="173" hidden="1" customWidth="1"/>
    <col min="15" max="17" width="13.5546875" style="173" customWidth="1"/>
    <col min="18" max="18" width="13.5546875" style="145" customWidth="1"/>
    <col min="19" max="16384" width="12.5546875" style="173"/>
  </cols>
  <sheetData>
    <row r="1" spans="1:19" s="112" customFormat="1" ht="21" x14ac:dyDescent="0.3">
      <c r="A1" s="380" t="s">
        <v>213</v>
      </c>
      <c r="B1" s="380"/>
      <c r="C1" s="380"/>
      <c r="D1" s="380"/>
      <c r="E1" s="380"/>
      <c r="F1" s="380"/>
      <c r="G1" s="380"/>
      <c r="H1" s="380"/>
      <c r="I1" s="380"/>
      <c r="J1" s="380"/>
      <c r="K1" s="380"/>
      <c r="L1" s="380"/>
      <c r="M1" s="380"/>
      <c r="N1" s="380"/>
      <c r="O1" s="380"/>
      <c r="P1" s="380"/>
      <c r="Q1" s="380"/>
      <c r="R1" s="380"/>
      <c r="S1" s="380"/>
    </row>
    <row r="2" spans="1:19" s="106" customFormat="1" ht="18" x14ac:dyDescent="0.3">
      <c r="A2" s="381" t="str">
        <f>'Local SUT'!A2</f>
        <v>CY 2004-2020</v>
      </c>
      <c r="B2" s="381"/>
      <c r="C2" s="381"/>
      <c r="D2" s="381"/>
      <c r="E2" s="381"/>
      <c r="F2" s="381"/>
      <c r="G2" s="381"/>
      <c r="H2" s="381"/>
      <c r="I2" s="381"/>
      <c r="J2" s="381"/>
      <c r="K2" s="381"/>
      <c r="L2" s="381"/>
      <c r="M2" s="381"/>
      <c r="N2" s="381"/>
      <c r="O2" s="381"/>
      <c r="P2" s="381"/>
      <c r="Q2" s="381"/>
      <c r="R2" s="381"/>
    </row>
    <row r="3" spans="1:19" s="106" customFormat="1" ht="18" x14ac:dyDescent="0.3">
      <c r="A3" s="370" t="s">
        <v>150</v>
      </c>
      <c r="B3" s="370"/>
      <c r="C3" s="370"/>
      <c r="D3" s="370"/>
      <c r="E3" s="370"/>
      <c r="F3" s="370"/>
      <c r="G3" s="370"/>
      <c r="H3" s="370"/>
      <c r="I3" s="370"/>
      <c r="J3" s="370"/>
      <c r="K3" s="370"/>
      <c r="L3" s="370"/>
      <c r="M3" s="370"/>
      <c r="N3" s="370"/>
      <c r="O3" s="370"/>
      <c r="P3" s="370"/>
      <c r="Q3" s="370"/>
      <c r="R3" s="370"/>
    </row>
    <row r="4" spans="1:19" s="63" customFormat="1" ht="15.6" x14ac:dyDescent="0.3">
      <c r="A4" s="77" t="s">
        <v>23</v>
      </c>
      <c r="B4" s="91">
        <v>2004</v>
      </c>
      <c r="C4" s="64">
        <v>2005</v>
      </c>
      <c r="D4" s="64">
        <v>2006</v>
      </c>
      <c r="E4" s="64">
        <v>2007</v>
      </c>
      <c r="F4" s="64">
        <v>2008</v>
      </c>
      <c r="G4" s="64">
        <v>2009</v>
      </c>
      <c r="H4" s="64">
        <v>2010</v>
      </c>
      <c r="I4" s="64">
        <v>2011</v>
      </c>
      <c r="J4" s="65">
        <v>2012</v>
      </c>
      <c r="K4" s="65">
        <v>2013</v>
      </c>
      <c r="L4" s="65">
        <v>2014</v>
      </c>
      <c r="M4" s="65">
        <v>2015</v>
      </c>
      <c r="N4" s="65">
        <v>2016</v>
      </c>
      <c r="O4" s="65">
        <v>2017</v>
      </c>
      <c r="P4" s="65">
        <v>2018</v>
      </c>
      <c r="Q4" s="65">
        <v>2019</v>
      </c>
      <c r="R4" s="49">
        <v>2020</v>
      </c>
    </row>
    <row r="5" spans="1:19" s="63" customFormat="1" ht="15.6" x14ac:dyDescent="0.3">
      <c r="A5" s="76" t="s">
        <v>24</v>
      </c>
      <c r="B5" s="86" t="s">
        <v>152</v>
      </c>
      <c r="C5" s="83" t="s">
        <v>152</v>
      </c>
      <c r="D5" s="83" t="s">
        <v>152</v>
      </c>
      <c r="E5" s="83" t="s">
        <v>152</v>
      </c>
      <c r="F5" s="83" t="s">
        <v>152</v>
      </c>
      <c r="G5" s="83" t="s">
        <v>152</v>
      </c>
      <c r="H5" s="83" t="s">
        <v>152</v>
      </c>
      <c r="I5" s="83" t="s">
        <v>152</v>
      </c>
      <c r="J5" s="83" t="s">
        <v>152</v>
      </c>
      <c r="K5" s="83" t="s">
        <v>152</v>
      </c>
      <c r="L5" s="83" t="s">
        <v>152</v>
      </c>
      <c r="M5" s="83" t="s">
        <v>152</v>
      </c>
      <c r="N5" s="83" t="s">
        <v>152</v>
      </c>
      <c r="O5" s="83" t="s">
        <v>152</v>
      </c>
      <c r="P5" s="271">
        <v>13525</v>
      </c>
      <c r="Q5" s="271">
        <v>13139</v>
      </c>
      <c r="R5" s="286">
        <v>12131</v>
      </c>
    </row>
    <row r="6" spans="1:19" s="63" customFormat="1" ht="15.6" x14ac:dyDescent="0.3">
      <c r="A6" s="75" t="s">
        <v>25</v>
      </c>
      <c r="B6" s="70" t="s">
        <v>152</v>
      </c>
      <c r="C6" s="66" t="s">
        <v>152</v>
      </c>
      <c r="D6" s="66" t="s">
        <v>152</v>
      </c>
      <c r="E6" s="66" t="s">
        <v>152</v>
      </c>
      <c r="F6" s="66" t="s">
        <v>152</v>
      </c>
      <c r="G6" s="66" t="s">
        <v>152</v>
      </c>
      <c r="H6" s="66" t="s">
        <v>152</v>
      </c>
      <c r="I6" s="66" t="s">
        <v>152</v>
      </c>
      <c r="J6" s="66" t="s">
        <v>152</v>
      </c>
      <c r="K6" s="66" t="s">
        <v>152</v>
      </c>
      <c r="L6" s="66" t="s">
        <v>152</v>
      </c>
      <c r="M6" s="66" t="s">
        <v>152</v>
      </c>
      <c r="N6" s="66" t="s">
        <v>152</v>
      </c>
      <c r="O6" s="66" t="s">
        <v>152</v>
      </c>
      <c r="P6" s="66">
        <v>10783</v>
      </c>
      <c r="Q6" s="66">
        <v>11429</v>
      </c>
      <c r="R6" s="287">
        <v>11328</v>
      </c>
    </row>
    <row r="7" spans="1:19" s="63" customFormat="1" ht="15.6" x14ac:dyDescent="0.3">
      <c r="A7" s="75" t="s">
        <v>26</v>
      </c>
      <c r="B7" s="70" t="s">
        <v>152</v>
      </c>
      <c r="C7" s="66" t="s">
        <v>152</v>
      </c>
      <c r="D7" s="66" t="s">
        <v>152</v>
      </c>
      <c r="E7" s="66" t="s">
        <v>152</v>
      </c>
      <c r="F7" s="66" t="s">
        <v>152</v>
      </c>
      <c r="G7" s="66" t="s">
        <v>152</v>
      </c>
      <c r="H7" s="66" t="s">
        <v>152</v>
      </c>
      <c r="I7" s="66" t="s">
        <v>152</v>
      </c>
      <c r="J7" s="66" t="s">
        <v>152</v>
      </c>
      <c r="K7" s="66" t="s">
        <v>152</v>
      </c>
      <c r="L7" s="66" t="s">
        <v>152</v>
      </c>
      <c r="M7" s="66" t="s">
        <v>152</v>
      </c>
      <c r="N7" s="66" t="s">
        <v>152</v>
      </c>
      <c r="O7" s="66" t="s">
        <v>152</v>
      </c>
      <c r="P7" s="66">
        <v>9085</v>
      </c>
      <c r="Q7" s="66">
        <v>7916</v>
      </c>
      <c r="R7" s="287">
        <v>10229</v>
      </c>
    </row>
    <row r="8" spans="1:19" s="63" customFormat="1" ht="15.6" x14ac:dyDescent="0.3">
      <c r="A8" s="75" t="s">
        <v>27</v>
      </c>
      <c r="B8" s="70" t="s">
        <v>152</v>
      </c>
      <c r="C8" s="66" t="s">
        <v>152</v>
      </c>
      <c r="D8" s="66" t="s">
        <v>152</v>
      </c>
      <c r="E8" s="66" t="s">
        <v>152</v>
      </c>
      <c r="F8" s="66" t="s">
        <v>152</v>
      </c>
      <c r="G8" s="66" t="s">
        <v>152</v>
      </c>
      <c r="H8" s="66" t="s">
        <v>152</v>
      </c>
      <c r="I8" s="66" t="s">
        <v>152</v>
      </c>
      <c r="J8" s="66" t="s">
        <v>152</v>
      </c>
      <c r="K8" s="66" t="s">
        <v>152</v>
      </c>
      <c r="L8" s="66" t="s">
        <v>152</v>
      </c>
      <c r="M8" s="66" t="s">
        <v>152</v>
      </c>
      <c r="N8" s="66" t="s">
        <v>152</v>
      </c>
      <c r="O8" s="66" t="s">
        <v>152</v>
      </c>
      <c r="P8" s="66">
        <v>12729</v>
      </c>
      <c r="Q8" s="66">
        <v>9986</v>
      </c>
      <c r="R8" s="287">
        <v>13206</v>
      </c>
    </row>
    <row r="9" spans="1:19" s="63" customFormat="1" ht="15.6" x14ac:dyDescent="0.3">
      <c r="A9" s="75" t="s">
        <v>28</v>
      </c>
      <c r="B9" s="70" t="s">
        <v>152</v>
      </c>
      <c r="C9" s="66" t="s">
        <v>152</v>
      </c>
      <c r="D9" s="66" t="s">
        <v>152</v>
      </c>
      <c r="E9" s="66" t="s">
        <v>152</v>
      </c>
      <c r="F9" s="66" t="s">
        <v>152</v>
      </c>
      <c r="G9" s="66" t="s">
        <v>152</v>
      </c>
      <c r="H9" s="66" t="s">
        <v>152</v>
      </c>
      <c r="I9" s="66" t="s">
        <v>152</v>
      </c>
      <c r="J9" s="66" t="s">
        <v>152</v>
      </c>
      <c r="K9" s="66" t="s">
        <v>152</v>
      </c>
      <c r="L9" s="66" t="s">
        <v>152</v>
      </c>
      <c r="M9" s="66" t="s">
        <v>152</v>
      </c>
      <c r="N9" s="66" t="s">
        <v>152</v>
      </c>
      <c r="O9" s="66" t="s">
        <v>152</v>
      </c>
      <c r="P9" s="66">
        <v>10488</v>
      </c>
      <c r="Q9" s="66">
        <v>12778</v>
      </c>
      <c r="R9" s="287">
        <v>14628</v>
      </c>
    </row>
    <row r="10" spans="1:19" s="63" customFormat="1" ht="15.6" x14ac:dyDescent="0.3">
      <c r="A10" s="75" t="s">
        <v>29</v>
      </c>
      <c r="B10" s="70" t="s">
        <v>152</v>
      </c>
      <c r="C10" s="66" t="s">
        <v>152</v>
      </c>
      <c r="D10" s="66" t="s">
        <v>152</v>
      </c>
      <c r="E10" s="66" t="s">
        <v>152</v>
      </c>
      <c r="F10" s="66" t="s">
        <v>152</v>
      </c>
      <c r="G10" s="66" t="s">
        <v>152</v>
      </c>
      <c r="H10" s="66" t="s">
        <v>152</v>
      </c>
      <c r="I10" s="66" t="s">
        <v>152</v>
      </c>
      <c r="J10" s="66" t="s">
        <v>152</v>
      </c>
      <c r="K10" s="66" t="s">
        <v>152</v>
      </c>
      <c r="L10" s="66" t="s">
        <v>152</v>
      </c>
      <c r="M10" s="66" t="s">
        <v>152</v>
      </c>
      <c r="N10" s="66" t="s">
        <v>152</v>
      </c>
      <c r="O10" s="66" t="s">
        <v>152</v>
      </c>
      <c r="P10" s="66">
        <v>14376</v>
      </c>
      <c r="Q10" s="66">
        <v>18580</v>
      </c>
      <c r="R10" s="287">
        <v>19459</v>
      </c>
    </row>
    <row r="11" spans="1:19" s="63" customFormat="1" ht="15.6" x14ac:dyDescent="0.3">
      <c r="A11" s="75" t="s">
        <v>30</v>
      </c>
      <c r="B11" s="70" t="s">
        <v>152</v>
      </c>
      <c r="C11" s="66" t="s">
        <v>152</v>
      </c>
      <c r="D11" s="66" t="s">
        <v>152</v>
      </c>
      <c r="E11" s="66" t="s">
        <v>152</v>
      </c>
      <c r="F11" s="66" t="s">
        <v>152</v>
      </c>
      <c r="G11" s="66" t="s">
        <v>152</v>
      </c>
      <c r="H11" s="66" t="s">
        <v>152</v>
      </c>
      <c r="I11" s="66" t="s">
        <v>152</v>
      </c>
      <c r="J11" s="66" t="s">
        <v>152</v>
      </c>
      <c r="K11" s="66" t="s">
        <v>152</v>
      </c>
      <c r="L11" s="66" t="s">
        <v>152</v>
      </c>
      <c r="M11" s="66" t="s">
        <v>152</v>
      </c>
      <c r="N11" s="66" t="s">
        <v>152</v>
      </c>
      <c r="O11" s="66" t="s">
        <v>152</v>
      </c>
      <c r="P11" s="66">
        <v>17707</v>
      </c>
      <c r="Q11" s="66">
        <v>17566</v>
      </c>
      <c r="R11" s="291" t="s">
        <v>152</v>
      </c>
    </row>
    <row r="12" spans="1:19" s="63" customFormat="1" ht="15.6" x14ac:dyDescent="0.3">
      <c r="A12" s="75" t="s">
        <v>31</v>
      </c>
      <c r="B12" s="70" t="s">
        <v>152</v>
      </c>
      <c r="C12" s="66" t="s">
        <v>152</v>
      </c>
      <c r="D12" s="66" t="s">
        <v>152</v>
      </c>
      <c r="E12" s="66" t="s">
        <v>152</v>
      </c>
      <c r="F12" s="66" t="s">
        <v>152</v>
      </c>
      <c r="G12" s="66" t="s">
        <v>152</v>
      </c>
      <c r="H12" s="66" t="s">
        <v>152</v>
      </c>
      <c r="I12" s="66" t="s">
        <v>152</v>
      </c>
      <c r="J12" s="66" t="s">
        <v>152</v>
      </c>
      <c r="K12" s="66" t="s">
        <v>152</v>
      </c>
      <c r="L12" s="66" t="s">
        <v>152</v>
      </c>
      <c r="M12" s="66" t="s">
        <v>152</v>
      </c>
      <c r="N12" s="66" t="s">
        <v>152</v>
      </c>
      <c r="O12" s="66" t="s">
        <v>152</v>
      </c>
      <c r="P12" s="66">
        <v>21134</v>
      </c>
      <c r="Q12" s="66">
        <v>19546</v>
      </c>
      <c r="R12" s="295" t="s">
        <v>152</v>
      </c>
    </row>
    <row r="13" spans="1:19" s="63" customFormat="1" ht="15.6" x14ac:dyDescent="0.3">
      <c r="A13" s="75" t="s">
        <v>32</v>
      </c>
      <c r="B13" s="70" t="s">
        <v>152</v>
      </c>
      <c r="C13" s="66" t="s">
        <v>152</v>
      </c>
      <c r="D13" s="66" t="s">
        <v>152</v>
      </c>
      <c r="E13" s="66" t="s">
        <v>152</v>
      </c>
      <c r="F13" s="66" t="s">
        <v>152</v>
      </c>
      <c r="G13" s="66" t="s">
        <v>152</v>
      </c>
      <c r="H13" s="66" t="s">
        <v>152</v>
      </c>
      <c r="I13" s="66" t="s">
        <v>152</v>
      </c>
      <c r="J13" s="66" t="s">
        <v>152</v>
      </c>
      <c r="K13" s="66" t="s">
        <v>152</v>
      </c>
      <c r="L13" s="66" t="s">
        <v>152</v>
      </c>
      <c r="M13" s="66" t="s">
        <v>152</v>
      </c>
      <c r="N13" s="66" t="s">
        <v>152</v>
      </c>
      <c r="O13" s="66" t="s">
        <v>152</v>
      </c>
      <c r="P13" s="66">
        <v>17001</v>
      </c>
      <c r="Q13" s="66">
        <v>15983</v>
      </c>
      <c r="R13" s="295" t="s">
        <v>152</v>
      </c>
    </row>
    <row r="14" spans="1:19" s="63" customFormat="1" ht="15.6" x14ac:dyDescent="0.3">
      <c r="A14" s="75" t="s">
        <v>33</v>
      </c>
      <c r="B14" s="70" t="s">
        <v>152</v>
      </c>
      <c r="C14" s="66" t="s">
        <v>152</v>
      </c>
      <c r="D14" s="66" t="s">
        <v>152</v>
      </c>
      <c r="E14" s="66" t="s">
        <v>152</v>
      </c>
      <c r="F14" s="66" t="s">
        <v>152</v>
      </c>
      <c r="G14" s="66" t="s">
        <v>152</v>
      </c>
      <c r="H14" s="66" t="s">
        <v>152</v>
      </c>
      <c r="I14" s="66" t="s">
        <v>152</v>
      </c>
      <c r="J14" s="66" t="s">
        <v>152</v>
      </c>
      <c r="K14" s="66" t="s">
        <v>152</v>
      </c>
      <c r="L14" s="66" t="s">
        <v>152</v>
      </c>
      <c r="M14" s="66" t="s">
        <v>152</v>
      </c>
      <c r="N14" s="66" t="s">
        <v>152</v>
      </c>
      <c r="O14" s="66" t="s">
        <v>152</v>
      </c>
      <c r="P14" s="66">
        <v>14547</v>
      </c>
      <c r="Q14" s="66">
        <v>16080</v>
      </c>
      <c r="R14" s="295" t="s">
        <v>152</v>
      </c>
    </row>
    <row r="15" spans="1:19" s="63" customFormat="1" ht="15.6" x14ac:dyDescent="0.3">
      <c r="A15" s="75" t="s">
        <v>34</v>
      </c>
      <c r="B15" s="70" t="s">
        <v>152</v>
      </c>
      <c r="C15" s="66" t="s">
        <v>152</v>
      </c>
      <c r="D15" s="66" t="s">
        <v>152</v>
      </c>
      <c r="E15" s="66" t="s">
        <v>152</v>
      </c>
      <c r="F15" s="66" t="s">
        <v>152</v>
      </c>
      <c r="G15" s="66" t="s">
        <v>152</v>
      </c>
      <c r="H15" s="66" t="s">
        <v>152</v>
      </c>
      <c r="I15" s="66" t="s">
        <v>152</v>
      </c>
      <c r="J15" s="66" t="s">
        <v>152</v>
      </c>
      <c r="K15" s="66" t="s">
        <v>152</v>
      </c>
      <c r="L15" s="66" t="s">
        <v>152</v>
      </c>
      <c r="M15" s="66" t="s">
        <v>152</v>
      </c>
      <c r="N15" s="66" t="s">
        <v>152</v>
      </c>
      <c r="O15" s="275">
        <v>12176</v>
      </c>
      <c r="P15" s="66">
        <v>14145</v>
      </c>
      <c r="Q15" s="66">
        <v>13658</v>
      </c>
      <c r="R15" s="295" t="s">
        <v>152</v>
      </c>
    </row>
    <row r="16" spans="1:19" s="63" customFormat="1" ht="16.2" thickBot="1" x14ac:dyDescent="0.35">
      <c r="A16" s="88" t="s">
        <v>36</v>
      </c>
      <c r="B16" s="104" t="s">
        <v>152</v>
      </c>
      <c r="C16" s="71" t="s">
        <v>152</v>
      </c>
      <c r="D16" s="71" t="s">
        <v>152</v>
      </c>
      <c r="E16" s="71" t="s">
        <v>152</v>
      </c>
      <c r="F16" s="71" t="s">
        <v>152</v>
      </c>
      <c r="G16" s="71" t="s">
        <v>152</v>
      </c>
      <c r="H16" s="71" t="s">
        <v>152</v>
      </c>
      <c r="I16" s="71" t="s">
        <v>152</v>
      </c>
      <c r="J16" s="71" t="s">
        <v>152</v>
      </c>
      <c r="K16" s="71" t="s">
        <v>152</v>
      </c>
      <c r="L16" s="71" t="s">
        <v>152</v>
      </c>
      <c r="M16" s="71" t="s">
        <v>152</v>
      </c>
      <c r="N16" s="71" t="s">
        <v>152</v>
      </c>
      <c r="O16" s="71">
        <v>11502</v>
      </c>
      <c r="P16" s="71">
        <v>12504</v>
      </c>
      <c r="Q16" s="71">
        <v>12874</v>
      </c>
      <c r="R16" s="292" t="s">
        <v>152</v>
      </c>
    </row>
    <row r="17" spans="1:18" s="63" customFormat="1" ht="16.2" thickTop="1" x14ac:dyDescent="0.3">
      <c r="A17" s="89" t="s">
        <v>37</v>
      </c>
      <c r="B17" s="90" t="s">
        <v>152</v>
      </c>
      <c r="C17" s="73" t="s">
        <v>152</v>
      </c>
      <c r="D17" s="73" t="s">
        <v>152</v>
      </c>
      <c r="E17" s="73" t="s">
        <v>152</v>
      </c>
      <c r="F17" s="73" t="s">
        <v>152</v>
      </c>
      <c r="G17" s="73" t="s">
        <v>152</v>
      </c>
      <c r="H17" s="73" t="s">
        <v>152</v>
      </c>
      <c r="I17" s="73" t="s">
        <v>152</v>
      </c>
      <c r="J17" s="73" t="s">
        <v>152</v>
      </c>
      <c r="K17" s="73" t="s">
        <v>152</v>
      </c>
      <c r="L17" s="73" t="s">
        <v>152</v>
      </c>
      <c r="M17" s="73" t="s">
        <v>152</v>
      </c>
      <c r="N17" s="73" t="s">
        <v>152</v>
      </c>
      <c r="O17" s="273">
        <f t="shared" ref="O17:P17" si="0">SUM(O5:O16)</f>
        <v>23678</v>
      </c>
      <c r="P17" s="273">
        <f t="shared" si="0"/>
        <v>168024</v>
      </c>
      <c r="Q17" s="273">
        <f t="shared" ref="Q17:R17" si="1">SUM(Q5:Q16)</f>
        <v>169535</v>
      </c>
      <c r="R17" s="288">
        <f t="shared" si="1"/>
        <v>80981</v>
      </c>
    </row>
    <row r="18" spans="1:18" s="113" customFormat="1" ht="6.6" x14ac:dyDescent="0.3">
      <c r="A18" s="371" t="s">
        <v>174</v>
      </c>
      <c r="B18" s="371"/>
      <c r="C18" s="371"/>
      <c r="D18" s="371"/>
      <c r="E18" s="371"/>
      <c r="F18" s="371"/>
      <c r="G18" s="371"/>
      <c r="H18" s="371"/>
      <c r="I18" s="371"/>
      <c r="J18" s="371"/>
      <c r="K18" s="371"/>
      <c r="L18" s="371"/>
      <c r="M18" s="371"/>
      <c r="N18" s="371"/>
      <c r="O18" s="371"/>
      <c r="P18" s="371"/>
      <c r="Q18" s="371"/>
      <c r="R18" s="371"/>
    </row>
    <row r="19" spans="1:18" s="106" customFormat="1" ht="18" x14ac:dyDescent="0.3">
      <c r="A19" s="370" t="s">
        <v>148</v>
      </c>
      <c r="B19" s="370"/>
      <c r="C19" s="370"/>
      <c r="D19" s="370"/>
      <c r="E19" s="370"/>
      <c r="F19" s="370"/>
      <c r="G19" s="370"/>
      <c r="H19" s="370"/>
      <c r="I19" s="370"/>
      <c r="J19" s="370"/>
      <c r="K19" s="370"/>
      <c r="L19" s="370"/>
      <c r="M19" s="370"/>
      <c r="N19" s="370"/>
      <c r="O19" s="370"/>
      <c r="P19" s="370"/>
      <c r="Q19" s="370"/>
      <c r="R19" s="370"/>
    </row>
    <row r="20" spans="1:18" s="63" customFormat="1" ht="15.6" x14ac:dyDescent="0.3">
      <c r="A20" s="77" t="s">
        <v>23</v>
      </c>
      <c r="B20" s="91">
        <v>2004</v>
      </c>
      <c r="C20" s="64">
        <v>2005</v>
      </c>
      <c r="D20" s="64">
        <v>2006</v>
      </c>
      <c r="E20" s="64">
        <v>2007</v>
      </c>
      <c r="F20" s="64">
        <v>2008</v>
      </c>
      <c r="G20" s="64">
        <v>2009</v>
      </c>
      <c r="H20" s="64">
        <v>2010</v>
      </c>
      <c r="I20" s="64">
        <v>2011</v>
      </c>
      <c r="J20" s="65">
        <v>2012</v>
      </c>
      <c r="K20" s="65">
        <v>2013</v>
      </c>
      <c r="L20" s="65">
        <v>2014</v>
      </c>
      <c r="M20" s="65">
        <v>2015</v>
      </c>
      <c r="N20" s="65">
        <v>2016</v>
      </c>
      <c r="O20" s="65">
        <v>2017</v>
      </c>
      <c r="P20" s="65">
        <v>2018</v>
      </c>
      <c r="Q20" s="65">
        <v>2019</v>
      </c>
      <c r="R20" s="49">
        <v>2020</v>
      </c>
    </row>
    <row r="21" spans="1:18" s="63" customFormat="1" ht="15.6" x14ac:dyDescent="0.3">
      <c r="A21" s="76" t="s">
        <v>24</v>
      </c>
      <c r="B21" s="86" t="s">
        <v>152</v>
      </c>
      <c r="C21" s="83" t="s">
        <v>152</v>
      </c>
      <c r="D21" s="83" t="s">
        <v>152</v>
      </c>
      <c r="E21" s="83" t="s">
        <v>152</v>
      </c>
      <c r="F21" s="83" t="s">
        <v>152</v>
      </c>
      <c r="G21" s="83" t="s">
        <v>152</v>
      </c>
      <c r="H21" s="83" t="s">
        <v>152</v>
      </c>
      <c r="I21" s="83" t="s">
        <v>152</v>
      </c>
      <c r="J21" s="83" t="s">
        <v>152</v>
      </c>
      <c r="K21" s="83" t="s">
        <v>152</v>
      </c>
      <c r="L21" s="83" t="s">
        <v>152</v>
      </c>
      <c r="M21" s="83" t="s">
        <v>152</v>
      </c>
      <c r="N21" s="83" t="s">
        <v>152</v>
      </c>
      <c r="O21" s="83" t="s">
        <v>152</v>
      </c>
      <c r="P21" s="271">
        <v>162</v>
      </c>
      <c r="Q21" s="271">
        <v>295</v>
      </c>
      <c r="R21" s="286">
        <v>407</v>
      </c>
    </row>
    <row r="22" spans="1:18" s="63" customFormat="1" ht="15.6" x14ac:dyDescent="0.3">
      <c r="A22" s="75" t="s">
        <v>25</v>
      </c>
      <c r="B22" s="70" t="s">
        <v>152</v>
      </c>
      <c r="C22" s="66" t="s">
        <v>152</v>
      </c>
      <c r="D22" s="66" t="s">
        <v>152</v>
      </c>
      <c r="E22" s="66" t="s">
        <v>152</v>
      </c>
      <c r="F22" s="66" t="s">
        <v>152</v>
      </c>
      <c r="G22" s="66" t="s">
        <v>152</v>
      </c>
      <c r="H22" s="66" t="s">
        <v>152</v>
      </c>
      <c r="I22" s="66" t="s">
        <v>152</v>
      </c>
      <c r="J22" s="66" t="s">
        <v>152</v>
      </c>
      <c r="K22" s="66" t="s">
        <v>152</v>
      </c>
      <c r="L22" s="66" t="s">
        <v>152</v>
      </c>
      <c r="M22" s="66" t="s">
        <v>152</v>
      </c>
      <c r="N22" s="66" t="s">
        <v>152</v>
      </c>
      <c r="O22" s="66" t="s">
        <v>152</v>
      </c>
      <c r="P22" s="66">
        <v>163</v>
      </c>
      <c r="Q22" s="66">
        <v>548</v>
      </c>
      <c r="R22" s="287">
        <v>254</v>
      </c>
    </row>
    <row r="23" spans="1:18" s="63" customFormat="1" ht="15.6" x14ac:dyDescent="0.3">
      <c r="A23" s="75" t="s">
        <v>26</v>
      </c>
      <c r="B23" s="70" t="s">
        <v>152</v>
      </c>
      <c r="C23" s="66" t="s">
        <v>152</v>
      </c>
      <c r="D23" s="66" t="s">
        <v>152</v>
      </c>
      <c r="E23" s="66" t="s">
        <v>152</v>
      </c>
      <c r="F23" s="66" t="s">
        <v>152</v>
      </c>
      <c r="G23" s="66" t="s">
        <v>152</v>
      </c>
      <c r="H23" s="66" t="s">
        <v>152</v>
      </c>
      <c r="I23" s="66" t="s">
        <v>152</v>
      </c>
      <c r="J23" s="66" t="s">
        <v>152</v>
      </c>
      <c r="K23" s="66" t="s">
        <v>152</v>
      </c>
      <c r="L23" s="66" t="s">
        <v>152</v>
      </c>
      <c r="M23" s="66" t="s">
        <v>152</v>
      </c>
      <c r="N23" s="66" t="s">
        <v>152</v>
      </c>
      <c r="O23" s="66" t="s">
        <v>152</v>
      </c>
      <c r="P23" s="66">
        <v>473</v>
      </c>
      <c r="Q23" s="66">
        <v>232</v>
      </c>
      <c r="R23" s="287">
        <v>192</v>
      </c>
    </row>
    <row r="24" spans="1:18" s="63" customFormat="1" ht="15.6" x14ac:dyDescent="0.3">
      <c r="A24" s="75" t="s">
        <v>27</v>
      </c>
      <c r="B24" s="70" t="s">
        <v>152</v>
      </c>
      <c r="C24" s="66" t="s">
        <v>152</v>
      </c>
      <c r="D24" s="66" t="s">
        <v>152</v>
      </c>
      <c r="E24" s="66" t="s">
        <v>152</v>
      </c>
      <c r="F24" s="66" t="s">
        <v>152</v>
      </c>
      <c r="G24" s="66" t="s">
        <v>152</v>
      </c>
      <c r="H24" s="66" t="s">
        <v>152</v>
      </c>
      <c r="I24" s="66" t="s">
        <v>152</v>
      </c>
      <c r="J24" s="66" t="s">
        <v>152</v>
      </c>
      <c r="K24" s="66" t="s">
        <v>152</v>
      </c>
      <c r="L24" s="66" t="s">
        <v>152</v>
      </c>
      <c r="M24" s="66" t="s">
        <v>152</v>
      </c>
      <c r="N24" s="66" t="s">
        <v>152</v>
      </c>
      <c r="O24" s="66" t="s">
        <v>152</v>
      </c>
      <c r="P24" s="66">
        <v>252</v>
      </c>
      <c r="Q24" s="66">
        <v>181</v>
      </c>
      <c r="R24" s="287">
        <v>158</v>
      </c>
    </row>
    <row r="25" spans="1:18" s="63" customFormat="1" ht="15.6" x14ac:dyDescent="0.3">
      <c r="A25" s="75" t="s">
        <v>28</v>
      </c>
      <c r="B25" s="70" t="s">
        <v>152</v>
      </c>
      <c r="C25" s="66" t="s">
        <v>152</v>
      </c>
      <c r="D25" s="66" t="s">
        <v>152</v>
      </c>
      <c r="E25" s="66" t="s">
        <v>152</v>
      </c>
      <c r="F25" s="66" t="s">
        <v>152</v>
      </c>
      <c r="G25" s="66" t="s">
        <v>152</v>
      </c>
      <c r="H25" s="66" t="s">
        <v>152</v>
      </c>
      <c r="I25" s="66" t="s">
        <v>152</v>
      </c>
      <c r="J25" s="66" t="s">
        <v>152</v>
      </c>
      <c r="K25" s="66" t="s">
        <v>152</v>
      </c>
      <c r="L25" s="66" t="s">
        <v>152</v>
      </c>
      <c r="M25" s="66" t="s">
        <v>152</v>
      </c>
      <c r="N25" s="66" t="s">
        <v>152</v>
      </c>
      <c r="O25" s="66" t="s">
        <v>152</v>
      </c>
      <c r="P25" s="66">
        <v>449</v>
      </c>
      <c r="Q25" s="66">
        <v>297</v>
      </c>
      <c r="R25" s="287">
        <v>165</v>
      </c>
    </row>
    <row r="26" spans="1:18" s="63" customFormat="1" ht="15.6" x14ac:dyDescent="0.3">
      <c r="A26" s="75" t="s">
        <v>29</v>
      </c>
      <c r="B26" s="70" t="s">
        <v>152</v>
      </c>
      <c r="C26" s="66" t="s">
        <v>152</v>
      </c>
      <c r="D26" s="66" t="s">
        <v>152</v>
      </c>
      <c r="E26" s="66" t="s">
        <v>152</v>
      </c>
      <c r="F26" s="66" t="s">
        <v>152</v>
      </c>
      <c r="G26" s="66" t="s">
        <v>152</v>
      </c>
      <c r="H26" s="66" t="s">
        <v>152</v>
      </c>
      <c r="I26" s="66" t="s">
        <v>152</v>
      </c>
      <c r="J26" s="66" t="s">
        <v>152</v>
      </c>
      <c r="K26" s="66" t="s">
        <v>152</v>
      </c>
      <c r="L26" s="66" t="s">
        <v>152</v>
      </c>
      <c r="M26" s="66" t="s">
        <v>152</v>
      </c>
      <c r="N26" s="66" t="s">
        <v>152</v>
      </c>
      <c r="O26" s="66" t="s">
        <v>152</v>
      </c>
      <c r="P26" s="66">
        <v>1396</v>
      </c>
      <c r="Q26" s="66">
        <v>316</v>
      </c>
      <c r="R26" s="287">
        <v>210</v>
      </c>
    </row>
    <row r="27" spans="1:18" s="63" customFormat="1" ht="15.6" x14ac:dyDescent="0.3">
      <c r="A27" s="75" t="s">
        <v>30</v>
      </c>
      <c r="B27" s="70" t="s">
        <v>152</v>
      </c>
      <c r="C27" s="66" t="s">
        <v>152</v>
      </c>
      <c r="D27" s="66" t="s">
        <v>152</v>
      </c>
      <c r="E27" s="66" t="s">
        <v>152</v>
      </c>
      <c r="F27" s="66" t="s">
        <v>152</v>
      </c>
      <c r="G27" s="66" t="s">
        <v>152</v>
      </c>
      <c r="H27" s="66" t="s">
        <v>152</v>
      </c>
      <c r="I27" s="66" t="s">
        <v>152</v>
      </c>
      <c r="J27" s="66" t="s">
        <v>152</v>
      </c>
      <c r="K27" s="66" t="s">
        <v>152</v>
      </c>
      <c r="L27" s="66" t="s">
        <v>152</v>
      </c>
      <c r="M27" s="66" t="s">
        <v>152</v>
      </c>
      <c r="N27" s="66" t="s">
        <v>152</v>
      </c>
      <c r="O27" s="66" t="s">
        <v>152</v>
      </c>
      <c r="P27" s="66">
        <v>558</v>
      </c>
      <c r="Q27" s="66">
        <v>299</v>
      </c>
      <c r="R27" s="295" t="s">
        <v>152</v>
      </c>
    </row>
    <row r="28" spans="1:18" s="63" customFormat="1" ht="15.6" x14ac:dyDescent="0.3">
      <c r="A28" s="75" t="s">
        <v>31</v>
      </c>
      <c r="B28" s="70" t="s">
        <v>152</v>
      </c>
      <c r="C28" s="66" t="s">
        <v>152</v>
      </c>
      <c r="D28" s="66" t="s">
        <v>152</v>
      </c>
      <c r="E28" s="66" t="s">
        <v>152</v>
      </c>
      <c r="F28" s="66" t="s">
        <v>152</v>
      </c>
      <c r="G28" s="66" t="s">
        <v>152</v>
      </c>
      <c r="H28" s="66" t="s">
        <v>152</v>
      </c>
      <c r="I28" s="66" t="s">
        <v>152</v>
      </c>
      <c r="J28" s="66" t="s">
        <v>152</v>
      </c>
      <c r="K28" s="66" t="s">
        <v>152</v>
      </c>
      <c r="L28" s="66" t="s">
        <v>152</v>
      </c>
      <c r="M28" s="66" t="s">
        <v>152</v>
      </c>
      <c r="N28" s="66" t="s">
        <v>152</v>
      </c>
      <c r="O28" s="66" t="s">
        <v>152</v>
      </c>
      <c r="P28" s="66">
        <v>343</v>
      </c>
      <c r="Q28" s="66">
        <v>888</v>
      </c>
      <c r="R28" s="295" t="s">
        <v>152</v>
      </c>
    </row>
    <row r="29" spans="1:18" s="63" customFormat="1" ht="15.6" x14ac:dyDescent="0.3">
      <c r="A29" s="75" t="s">
        <v>32</v>
      </c>
      <c r="B29" s="70" t="s">
        <v>152</v>
      </c>
      <c r="C29" s="66" t="s">
        <v>152</v>
      </c>
      <c r="D29" s="66" t="s">
        <v>152</v>
      </c>
      <c r="E29" s="66" t="s">
        <v>152</v>
      </c>
      <c r="F29" s="66" t="s">
        <v>152</v>
      </c>
      <c r="G29" s="66" t="s">
        <v>152</v>
      </c>
      <c r="H29" s="66" t="s">
        <v>152</v>
      </c>
      <c r="I29" s="66" t="s">
        <v>152</v>
      </c>
      <c r="J29" s="66" t="s">
        <v>152</v>
      </c>
      <c r="K29" s="66" t="s">
        <v>152</v>
      </c>
      <c r="L29" s="66" t="s">
        <v>152</v>
      </c>
      <c r="M29" s="66" t="s">
        <v>152</v>
      </c>
      <c r="N29" s="66" t="s">
        <v>152</v>
      </c>
      <c r="O29" s="66" t="s">
        <v>152</v>
      </c>
      <c r="P29" s="66">
        <v>565</v>
      </c>
      <c r="Q29" s="66">
        <v>457</v>
      </c>
      <c r="R29" s="295" t="s">
        <v>152</v>
      </c>
    </row>
    <row r="30" spans="1:18" s="63" customFormat="1" ht="15.6" x14ac:dyDescent="0.3">
      <c r="A30" s="75" t="s">
        <v>33</v>
      </c>
      <c r="B30" s="70" t="s">
        <v>152</v>
      </c>
      <c r="C30" s="66" t="s">
        <v>152</v>
      </c>
      <c r="D30" s="66" t="s">
        <v>152</v>
      </c>
      <c r="E30" s="66" t="s">
        <v>152</v>
      </c>
      <c r="F30" s="66" t="s">
        <v>152</v>
      </c>
      <c r="G30" s="66" t="s">
        <v>152</v>
      </c>
      <c r="H30" s="66" t="s">
        <v>152</v>
      </c>
      <c r="I30" s="66" t="s">
        <v>152</v>
      </c>
      <c r="J30" s="66" t="s">
        <v>152</v>
      </c>
      <c r="K30" s="66" t="s">
        <v>152</v>
      </c>
      <c r="L30" s="66" t="s">
        <v>152</v>
      </c>
      <c r="M30" s="66" t="s">
        <v>152</v>
      </c>
      <c r="N30" s="66" t="s">
        <v>152</v>
      </c>
      <c r="O30" s="66" t="s">
        <v>152</v>
      </c>
      <c r="P30" s="66">
        <v>399</v>
      </c>
      <c r="Q30" s="66">
        <v>500</v>
      </c>
      <c r="R30" s="295" t="s">
        <v>152</v>
      </c>
    </row>
    <row r="31" spans="1:18" s="63" customFormat="1" ht="15.6" x14ac:dyDescent="0.3">
      <c r="A31" s="75" t="s">
        <v>34</v>
      </c>
      <c r="B31" s="70" t="s">
        <v>152</v>
      </c>
      <c r="C31" s="66" t="s">
        <v>152</v>
      </c>
      <c r="D31" s="66" t="s">
        <v>152</v>
      </c>
      <c r="E31" s="66" t="s">
        <v>152</v>
      </c>
      <c r="F31" s="66" t="s">
        <v>152</v>
      </c>
      <c r="G31" s="66" t="s">
        <v>152</v>
      </c>
      <c r="H31" s="66" t="s">
        <v>152</v>
      </c>
      <c r="I31" s="66" t="s">
        <v>152</v>
      </c>
      <c r="J31" s="66" t="s">
        <v>152</v>
      </c>
      <c r="K31" s="66" t="s">
        <v>152</v>
      </c>
      <c r="L31" s="66" t="s">
        <v>152</v>
      </c>
      <c r="M31" s="66" t="s">
        <v>152</v>
      </c>
      <c r="N31" s="66" t="s">
        <v>152</v>
      </c>
      <c r="O31" s="275">
        <v>985</v>
      </c>
      <c r="P31" s="66">
        <v>173</v>
      </c>
      <c r="Q31" s="66">
        <v>895</v>
      </c>
      <c r="R31" s="295" t="s">
        <v>152</v>
      </c>
    </row>
    <row r="32" spans="1:18" s="63" customFormat="1" ht="16.2" thickBot="1" x14ac:dyDescent="0.35">
      <c r="A32" s="88" t="s">
        <v>36</v>
      </c>
      <c r="B32" s="104" t="s">
        <v>152</v>
      </c>
      <c r="C32" s="71" t="s">
        <v>152</v>
      </c>
      <c r="D32" s="71" t="s">
        <v>152</v>
      </c>
      <c r="E32" s="71" t="s">
        <v>152</v>
      </c>
      <c r="F32" s="71" t="s">
        <v>152</v>
      </c>
      <c r="G32" s="71" t="s">
        <v>152</v>
      </c>
      <c r="H32" s="71" t="s">
        <v>152</v>
      </c>
      <c r="I32" s="71" t="s">
        <v>152</v>
      </c>
      <c r="J32" s="71" t="s">
        <v>152</v>
      </c>
      <c r="K32" s="71" t="s">
        <v>152</v>
      </c>
      <c r="L32" s="71" t="s">
        <v>152</v>
      </c>
      <c r="M32" s="71" t="s">
        <v>152</v>
      </c>
      <c r="N32" s="71" t="s">
        <v>152</v>
      </c>
      <c r="O32" s="71">
        <v>203</v>
      </c>
      <c r="P32" s="71">
        <v>231</v>
      </c>
      <c r="Q32" s="71">
        <v>636</v>
      </c>
      <c r="R32" s="292" t="s">
        <v>152</v>
      </c>
    </row>
    <row r="33" spans="1:18" s="63" customFormat="1" ht="16.2" thickTop="1" x14ac:dyDescent="0.3">
      <c r="A33" s="89" t="s">
        <v>37</v>
      </c>
      <c r="B33" s="90" t="s">
        <v>152</v>
      </c>
      <c r="C33" s="73" t="s">
        <v>152</v>
      </c>
      <c r="D33" s="73" t="s">
        <v>152</v>
      </c>
      <c r="E33" s="73" t="s">
        <v>152</v>
      </c>
      <c r="F33" s="73" t="s">
        <v>152</v>
      </c>
      <c r="G33" s="73" t="s">
        <v>152</v>
      </c>
      <c r="H33" s="73" t="s">
        <v>152</v>
      </c>
      <c r="I33" s="73" t="s">
        <v>152</v>
      </c>
      <c r="J33" s="73" t="s">
        <v>152</v>
      </c>
      <c r="K33" s="73" t="s">
        <v>152</v>
      </c>
      <c r="L33" s="73" t="s">
        <v>152</v>
      </c>
      <c r="M33" s="73" t="s">
        <v>152</v>
      </c>
      <c r="N33" s="73" t="s">
        <v>152</v>
      </c>
      <c r="O33" s="273">
        <f t="shared" ref="O33:P33" si="2">SUM(O21:O32)</f>
        <v>1188</v>
      </c>
      <c r="P33" s="273">
        <f t="shared" si="2"/>
        <v>5164</v>
      </c>
      <c r="Q33" s="273">
        <f t="shared" ref="Q33:R33" si="3">SUM(Q21:Q32)</f>
        <v>5544</v>
      </c>
      <c r="R33" s="288">
        <f t="shared" si="3"/>
        <v>1386</v>
      </c>
    </row>
    <row r="34" spans="1:18" s="113" customFormat="1" ht="6.6" x14ac:dyDescent="0.3">
      <c r="A34" s="371" t="s">
        <v>174</v>
      </c>
      <c r="B34" s="371"/>
      <c r="C34" s="371"/>
      <c r="D34" s="371"/>
      <c r="E34" s="371"/>
      <c r="F34" s="371"/>
      <c r="G34" s="371"/>
      <c r="H34" s="371"/>
      <c r="I34" s="371"/>
      <c r="J34" s="371"/>
      <c r="K34" s="371"/>
      <c r="L34" s="371"/>
      <c r="M34" s="371"/>
      <c r="N34" s="371"/>
      <c r="O34" s="371"/>
      <c r="P34" s="371"/>
      <c r="Q34" s="371"/>
      <c r="R34" s="371"/>
    </row>
    <row r="35" spans="1:18" s="106" customFormat="1" ht="18" x14ac:dyDescent="0.3">
      <c r="A35" s="370" t="s">
        <v>149</v>
      </c>
      <c r="B35" s="370"/>
      <c r="C35" s="370"/>
      <c r="D35" s="370"/>
      <c r="E35" s="370"/>
      <c r="F35" s="370"/>
      <c r="G35" s="370"/>
      <c r="H35" s="370"/>
      <c r="I35" s="370"/>
      <c r="J35" s="370"/>
      <c r="K35" s="370"/>
      <c r="L35" s="370"/>
      <c r="M35" s="370"/>
      <c r="N35" s="370"/>
      <c r="O35" s="370"/>
      <c r="P35" s="370"/>
      <c r="Q35" s="370"/>
      <c r="R35" s="370"/>
    </row>
    <row r="36" spans="1:18" s="63" customFormat="1" ht="15.6" x14ac:dyDescent="0.3">
      <c r="A36" s="77" t="s">
        <v>23</v>
      </c>
      <c r="B36" s="91">
        <v>2004</v>
      </c>
      <c r="C36" s="64">
        <v>2005</v>
      </c>
      <c r="D36" s="64">
        <v>2006</v>
      </c>
      <c r="E36" s="64">
        <v>2007</v>
      </c>
      <c r="F36" s="64">
        <v>2008</v>
      </c>
      <c r="G36" s="64">
        <v>2009</v>
      </c>
      <c r="H36" s="64">
        <v>2010</v>
      </c>
      <c r="I36" s="64">
        <v>2011</v>
      </c>
      <c r="J36" s="65">
        <v>2012</v>
      </c>
      <c r="K36" s="65">
        <v>2013</v>
      </c>
      <c r="L36" s="65">
        <v>2014</v>
      </c>
      <c r="M36" s="65">
        <v>2015</v>
      </c>
      <c r="N36" s="65">
        <v>2016</v>
      </c>
      <c r="O36" s="65">
        <v>2017</v>
      </c>
      <c r="P36" s="65">
        <v>2018</v>
      </c>
      <c r="Q36" s="65">
        <v>2019</v>
      </c>
      <c r="R36" s="49">
        <v>2020</v>
      </c>
    </row>
    <row r="37" spans="1:18" s="63" customFormat="1" ht="15.6" x14ac:dyDescent="0.3">
      <c r="A37" s="76" t="s">
        <v>24</v>
      </c>
      <c r="B37" s="86" t="s">
        <v>152</v>
      </c>
      <c r="C37" s="83" t="s">
        <v>152</v>
      </c>
      <c r="D37" s="83" t="s">
        <v>152</v>
      </c>
      <c r="E37" s="83" t="s">
        <v>152</v>
      </c>
      <c r="F37" s="83" t="s">
        <v>152</v>
      </c>
      <c r="G37" s="83" t="s">
        <v>152</v>
      </c>
      <c r="H37" s="83" t="s">
        <v>152</v>
      </c>
      <c r="I37" s="83" t="s">
        <v>152</v>
      </c>
      <c r="J37" s="83" t="s">
        <v>152</v>
      </c>
      <c r="K37" s="83" t="s">
        <v>152</v>
      </c>
      <c r="L37" s="83" t="s">
        <v>152</v>
      </c>
      <c r="M37" s="83" t="s">
        <v>152</v>
      </c>
      <c r="N37" s="83" t="s">
        <v>152</v>
      </c>
      <c r="O37" s="83" t="s">
        <v>152</v>
      </c>
      <c r="P37" s="271">
        <v>0</v>
      </c>
      <c r="Q37" s="271">
        <v>0</v>
      </c>
      <c r="R37" s="286">
        <v>0</v>
      </c>
    </row>
    <row r="38" spans="1:18" s="63" customFormat="1" ht="15.6" x14ac:dyDescent="0.3">
      <c r="A38" s="75" t="s">
        <v>25</v>
      </c>
      <c r="B38" s="70" t="s">
        <v>152</v>
      </c>
      <c r="C38" s="66" t="s">
        <v>152</v>
      </c>
      <c r="D38" s="66" t="s">
        <v>152</v>
      </c>
      <c r="E38" s="66" t="s">
        <v>152</v>
      </c>
      <c r="F38" s="66" t="s">
        <v>152</v>
      </c>
      <c r="G38" s="66" t="s">
        <v>152</v>
      </c>
      <c r="H38" s="66" t="s">
        <v>152</v>
      </c>
      <c r="I38" s="66" t="s">
        <v>152</v>
      </c>
      <c r="J38" s="66" t="s">
        <v>152</v>
      </c>
      <c r="K38" s="66" t="s">
        <v>152</v>
      </c>
      <c r="L38" s="66" t="s">
        <v>152</v>
      </c>
      <c r="M38" s="66" t="s">
        <v>152</v>
      </c>
      <c r="N38" s="66" t="s">
        <v>152</v>
      </c>
      <c r="O38" s="66" t="s">
        <v>152</v>
      </c>
      <c r="P38" s="66">
        <v>0</v>
      </c>
      <c r="Q38" s="66">
        <v>0</v>
      </c>
      <c r="R38" s="287">
        <v>0</v>
      </c>
    </row>
    <row r="39" spans="1:18" s="63" customFormat="1" ht="15.6" x14ac:dyDescent="0.3">
      <c r="A39" s="75" t="s">
        <v>26</v>
      </c>
      <c r="B39" s="70" t="s">
        <v>152</v>
      </c>
      <c r="C39" s="66" t="s">
        <v>152</v>
      </c>
      <c r="D39" s="66" t="s">
        <v>152</v>
      </c>
      <c r="E39" s="66" t="s">
        <v>152</v>
      </c>
      <c r="F39" s="66" t="s">
        <v>152</v>
      </c>
      <c r="G39" s="66" t="s">
        <v>152</v>
      </c>
      <c r="H39" s="66" t="s">
        <v>152</v>
      </c>
      <c r="I39" s="66" t="s">
        <v>152</v>
      </c>
      <c r="J39" s="66" t="s">
        <v>152</v>
      </c>
      <c r="K39" s="66" t="s">
        <v>152</v>
      </c>
      <c r="L39" s="66" t="s">
        <v>152</v>
      </c>
      <c r="M39" s="66" t="s">
        <v>152</v>
      </c>
      <c r="N39" s="66" t="s">
        <v>152</v>
      </c>
      <c r="O39" s="66" t="s">
        <v>152</v>
      </c>
      <c r="P39" s="66">
        <v>0</v>
      </c>
      <c r="Q39" s="66">
        <v>0</v>
      </c>
      <c r="R39" s="287">
        <v>0</v>
      </c>
    </row>
    <row r="40" spans="1:18" s="63" customFormat="1" ht="15.6" x14ac:dyDescent="0.3">
      <c r="A40" s="75" t="s">
        <v>27</v>
      </c>
      <c r="B40" s="70" t="s">
        <v>152</v>
      </c>
      <c r="C40" s="66" t="s">
        <v>152</v>
      </c>
      <c r="D40" s="66" t="s">
        <v>152</v>
      </c>
      <c r="E40" s="66" t="s">
        <v>152</v>
      </c>
      <c r="F40" s="66" t="s">
        <v>152</v>
      </c>
      <c r="G40" s="66" t="s">
        <v>152</v>
      </c>
      <c r="H40" s="66" t="s">
        <v>152</v>
      </c>
      <c r="I40" s="66" t="s">
        <v>152</v>
      </c>
      <c r="J40" s="66" t="s">
        <v>152</v>
      </c>
      <c r="K40" s="66" t="s">
        <v>152</v>
      </c>
      <c r="L40" s="66" t="s">
        <v>152</v>
      </c>
      <c r="M40" s="66" t="s">
        <v>152</v>
      </c>
      <c r="N40" s="66" t="s">
        <v>152</v>
      </c>
      <c r="O40" s="66" t="s">
        <v>152</v>
      </c>
      <c r="P40" s="66">
        <v>0</v>
      </c>
      <c r="Q40" s="66">
        <v>0</v>
      </c>
      <c r="R40" s="287">
        <v>0</v>
      </c>
    </row>
    <row r="41" spans="1:18" s="63" customFormat="1" ht="15.6" x14ac:dyDescent="0.3">
      <c r="A41" s="75" t="s">
        <v>28</v>
      </c>
      <c r="B41" s="70" t="s">
        <v>152</v>
      </c>
      <c r="C41" s="66" t="s">
        <v>152</v>
      </c>
      <c r="D41" s="66" t="s">
        <v>152</v>
      </c>
      <c r="E41" s="66" t="s">
        <v>152</v>
      </c>
      <c r="F41" s="66" t="s">
        <v>152</v>
      </c>
      <c r="G41" s="66" t="s">
        <v>152</v>
      </c>
      <c r="H41" s="66" t="s">
        <v>152</v>
      </c>
      <c r="I41" s="66" t="s">
        <v>152</v>
      </c>
      <c r="J41" s="66" t="s">
        <v>152</v>
      </c>
      <c r="K41" s="66" t="s">
        <v>152</v>
      </c>
      <c r="L41" s="66" t="s">
        <v>152</v>
      </c>
      <c r="M41" s="66" t="s">
        <v>152</v>
      </c>
      <c r="N41" s="66" t="s">
        <v>152</v>
      </c>
      <c r="O41" s="66" t="s">
        <v>152</v>
      </c>
      <c r="P41" s="66">
        <v>0</v>
      </c>
      <c r="Q41" s="66">
        <v>0</v>
      </c>
      <c r="R41" s="287">
        <v>0</v>
      </c>
    </row>
    <row r="42" spans="1:18" s="63" customFormat="1" ht="15.6" x14ac:dyDescent="0.3">
      <c r="A42" s="75" t="s">
        <v>29</v>
      </c>
      <c r="B42" s="70" t="s">
        <v>152</v>
      </c>
      <c r="C42" s="66" t="s">
        <v>152</v>
      </c>
      <c r="D42" s="66" t="s">
        <v>152</v>
      </c>
      <c r="E42" s="66" t="s">
        <v>152</v>
      </c>
      <c r="F42" s="66" t="s">
        <v>152</v>
      </c>
      <c r="G42" s="66" t="s">
        <v>152</v>
      </c>
      <c r="H42" s="66" t="s">
        <v>152</v>
      </c>
      <c r="I42" s="66" t="s">
        <v>152</v>
      </c>
      <c r="J42" s="66" t="s">
        <v>152</v>
      </c>
      <c r="K42" s="66" t="s">
        <v>152</v>
      </c>
      <c r="L42" s="66" t="s">
        <v>152</v>
      </c>
      <c r="M42" s="66" t="s">
        <v>152</v>
      </c>
      <c r="N42" s="66" t="s">
        <v>152</v>
      </c>
      <c r="O42" s="66" t="s">
        <v>152</v>
      </c>
      <c r="P42" s="66">
        <v>0</v>
      </c>
      <c r="Q42" s="66">
        <v>0</v>
      </c>
      <c r="R42" s="287">
        <v>0</v>
      </c>
    </row>
    <row r="43" spans="1:18" s="63" customFormat="1" ht="15.6" x14ac:dyDescent="0.3">
      <c r="A43" s="75" t="s">
        <v>30</v>
      </c>
      <c r="B43" s="70" t="s">
        <v>152</v>
      </c>
      <c r="C43" s="66" t="s">
        <v>152</v>
      </c>
      <c r="D43" s="66" t="s">
        <v>152</v>
      </c>
      <c r="E43" s="66" t="s">
        <v>152</v>
      </c>
      <c r="F43" s="66" t="s">
        <v>152</v>
      </c>
      <c r="G43" s="66" t="s">
        <v>152</v>
      </c>
      <c r="H43" s="66" t="s">
        <v>152</v>
      </c>
      <c r="I43" s="66" t="s">
        <v>152</v>
      </c>
      <c r="J43" s="66" t="s">
        <v>152</v>
      </c>
      <c r="K43" s="66" t="s">
        <v>152</v>
      </c>
      <c r="L43" s="66" t="s">
        <v>152</v>
      </c>
      <c r="M43" s="66" t="s">
        <v>152</v>
      </c>
      <c r="N43" s="66" t="s">
        <v>152</v>
      </c>
      <c r="O43" s="66" t="s">
        <v>152</v>
      </c>
      <c r="P43" s="66">
        <v>0</v>
      </c>
      <c r="Q43" s="66">
        <v>0</v>
      </c>
      <c r="R43" s="295" t="s">
        <v>152</v>
      </c>
    </row>
    <row r="44" spans="1:18" s="63" customFormat="1" ht="15.6" x14ac:dyDescent="0.3">
      <c r="A44" s="75" t="s">
        <v>31</v>
      </c>
      <c r="B44" s="70" t="s">
        <v>152</v>
      </c>
      <c r="C44" s="66" t="s">
        <v>152</v>
      </c>
      <c r="D44" s="66" t="s">
        <v>152</v>
      </c>
      <c r="E44" s="66" t="s">
        <v>152</v>
      </c>
      <c r="F44" s="66" t="s">
        <v>152</v>
      </c>
      <c r="G44" s="66" t="s">
        <v>152</v>
      </c>
      <c r="H44" s="66" t="s">
        <v>152</v>
      </c>
      <c r="I44" s="66" t="s">
        <v>152</v>
      </c>
      <c r="J44" s="66" t="s">
        <v>152</v>
      </c>
      <c r="K44" s="66" t="s">
        <v>152</v>
      </c>
      <c r="L44" s="66" t="s">
        <v>152</v>
      </c>
      <c r="M44" s="66" t="s">
        <v>152</v>
      </c>
      <c r="N44" s="66" t="s">
        <v>152</v>
      </c>
      <c r="O44" s="66" t="s">
        <v>152</v>
      </c>
      <c r="P44" s="66">
        <v>0</v>
      </c>
      <c r="Q44" s="66">
        <v>0</v>
      </c>
      <c r="R44" s="295" t="s">
        <v>152</v>
      </c>
    </row>
    <row r="45" spans="1:18" s="63" customFormat="1" ht="15.6" x14ac:dyDescent="0.3">
      <c r="A45" s="75" t="s">
        <v>32</v>
      </c>
      <c r="B45" s="70" t="s">
        <v>152</v>
      </c>
      <c r="C45" s="66" t="s">
        <v>152</v>
      </c>
      <c r="D45" s="66" t="s">
        <v>152</v>
      </c>
      <c r="E45" s="66" t="s">
        <v>152</v>
      </c>
      <c r="F45" s="66" t="s">
        <v>152</v>
      </c>
      <c r="G45" s="66" t="s">
        <v>152</v>
      </c>
      <c r="H45" s="66" t="s">
        <v>152</v>
      </c>
      <c r="I45" s="66" t="s">
        <v>152</v>
      </c>
      <c r="J45" s="66" t="s">
        <v>152</v>
      </c>
      <c r="K45" s="66" t="s">
        <v>152</v>
      </c>
      <c r="L45" s="66" t="s">
        <v>152</v>
      </c>
      <c r="M45" s="66" t="s">
        <v>152</v>
      </c>
      <c r="N45" s="66" t="s">
        <v>152</v>
      </c>
      <c r="O45" s="66" t="s">
        <v>152</v>
      </c>
      <c r="P45" s="66">
        <v>0</v>
      </c>
      <c r="Q45" s="66">
        <v>0</v>
      </c>
      <c r="R45" s="295" t="s">
        <v>152</v>
      </c>
    </row>
    <row r="46" spans="1:18" s="63" customFormat="1" ht="15.6" x14ac:dyDescent="0.3">
      <c r="A46" s="75" t="s">
        <v>33</v>
      </c>
      <c r="B46" s="70" t="s">
        <v>152</v>
      </c>
      <c r="C46" s="66" t="s">
        <v>152</v>
      </c>
      <c r="D46" s="66" t="s">
        <v>152</v>
      </c>
      <c r="E46" s="66" t="s">
        <v>152</v>
      </c>
      <c r="F46" s="66" t="s">
        <v>152</v>
      </c>
      <c r="G46" s="66" t="s">
        <v>152</v>
      </c>
      <c r="H46" s="66" t="s">
        <v>152</v>
      </c>
      <c r="I46" s="66" t="s">
        <v>152</v>
      </c>
      <c r="J46" s="66" t="s">
        <v>152</v>
      </c>
      <c r="K46" s="66" t="s">
        <v>152</v>
      </c>
      <c r="L46" s="66" t="s">
        <v>152</v>
      </c>
      <c r="M46" s="66" t="s">
        <v>152</v>
      </c>
      <c r="N46" s="66" t="s">
        <v>152</v>
      </c>
      <c r="O46" s="66" t="s">
        <v>152</v>
      </c>
      <c r="P46" s="66">
        <v>0</v>
      </c>
      <c r="Q46" s="66">
        <v>0</v>
      </c>
      <c r="R46" s="295" t="s">
        <v>152</v>
      </c>
    </row>
    <row r="47" spans="1:18" s="63" customFormat="1" ht="15.6" x14ac:dyDescent="0.3">
      <c r="A47" s="75" t="s">
        <v>34</v>
      </c>
      <c r="B47" s="70" t="s">
        <v>152</v>
      </c>
      <c r="C47" s="66" t="s">
        <v>152</v>
      </c>
      <c r="D47" s="66" t="s">
        <v>152</v>
      </c>
      <c r="E47" s="66" t="s">
        <v>152</v>
      </c>
      <c r="F47" s="66" t="s">
        <v>152</v>
      </c>
      <c r="G47" s="66" t="s">
        <v>152</v>
      </c>
      <c r="H47" s="66" t="s">
        <v>152</v>
      </c>
      <c r="I47" s="66" t="s">
        <v>152</v>
      </c>
      <c r="J47" s="66" t="s">
        <v>152</v>
      </c>
      <c r="K47" s="66" t="s">
        <v>152</v>
      </c>
      <c r="L47" s="66" t="s">
        <v>152</v>
      </c>
      <c r="M47" s="66" t="s">
        <v>152</v>
      </c>
      <c r="N47" s="66" t="s">
        <v>152</v>
      </c>
      <c r="O47" s="275">
        <v>0</v>
      </c>
      <c r="P47" s="66">
        <v>0</v>
      </c>
      <c r="Q47" s="66">
        <v>0</v>
      </c>
      <c r="R47" s="295" t="s">
        <v>152</v>
      </c>
    </row>
    <row r="48" spans="1:18" s="63" customFormat="1" ht="16.2" thickBot="1" x14ac:dyDescent="0.35">
      <c r="A48" s="88" t="s">
        <v>36</v>
      </c>
      <c r="B48" s="104" t="s">
        <v>152</v>
      </c>
      <c r="C48" s="71" t="s">
        <v>152</v>
      </c>
      <c r="D48" s="71" t="s">
        <v>152</v>
      </c>
      <c r="E48" s="71" t="s">
        <v>152</v>
      </c>
      <c r="F48" s="71" t="s">
        <v>152</v>
      </c>
      <c r="G48" s="71" t="s">
        <v>152</v>
      </c>
      <c r="H48" s="71" t="s">
        <v>152</v>
      </c>
      <c r="I48" s="71" t="s">
        <v>152</v>
      </c>
      <c r="J48" s="71" t="s">
        <v>152</v>
      </c>
      <c r="K48" s="71" t="s">
        <v>152</v>
      </c>
      <c r="L48" s="71" t="s">
        <v>152</v>
      </c>
      <c r="M48" s="71" t="s">
        <v>152</v>
      </c>
      <c r="N48" s="71" t="s">
        <v>152</v>
      </c>
      <c r="O48" s="71">
        <v>0</v>
      </c>
      <c r="P48" s="71">
        <v>0</v>
      </c>
      <c r="Q48" s="71">
        <v>0</v>
      </c>
      <c r="R48" s="292" t="s">
        <v>152</v>
      </c>
    </row>
    <row r="49" spans="1:19" s="63" customFormat="1" ht="16.2" thickTop="1" x14ac:dyDescent="0.3">
      <c r="A49" s="89" t="s">
        <v>37</v>
      </c>
      <c r="B49" s="90" t="s">
        <v>152</v>
      </c>
      <c r="C49" s="73" t="s">
        <v>152</v>
      </c>
      <c r="D49" s="73" t="s">
        <v>152</v>
      </c>
      <c r="E49" s="73" t="s">
        <v>152</v>
      </c>
      <c r="F49" s="73" t="s">
        <v>152</v>
      </c>
      <c r="G49" s="73" t="s">
        <v>152</v>
      </c>
      <c r="H49" s="73" t="s">
        <v>152</v>
      </c>
      <c r="I49" s="73" t="s">
        <v>152</v>
      </c>
      <c r="J49" s="73" t="s">
        <v>152</v>
      </c>
      <c r="K49" s="73" t="s">
        <v>152</v>
      </c>
      <c r="L49" s="73" t="s">
        <v>152</v>
      </c>
      <c r="M49" s="73" t="s">
        <v>152</v>
      </c>
      <c r="N49" s="73" t="s">
        <v>152</v>
      </c>
      <c r="O49" s="273">
        <f t="shared" ref="O49:P49" si="4">SUM(O37:O48)</f>
        <v>0</v>
      </c>
      <c r="P49" s="273">
        <f t="shared" si="4"/>
        <v>0</v>
      </c>
      <c r="Q49" s="273">
        <f t="shared" ref="Q49:R49" si="5">SUM(Q37:Q48)</f>
        <v>0</v>
      </c>
      <c r="R49" s="288">
        <f t="shared" si="5"/>
        <v>0</v>
      </c>
    </row>
    <row r="50" spans="1:19" s="113" customFormat="1" ht="6.6" x14ac:dyDescent="0.3">
      <c r="A50" s="371" t="s">
        <v>174</v>
      </c>
      <c r="B50" s="371"/>
      <c r="C50" s="371"/>
      <c r="D50" s="371"/>
      <c r="E50" s="371"/>
      <c r="F50" s="371"/>
      <c r="G50" s="371"/>
      <c r="H50" s="371"/>
      <c r="I50" s="371"/>
      <c r="J50" s="371"/>
      <c r="K50" s="371"/>
      <c r="L50" s="371"/>
      <c r="M50" s="371"/>
      <c r="N50" s="371"/>
      <c r="O50" s="371"/>
      <c r="P50" s="371"/>
      <c r="Q50" s="371"/>
      <c r="R50" s="371"/>
    </row>
    <row r="51" spans="1:19" s="111" customFormat="1" ht="13.8" x14ac:dyDescent="0.3">
      <c r="A51" s="373" t="s">
        <v>176</v>
      </c>
      <c r="B51" s="373"/>
      <c r="C51" s="373"/>
      <c r="D51" s="373"/>
      <c r="E51" s="373"/>
      <c r="F51" s="373"/>
      <c r="G51" s="373"/>
      <c r="H51" s="373"/>
      <c r="I51" s="373"/>
      <c r="J51" s="373"/>
      <c r="K51" s="373"/>
      <c r="L51" s="373"/>
      <c r="M51" s="373"/>
      <c r="N51" s="373"/>
      <c r="O51" s="373"/>
      <c r="P51" s="373"/>
      <c r="Q51" s="373"/>
      <c r="R51" s="373"/>
    </row>
    <row r="52" spans="1:19" s="111" customFormat="1" ht="13.8" x14ac:dyDescent="0.3">
      <c r="A52" s="384" t="str">
        <f>'Local SUT'!A60</f>
        <v>Source:  Minnesota Department of Revenue, Tax Research Division, February 2021</v>
      </c>
      <c r="B52" s="384"/>
      <c r="C52" s="384"/>
      <c r="D52" s="384"/>
      <c r="E52" s="384"/>
      <c r="F52" s="384"/>
      <c r="G52" s="384"/>
      <c r="H52" s="384"/>
      <c r="I52" s="384"/>
      <c r="J52" s="384"/>
      <c r="K52" s="384"/>
      <c r="L52" s="384"/>
      <c r="M52" s="384"/>
      <c r="N52" s="384"/>
      <c r="O52" s="384"/>
      <c r="P52" s="384"/>
      <c r="Q52" s="384"/>
      <c r="R52" s="384"/>
      <c r="S52" s="300"/>
    </row>
    <row r="53" spans="1:19" s="111" customFormat="1" ht="13.8" x14ac:dyDescent="0.3">
      <c r="A53" s="379" t="s">
        <v>151</v>
      </c>
      <c r="B53" s="379"/>
      <c r="C53" s="379"/>
      <c r="D53" s="379"/>
      <c r="E53" s="379"/>
      <c r="F53" s="379"/>
      <c r="G53" s="379"/>
      <c r="H53" s="379"/>
      <c r="I53" s="379"/>
      <c r="J53" s="379"/>
      <c r="K53" s="379"/>
      <c r="L53" s="379"/>
      <c r="M53" s="379"/>
      <c r="N53" s="379"/>
      <c r="O53" s="379"/>
      <c r="P53" s="379"/>
      <c r="Q53" s="379"/>
      <c r="R53" s="379"/>
    </row>
    <row r="54" spans="1:19" x14ac:dyDescent="0.3">
      <c r="R54" s="117"/>
    </row>
  </sheetData>
  <mergeCells count="11">
    <mergeCell ref="A1:S1"/>
    <mergeCell ref="A2:R2"/>
    <mergeCell ref="A3:R3"/>
    <mergeCell ref="A18:R18"/>
    <mergeCell ref="A19:R19"/>
    <mergeCell ref="A53:R53"/>
    <mergeCell ref="A34:R34"/>
    <mergeCell ref="A35:R35"/>
    <mergeCell ref="A50:R50"/>
    <mergeCell ref="A51:R51"/>
    <mergeCell ref="A52:R52"/>
  </mergeCells>
  <pageMargins left="0.5" right="0.5" top="0.75" bottom="0.75" header="0.3" footer="0.3"/>
  <pageSetup scale="86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3"/>
  <dimension ref="A1:R68"/>
  <sheetViews>
    <sheetView showGridLines="0" zoomScaleNormal="100" workbookViewId="0">
      <pane ySplit="1" topLeftCell="A2" activePane="bottomLeft" state="frozen"/>
      <selection pane="bottomLeft" sqref="A1:R1"/>
    </sheetView>
  </sheetViews>
  <sheetFormatPr defaultColWidth="12.5546875" defaultRowHeight="14.4" x14ac:dyDescent="0.3"/>
  <cols>
    <col min="1" max="1" width="12.5546875" style="173"/>
    <col min="2" max="17" width="13.5546875" style="173" customWidth="1"/>
    <col min="18" max="18" width="13.5546875" style="145" customWidth="1"/>
    <col min="19" max="16384" width="12.5546875" style="173"/>
  </cols>
  <sheetData>
    <row r="1" spans="1:18" s="112" customFormat="1" ht="21" x14ac:dyDescent="0.3">
      <c r="A1" s="380" t="s">
        <v>184</v>
      </c>
      <c r="B1" s="380"/>
      <c r="C1" s="380"/>
      <c r="D1" s="380"/>
      <c r="E1" s="380"/>
      <c r="F1" s="380"/>
      <c r="G1" s="380"/>
      <c r="H1" s="380"/>
      <c r="I1" s="380"/>
      <c r="J1" s="380"/>
      <c r="K1" s="380"/>
      <c r="L1" s="380"/>
      <c r="M1" s="380"/>
      <c r="N1" s="380"/>
      <c r="O1" s="380"/>
      <c r="P1" s="380"/>
      <c r="Q1" s="380"/>
      <c r="R1" s="380"/>
    </row>
    <row r="2" spans="1:18" s="106" customFormat="1" ht="18" x14ac:dyDescent="0.3">
      <c r="A2" s="381" t="str">
        <f>'Local SUT'!A2</f>
        <v>CY 2004-2020</v>
      </c>
      <c r="B2" s="381"/>
      <c r="C2" s="381"/>
      <c r="D2" s="381"/>
      <c r="E2" s="381"/>
      <c r="F2" s="381"/>
      <c r="G2" s="381"/>
      <c r="H2" s="381"/>
      <c r="I2" s="381"/>
      <c r="J2" s="381"/>
      <c r="K2" s="381"/>
      <c r="L2" s="381"/>
      <c r="M2" s="381"/>
      <c r="N2" s="381"/>
      <c r="O2" s="381"/>
      <c r="P2" s="381"/>
      <c r="Q2" s="381"/>
      <c r="R2" s="381"/>
    </row>
    <row r="3" spans="1:18" s="106" customFormat="1" ht="18" x14ac:dyDescent="0.3">
      <c r="A3" s="370" t="s">
        <v>61</v>
      </c>
      <c r="B3" s="370"/>
      <c r="C3" s="370"/>
      <c r="D3" s="370"/>
      <c r="E3" s="370"/>
      <c r="F3" s="370"/>
      <c r="G3" s="370"/>
      <c r="H3" s="370"/>
      <c r="I3" s="370"/>
      <c r="J3" s="370"/>
      <c r="K3" s="370"/>
      <c r="L3" s="370"/>
      <c r="M3" s="370"/>
      <c r="N3" s="370"/>
      <c r="O3" s="370"/>
      <c r="P3" s="370"/>
      <c r="Q3" s="370"/>
      <c r="R3" s="370"/>
    </row>
    <row r="4" spans="1:18" s="63" customFormat="1" ht="15.6" x14ac:dyDescent="0.3">
      <c r="A4" s="172" t="s">
        <v>23</v>
      </c>
      <c r="B4" s="91">
        <v>2004</v>
      </c>
      <c r="C4" s="64">
        <v>2005</v>
      </c>
      <c r="D4" s="64">
        <v>2006</v>
      </c>
      <c r="E4" s="64">
        <v>2007</v>
      </c>
      <c r="F4" s="64">
        <v>2008</v>
      </c>
      <c r="G4" s="64">
        <v>2009</v>
      </c>
      <c r="H4" s="64">
        <v>2010</v>
      </c>
      <c r="I4" s="64">
        <v>2011</v>
      </c>
      <c r="J4" s="65">
        <v>2012</v>
      </c>
      <c r="K4" s="65">
        <v>2013</v>
      </c>
      <c r="L4" s="65">
        <v>2014</v>
      </c>
      <c r="M4" s="65">
        <v>2015</v>
      </c>
      <c r="N4" s="65">
        <v>2016</v>
      </c>
      <c r="O4" s="65">
        <v>2017</v>
      </c>
      <c r="P4" s="65">
        <v>2018</v>
      </c>
      <c r="Q4" s="65">
        <v>2019</v>
      </c>
      <c r="R4" s="49">
        <v>2020</v>
      </c>
    </row>
    <row r="5" spans="1:18" s="63" customFormat="1" ht="15.6" x14ac:dyDescent="0.3">
      <c r="A5" s="76" t="s">
        <v>24</v>
      </c>
      <c r="B5" s="278">
        <v>603600.85</v>
      </c>
      <c r="C5" s="272">
        <v>639683.30000000005</v>
      </c>
      <c r="D5" s="271">
        <v>649724.92000000004</v>
      </c>
      <c r="E5" s="271">
        <v>846078.51</v>
      </c>
      <c r="F5" s="271">
        <v>832601.22</v>
      </c>
      <c r="G5" s="271">
        <v>837350</v>
      </c>
      <c r="H5" s="271">
        <v>789415</v>
      </c>
      <c r="I5" s="271">
        <v>832243</v>
      </c>
      <c r="J5" s="271">
        <v>872036</v>
      </c>
      <c r="K5" s="271">
        <v>882843</v>
      </c>
      <c r="L5" s="271">
        <v>856712</v>
      </c>
      <c r="M5" s="271">
        <v>898032</v>
      </c>
      <c r="N5" s="271">
        <v>1007753</v>
      </c>
      <c r="O5" s="271">
        <v>986658</v>
      </c>
      <c r="P5" s="271">
        <v>936366</v>
      </c>
      <c r="Q5" s="271">
        <v>966208</v>
      </c>
      <c r="R5" s="286">
        <v>1017120</v>
      </c>
    </row>
    <row r="6" spans="1:18" s="63" customFormat="1" ht="15.6" x14ac:dyDescent="0.3">
      <c r="A6" s="75" t="s">
        <v>25</v>
      </c>
      <c r="B6" s="170">
        <v>373612.15</v>
      </c>
      <c r="C6" s="67">
        <v>416695.3</v>
      </c>
      <c r="D6" s="66">
        <v>526480.16</v>
      </c>
      <c r="E6" s="66">
        <v>582430.51</v>
      </c>
      <c r="F6" s="66">
        <v>588619.86</v>
      </c>
      <c r="G6" s="66">
        <v>698070</v>
      </c>
      <c r="H6" s="66">
        <v>542224</v>
      </c>
      <c r="I6" s="66">
        <v>574703</v>
      </c>
      <c r="J6" s="66">
        <v>584503</v>
      </c>
      <c r="K6" s="66">
        <v>653519</v>
      </c>
      <c r="L6" s="66">
        <v>677033</v>
      </c>
      <c r="M6" s="66">
        <v>675935</v>
      </c>
      <c r="N6" s="66">
        <v>710967</v>
      </c>
      <c r="O6" s="66">
        <v>709789</v>
      </c>
      <c r="P6" s="66">
        <v>728835</v>
      </c>
      <c r="Q6" s="66">
        <v>767182</v>
      </c>
      <c r="R6" s="287">
        <v>783718</v>
      </c>
    </row>
    <row r="7" spans="1:18" s="63" customFormat="1" ht="15.6" x14ac:dyDescent="0.3">
      <c r="A7" s="75" t="s">
        <v>26</v>
      </c>
      <c r="B7" s="170">
        <v>381070.71</v>
      </c>
      <c r="C7" s="67">
        <v>398847.07</v>
      </c>
      <c r="D7" s="66">
        <v>540110.80000000005</v>
      </c>
      <c r="E7" s="66">
        <v>565308.59</v>
      </c>
      <c r="F7" s="66">
        <v>579303.91</v>
      </c>
      <c r="G7" s="66">
        <v>566831</v>
      </c>
      <c r="H7" s="66">
        <v>537245</v>
      </c>
      <c r="I7" s="66">
        <v>599372</v>
      </c>
      <c r="J7" s="66">
        <v>603463</v>
      </c>
      <c r="K7" s="66">
        <v>645214</v>
      </c>
      <c r="L7" s="66">
        <v>627434</v>
      </c>
      <c r="M7" s="66">
        <v>677269</v>
      </c>
      <c r="N7" s="66">
        <v>746488</v>
      </c>
      <c r="O7" s="66">
        <v>719425</v>
      </c>
      <c r="P7" s="66">
        <v>678113</v>
      </c>
      <c r="Q7" s="66">
        <v>713677</v>
      </c>
      <c r="R7" s="287">
        <v>733281</v>
      </c>
    </row>
    <row r="8" spans="1:18" s="63" customFormat="1" ht="15.6" x14ac:dyDescent="0.3">
      <c r="A8" s="75" t="s">
        <v>27</v>
      </c>
      <c r="B8" s="170">
        <v>442729.42</v>
      </c>
      <c r="C8" s="67">
        <v>477768.4</v>
      </c>
      <c r="D8" s="66">
        <v>645420.91</v>
      </c>
      <c r="E8" s="66">
        <v>656743.29</v>
      </c>
      <c r="F8" s="66">
        <v>646335.4</v>
      </c>
      <c r="G8" s="66">
        <v>628806</v>
      </c>
      <c r="H8" s="66">
        <v>639725</v>
      </c>
      <c r="I8" s="66">
        <v>643905</v>
      </c>
      <c r="J8" s="66">
        <v>701784</v>
      </c>
      <c r="K8" s="66">
        <v>701643</v>
      </c>
      <c r="L8" s="66">
        <v>712161</v>
      </c>
      <c r="M8" s="66">
        <v>760493</v>
      </c>
      <c r="N8" s="66">
        <v>821783</v>
      </c>
      <c r="O8" s="66">
        <v>810230</v>
      </c>
      <c r="P8" s="66">
        <v>807097</v>
      </c>
      <c r="Q8" s="66">
        <v>850647</v>
      </c>
      <c r="R8" s="287">
        <v>782618</v>
      </c>
    </row>
    <row r="9" spans="1:18" s="63" customFormat="1" ht="15.6" x14ac:dyDescent="0.3">
      <c r="A9" s="75" t="s">
        <v>28</v>
      </c>
      <c r="B9" s="170">
        <v>410716.79</v>
      </c>
      <c r="C9" s="67">
        <v>435222.8</v>
      </c>
      <c r="D9" s="66">
        <v>590440.5</v>
      </c>
      <c r="E9" s="66">
        <v>626111.97</v>
      </c>
      <c r="F9" s="66">
        <v>617160.54</v>
      </c>
      <c r="G9" s="66">
        <v>602309</v>
      </c>
      <c r="H9" s="66">
        <v>623202</v>
      </c>
      <c r="I9" s="66">
        <v>668437</v>
      </c>
      <c r="J9" s="66">
        <v>679731</v>
      </c>
      <c r="K9" s="66">
        <v>685135</v>
      </c>
      <c r="L9" s="66">
        <v>698912</v>
      </c>
      <c r="M9" s="66">
        <v>744767</v>
      </c>
      <c r="N9" s="66">
        <v>821925</v>
      </c>
      <c r="O9" s="66">
        <v>800932</v>
      </c>
      <c r="P9" s="66">
        <v>783274</v>
      </c>
      <c r="Q9" s="66">
        <v>904662</v>
      </c>
      <c r="R9" s="287">
        <v>770609</v>
      </c>
    </row>
    <row r="10" spans="1:18" s="63" customFormat="1" ht="15.6" x14ac:dyDescent="0.3">
      <c r="A10" s="75" t="s">
        <v>29</v>
      </c>
      <c r="B10" s="170">
        <v>427514.93</v>
      </c>
      <c r="C10" s="67">
        <v>459267.23</v>
      </c>
      <c r="D10" s="66">
        <v>643622.05000000005</v>
      </c>
      <c r="E10" s="66">
        <v>664963.68000000005</v>
      </c>
      <c r="F10" s="66">
        <v>673089.56</v>
      </c>
      <c r="G10" s="66">
        <v>630650</v>
      </c>
      <c r="H10" s="66">
        <v>636996</v>
      </c>
      <c r="I10" s="66">
        <v>701012</v>
      </c>
      <c r="J10" s="66">
        <v>708338</v>
      </c>
      <c r="K10" s="66">
        <v>763273</v>
      </c>
      <c r="L10" s="66">
        <v>807531</v>
      </c>
      <c r="M10" s="66">
        <v>791482</v>
      </c>
      <c r="N10" s="66">
        <v>868776</v>
      </c>
      <c r="O10" s="66">
        <v>872262</v>
      </c>
      <c r="P10" s="66">
        <v>912837</v>
      </c>
      <c r="Q10" s="66">
        <v>959279</v>
      </c>
      <c r="R10" s="287">
        <v>868765</v>
      </c>
    </row>
    <row r="11" spans="1:18" s="63" customFormat="1" ht="15.6" x14ac:dyDescent="0.3">
      <c r="A11" s="75" t="s">
        <v>30</v>
      </c>
      <c r="B11" s="170">
        <v>374742.79</v>
      </c>
      <c r="C11" s="67">
        <v>360424.87</v>
      </c>
      <c r="D11" s="66">
        <v>529534.44999999995</v>
      </c>
      <c r="E11" s="66">
        <v>610488.68999999994</v>
      </c>
      <c r="F11" s="66">
        <v>591468.39</v>
      </c>
      <c r="G11" s="66">
        <v>532584</v>
      </c>
      <c r="H11" s="66">
        <v>640309</v>
      </c>
      <c r="I11" s="66">
        <v>600313</v>
      </c>
      <c r="J11" s="66">
        <v>677201</v>
      </c>
      <c r="K11" s="66">
        <v>651684</v>
      </c>
      <c r="L11" s="66">
        <v>732774</v>
      </c>
      <c r="M11" s="66">
        <v>689109</v>
      </c>
      <c r="N11" s="66">
        <v>792369</v>
      </c>
      <c r="O11" s="66">
        <v>816278</v>
      </c>
      <c r="P11" s="66">
        <v>775926</v>
      </c>
      <c r="Q11" s="66">
        <v>830644</v>
      </c>
      <c r="R11" s="291" t="s">
        <v>152</v>
      </c>
    </row>
    <row r="12" spans="1:18" s="63" customFormat="1" ht="15.6" x14ac:dyDescent="0.3">
      <c r="A12" s="75" t="s">
        <v>31</v>
      </c>
      <c r="B12" s="170">
        <v>534791</v>
      </c>
      <c r="C12" s="67">
        <v>577598.15</v>
      </c>
      <c r="D12" s="66">
        <v>753504.04</v>
      </c>
      <c r="E12" s="66">
        <v>744404.47</v>
      </c>
      <c r="F12" s="67">
        <v>743929.02</v>
      </c>
      <c r="G12" s="66">
        <v>742900</v>
      </c>
      <c r="H12" s="66">
        <v>724512</v>
      </c>
      <c r="I12" s="66">
        <v>662427</v>
      </c>
      <c r="J12" s="66">
        <v>814335</v>
      </c>
      <c r="K12" s="66">
        <v>885310</v>
      </c>
      <c r="L12" s="66">
        <v>850168</v>
      </c>
      <c r="M12" s="66">
        <v>953692</v>
      </c>
      <c r="N12" s="66">
        <v>930727</v>
      </c>
      <c r="O12" s="66">
        <v>940694</v>
      </c>
      <c r="P12" s="66">
        <v>984302</v>
      </c>
      <c r="Q12" s="66">
        <v>1000777</v>
      </c>
      <c r="R12" s="295" t="s">
        <v>152</v>
      </c>
    </row>
    <row r="13" spans="1:18" s="63" customFormat="1" ht="15.6" x14ac:dyDescent="0.3">
      <c r="A13" s="75" t="s">
        <v>32</v>
      </c>
      <c r="B13" s="170">
        <v>453387.02</v>
      </c>
      <c r="C13" s="67">
        <v>475711.79</v>
      </c>
      <c r="D13" s="66">
        <v>687874.18</v>
      </c>
      <c r="E13" s="66">
        <v>688720.31</v>
      </c>
      <c r="F13" s="66">
        <v>698453.45</v>
      </c>
      <c r="G13" s="66">
        <v>597182</v>
      </c>
      <c r="H13" s="66">
        <v>636942</v>
      </c>
      <c r="I13" s="66">
        <v>777405</v>
      </c>
      <c r="J13" s="66">
        <v>739732</v>
      </c>
      <c r="K13" s="66">
        <v>782128</v>
      </c>
      <c r="L13" s="66">
        <v>759587</v>
      </c>
      <c r="M13" s="66">
        <v>803677</v>
      </c>
      <c r="N13" s="66">
        <v>872778</v>
      </c>
      <c r="O13" s="66">
        <v>869362</v>
      </c>
      <c r="P13" s="66">
        <v>897538</v>
      </c>
      <c r="Q13" s="66">
        <v>936433</v>
      </c>
      <c r="R13" s="295" t="s">
        <v>152</v>
      </c>
    </row>
    <row r="14" spans="1:18" s="63" customFormat="1" ht="15.6" x14ac:dyDescent="0.3">
      <c r="A14" s="75" t="s">
        <v>33</v>
      </c>
      <c r="B14" s="170">
        <v>476348.31</v>
      </c>
      <c r="C14" s="67">
        <v>494590.24</v>
      </c>
      <c r="D14" s="66">
        <v>679554.01</v>
      </c>
      <c r="E14" s="66">
        <v>674617.35</v>
      </c>
      <c r="F14" s="66">
        <v>689714.44000000006</v>
      </c>
      <c r="G14" s="66">
        <v>657106</v>
      </c>
      <c r="H14" s="66">
        <v>688894</v>
      </c>
      <c r="I14" s="66">
        <v>727532</v>
      </c>
      <c r="J14" s="66">
        <v>732657</v>
      </c>
      <c r="K14" s="66">
        <v>769911</v>
      </c>
      <c r="L14" s="66">
        <v>761116</v>
      </c>
      <c r="M14" s="66">
        <v>809672</v>
      </c>
      <c r="N14" s="66">
        <v>867758</v>
      </c>
      <c r="O14" s="66">
        <v>843484</v>
      </c>
      <c r="P14" s="66">
        <v>796013</v>
      </c>
      <c r="Q14" s="66">
        <v>885398</v>
      </c>
      <c r="R14" s="295" t="s">
        <v>152</v>
      </c>
    </row>
    <row r="15" spans="1:18" s="63" customFormat="1" ht="15.6" x14ac:dyDescent="0.3">
      <c r="A15" s="75" t="s">
        <v>34</v>
      </c>
      <c r="B15" s="170">
        <v>434645.35</v>
      </c>
      <c r="C15" s="67">
        <v>465934.4</v>
      </c>
      <c r="D15" s="66">
        <v>626130.49</v>
      </c>
      <c r="E15" s="66">
        <v>655533.61</v>
      </c>
      <c r="F15" s="66" t="s">
        <v>35</v>
      </c>
      <c r="G15" s="66">
        <v>619821</v>
      </c>
      <c r="H15" s="66">
        <v>637415</v>
      </c>
      <c r="I15" s="66">
        <v>669874</v>
      </c>
      <c r="J15" s="66">
        <v>706994</v>
      </c>
      <c r="K15" s="66">
        <v>740744</v>
      </c>
      <c r="L15" s="66">
        <v>760262</v>
      </c>
      <c r="M15" s="66">
        <v>787235</v>
      </c>
      <c r="N15" s="66">
        <v>810453</v>
      </c>
      <c r="O15" s="66">
        <v>879127</v>
      </c>
      <c r="P15" s="66">
        <v>881309</v>
      </c>
      <c r="Q15" s="66">
        <v>914387</v>
      </c>
      <c r="R15" s="295" t="s">
        <v>152</v>
      </c>
    </row>
    <row r="16" spans="1:18" s="63" customFormat="1" ht="16.2" thickBot="1" x14ac:dyDescent="0.35">
      <c r="A16" s="88" t="s">
        <v>36</v>
      </c>
      <c r="B16" s="87">
        <v>475863.76</v>
      </c>
      <c r="C16" s="72">
        <v>481636.13</v>
      </c>
      <c r="D16" s="72">
        <v>672021.31</v>
      </c>
      <c r="E16" s="72">
        <v>759344.88</v>
      </c>
      <c r="F16" s="72">
        <v>1092966</v>
      </c>
      <c r="G16" s="71">
        <v>607858</v>
      </c>
      <c r="H16" s="72">
        <v>640118</v>
      </c>
      <c r="I16" s="71">
        <v>667506</v>
      </c>
      <c r="J16" s="71">
        <v>695839</v>
      </c>
      <c r="K16" s="71">
        <v>725450</v>
      </c>
      <c r="L16" s="71">
        <v>784699</v>
      </c>
      <c r="M16" s="71">
        <v>769275</v>
      </c>
      <c r="N16" s="71">
        <v>806208</v>
      </c>
      <c r="O16" s="71">
        <v>793249</v>
      </c>
      <c r="P16" s="71">
        <v>888400</v>
      </c>
      <c r="Q16" s="71">
        <v>874027</v>
      </c>
      <c r="R16" s="292" t="s">
        <v>152</v>
      </c>
    </row>
    <row r="17" spans="1:18" s="63" customFormat="1" ht="16.2" thickTop="1" x14ac:dyDescent="0.3">
      <c r="A17" s="171" t="s">
        <v>37</v>
      </c>
      <c r="B17" s="277">
        <f t="shared" ref="B17:P17" si="0">SUM(B5:B16)</f>
        <v>5389023.0799999991</v>
      </c>
      <c r="C17" s="273">
        <f t="shared" si="0"/>
        <v>5683379.6800000006</v>
      </c>
      <c r="D17" s="273">
        <f t="shared" si="0"/>
        <v>7544417.8200000003</v>
      </c>
      <c r="E17" s="273">
        <f t="shared" si="0"/>
        <v>8074745.8599999994</v>
      </c>
      <c r="F17" s="273">
        <f t="shared" si="0"/>
        <v>7753641.790000001</v>
      </c>
      <c r="G17" s="273">
        <f t="shared" si="0"/>
        <v>7721467</v>
      </c>
      <c r="H17" s="273">
        <f t="shared" si="0"/>
        <v>7736997</v>
      </c>
      <c r="I17" s="273">
        <f t="shared" si="0"/>
        <v>8124729</v>
      </c>
      <c r="J17" s="273">
        <f t="shared" si="0"/>
        <v>8516613</v>
      </c>
      <c r="K17" s="273">
        <f t="shared" si="0"/>
        <v>8886854</v>
      </c>
      <c r="L17" s="273">
        <f t="shared" si="0"/>
        <v>9028389</v>
      </c>
      <c r="M17" s="273">
        <f t="shared" si="0"/>
        <v>9360638</v>
      </c>
      <c r="N17" s="273">
        <f t="shared" si="0"/>
        <v>10057985</v>
      </c>
      <c r="O17" s="273">
        <f t="shared" si="0"/>
        <v>10041490</v>
      </c>
      <c r="P17" s="273">
        <f t="shared" si="0"/>
        <v>10070010</v>
      </c>
      <c r="Q17" s="273">
        <f t="shared" ref="Q17:R17" si="1">SUM(Q5:Q16)</f>
        <v>10603321</v>
      </c>
      <c r="R17" s="288">
        <f t="shared" si="1"/>
        <v>4956111</v>
      </c>
    </row>
    <row r="18" spans="1:18" s="113" customFormat="1" ht="6.6" x14ac:dyDescent="0.3">
      <c r="A18" s="371" t="s">
        <v>174</v>
      </c>
      <c r="B18" s="371"/>
      <c r="C18" s="371"/>
      <c r="D18" s="371"/>
      <c r="E18" s="371"/>
      <c r="F18" s="371"/>
      <c r="G18" s="371"/>
      <c r="H18" s="371"/>
      <c r="I18" s="371"/>
      <c r="J18" s="371"/>
      <c r="K18" s="371"/>
      <c r="L18" s="371"/>
      <c r="M18" s="371"/>
      <c r="N18" s="371"/>
      <c r="O18" s="371"/>
      <c r="P18" s="371"/>
      <c r="Q18" s="371"/>
      <c r="R18" s="371"/>
    </row>
    <row r="19" spans="1:18" s="106" customFormat="1" ht="18" x14ac:dyDescent="0.3">
      <c r="A19" s="370" t="s">
        <v>62</v>
      </c>
      <c r="B19" s="370"/>
      <c r="C19" s="370"/>
      <c r="D19" s="370"/>
      <c r="E19" s="370"/>
      <c r="F19" s="370"/>
      <c r="G19" s="370"/>
      <c r="H19" s="370"/>
      <c r="I19" s="370"/>
      <c r="J19" s="370"/>
      <c r="K19" s="370"/>
      <c r="L19" s="370"/>
      <c r="M19" s="370"/>
      <c r="N19" s="370"/>
      <c r="O19" s="370"/>
      <c r="P19" s="370"/>
      <c r="Q19" s="370"/>
      <c r="R19" s="370"/>
    </row>
    <row r="20" spans="1:18" s="63" customFormat="1" ht="15.6" x14ac:dyDescent="0.3">
      <c r="A20" s="172" t="s">
        <v>23</v>
      </c>
      <c r="B20" s="91">
        <v>2004</v>
      </c>
      <c r="C20" s="64">
        <v>2005</v>
      </c>
      <c r="D20" s="64">
        <v>2006</v>
      </c>
      <c r="E20" s="64">
        <v>2007</v>
      </c>
      <c r="F20" s="64">
        <v>2008</v>
      </c>
      <c r="G20" s="64">
        <v>2009</v>
      </c>
      <c r="H20" s="64">
        <v>2010</v>
      </c>
      <c r="I20" s="64">
        <v>2011</v>
      </c>
      <c r="J20" s="65">
        <v>2012</v>
      </c>
      <c r="K20" s="65">
        <v>2013</v>
      </c>
      <c r="L20" s="65">
        <v>2014</v>
      </c>
      <c r="M20" s="65">
        <v>2015</v>
      </c>
      <c r="N20" s="65">
        <v>2016</v>
      </c>
      <c r="O20" s="65">
        <v>2017</v>
      </c>
      <c r="P20" s="65">
        <v>2018</v>
      </c>
      <c r="Q20" s="65">
        <v>2019</v>
      </c>
      <c r="R20" s="49">
        <v>2020</v>
      </c>
    </row>
    <row r="21" spans="1:18" s="63" customFormat="1" ht="15.6" x14ac:dyDescent="0.3">
      <c r="A21" s="76" t="s">
        <v>24</v>
      </c>
      <c r="B21" s="278">
        <v>39186.92</v>
      </c>
      <c r="C21" s="272">
        <v>51810.11</v>
      </c>
      <c r="D21" s="271">
        <v>52068.24</v>
      </c>
      <c r="E21" s="271">
        <v>46903.9</v>
      </c>
      <c r="F21" s="271">
        <v>54229.74</v>
      </c>
      <c r="G21" s="271">
        <v>75455</v>
      </c>
      <c r="H21" s="271">
        <v>85062</v>
      </c>
      <c r="I21" s="271">
        <v>69747</v>
      </c>
      <c r="J21" s="271">
        <v>77192</v>
      </c>
      <c r="K21" s="271">
        <v>53674</v>
      </c>
      <c r="L21" s="271">
        <v>61044</v>
      </c>
      <c r="M21" s="271">
        <v>77938</v>
      </c>
      <c r="N21" s="271">
        <v>57166</v>
      </c>
      <c r="O21" s="271">
        <v>65332</v>
      </c>
      <c r="P21" s="271">
        <v>61933</v>
      </c>
      <c r="Q21" s="271">
        <v>53796</v>
      </c>
      <c r="R21" s="286">
        <v>34704</v>
      </c>
    </row>
    <row r="22" spans="1:18" s="63" customFormat="1" ht="15.6" x14ac:dyDescent="0.3">
      <c r="A22" s="75" t="s">
        <v>25</v>
      </c>
      <c r="B22" s="170">
        <v>38661.440000000002</v>
      </c>
      <c r="C22" s="67">
        <v>45401.04</v>
      </c>
      <c r="D22" s="66">
        <v>46990.879999999997</v>
      </c>
      <c r="E22" s="66">
        <v>40388.11</v>
      </c>
      <c r="F22" s="66">
        <v>37148.67</v>
      </c>
      <c r="G22" s="66">
        <v>49215</v>
      </c>
      <c r="H22" s="66">
        <v>32915</v>
      </c>
      <c r="I22" s="66">
        <v>33155</v>
      </c>
      <c r="J22" s="66">
        <v>46681</v>
      </c>
      <c r="K22" s="66">
        <v>45819</v>
      </c>
      <c r="L22" s="66">
        <v>46449</v>
      </c>
      <c r="M22" s="66">
        <v>50720</v>
      </c>
      <c r="N22" s="66">
        <v>42628</v>
      </c>
      <c r="O22" s="66">
        <v>28149</v>
      </c>
      <c r="P22" s="66">
        <v>47831</v>
      </c>
      <c r="Q22" s="66">
        <v>37727</v>
      </c>
      <c r="R22" s="287">
        <v>42939</v>
      </c>
    </row>
    <row r="23" spans="1:18" s="63" customFormat="1" ht="15.6" x14ac:dyDescent="0.3">
      <c r="A23" s="75" t="s">
        <v>26</v>
      </c>
      <c r="B23" s="170">
        <v>19708.78</v>
      </c>
      <c r="C23" s="67">
        <v>28148.2</v>
      </c>
      <c r="D23" s="66">
        <v>37553.339999999997</v>
      </c>
      <c r="E23" s="66">
        <v>29347.46</v>
      </c>
      <c r="F23" s="66">
        <v>57167.98</v>
      </c>
      <c r="G23" s="66">
        <v>28309</v>
      </c>
      <c r="H23" s="66">
        <v>28891</v>
      </c>
      <c r="I23" s="66">
        <v>50275</v>
      </c>
      <c r="J23" s="66">
        <v>26943</v>
      </c>
      <c r="K23" s="66">
        <v>41596</v>
      </c>
      <c r="L23" s="66">
        <v>46501</v>
      </c>
      <c r="M23" s="66">
        <v>66989</v>
      </c>
      <c r="N23" s="66">
        <v>36289</v>
      </c>
      <c r="O23" s="66">
        <v>32942</v>
      </c>
      <c r="P23" s="66">
        <v>43593</v>
      </c>
      <c r="Q23" s="66">
        <v>40734</v>
      </c>
      <c r="R23" s="287">
        <v>141251</v>
      </c>
    </row>
    <row r="24" spans="1:18" s="63" customFormat="1" ht="15.6" x14ac:dyDescent="0.3">
      <c r="A24" s="75" t="s">
        <v>27</v>
      </c>
      <c r="B24" s="170">
        <v>33452.57</v>
      </c>
      <c r="C24" s="67">
        <v>39564.78</v>
      </c>
      <c r="D24" s="66">
        <v>81402.899999999994</v>
      </c>
      <c r="E24" s="66">
        <v>70330.31</v>
      </c>
      <c r="F24" s="66">
        <v>60769.88</v>
      </c>
      <c r="G24" s="66">
        <v>38849</v>
      </c>
      <c r="H24" s="66">
        <v>30259</v>
      </c>
      <c r="I24" s="66">
        <v>45716</v>
      </c>
      <c r="J24" s="66">
        <v>54567</v>
      </c>
      <c r="K24" s="66">
        <v>45553</v>
      </c>
      <c r="L24" s="66">
        <v>51285</v>
      </c>
      <c r="M24" s="66">
        <v>63974</v>
      </c>
      <c r="N24" s="66">
        <v>44699</v>
      </c>
      <c r="O24" s="66">
        <v>32120</v>
      </c>
      <c r="P24" s="66">
        <v>52180</v>
      </c>
      <c r="Q24" s="66">
        <v>50187</v>
      </c>
      <c r="R24" s="287">
        <v>32396</v>
      </c>
    </row>
    <row r="25" spans="1:18" s="63" customFormat="1" ht="15.6" x14ac:dyDescent="0.3">
      <c r="A25" s="75" t="s">
        <v>28</v>
      </c>
      <c r="B25" s="170">
        <v>28114.09</v>
      </c>
      <c r="C25" s="67">
        <v>47912.21</v>
      </c>
      <c r="D25" s="66">
        <v>46508.19</v>
      </c>
      <c r="E25" s="66">
        <v>48199.43</v>
      </c>
      <c r="F25" s="66">
        <v>70111.520000000004</v>
      </c>
      <c r="G25" s="66">
        <v>45042</v>
      </c>
      <c r="H25" s="66">
        <v>39453</v>
      </c>
      <c r="I25" s="66">
        <v>40575</v>
      </c>
      <c r="J25" s="66">
        <v>82788</v>
      </c>
      <c r="K25" s="66">
        <v>41375</v>
      </c>
      <c r="L25" s="66">
        <v>52205</v>
      </c>
      <c r="M25" s="66">
        <v>53953</v>
      </c>
      <c r="N25" s="66">
        <v>43841</v>
      </c>
      <c r="O25" s="66">
        <v>39071</v>
      </c>
      <c r="P25" s="66">
        <v>45544</v>
      </c>
      <c r="Q25" s="66">
        <v>48870</v>
      </c>
      <c r="R25" s="287">
        <v>22055</v>
      </c>
    </row>
    <row r="26" spans="1:18" s="63" customFormat="1" ht="15.6" x14ac:dyDescent="0.3">
      <c r="A26" s="75" t="s">
        <v>29</v>
      </c>
      <c r="B26" s="170">
        <v>36567.379999999997</v>
      </c>
      <c r="C26" s="67">
        <v>36781.550000000003</v>
      </c>
      <c r="D26" s="66">
        <v>48718.75</v>
      </c>
      <c r="E26" s="66">
        <v>44466.86</v>
      </c>
      <c r="F26" s="66">
        <v>62270.79</v>
      </c>
      <c r="G26" s="66">
        <v>29308</v>
      </c>
      <c r="H26" s="66">
        <v>37114</v>
      </c>
      <c r="I26" s="66">
        <v>38422</v>
      </c>
      <c r="J26" s="66">
        <v>52363</v>
      </c>
      <c r="K26" s="66">
        <v>47634</v>
      </c>
      <c r="L26" s="66">
        <v>56674</v>
      </c>
      <c r="M26" s="66">
        <v>51345</v>
      </c>
      <c r="N26" s="66">
        <v>48075</v>
      </c>
      <c r="O26" s="66">
        <v>43688</v>
      </c>
      <c r="P26" s="66">
        <v>54390</v>
      </c>
      <c r="Q26" s="66">
        <v>56180</v>
      </c>
      <c r="R26" s="287">
        <v>56588</v>
      </c>
    </row>
    <row r="27" spans="1:18" s="63" customFormat="1" ht="15.6" x14ac:dyDescent="0.3">
      <c r="A27" s="75" t="s">
        <v>30</v>
      </c>
      <c r="B27" s="170">
        <v>28773.59</v>
      </c>
      <c r="C27" s="67">
        <v>32836.11</v>
      </c>
      <c r="D27" s="66">
        <v>42228.34</v>
      </c>
      <c r="E27" s="66">
        <v>38488.800000000003</v>
      </c>
      <c r="F27" s="66">
        <v>88892.99</v>
      </c>
      <c r="G27" s="66">
        <v>32788</v>
      </c>
      <c r="H27" s="66">
        <v>48250</v>
      </c>
      <c r="I27" s="66">
        <v>39253</v>
      </c>
      <c r="J27" s="66">
        <v>44579</v>
      </c>
      <c r="K27" s="66">
        <v>58050</v>
      </c>
      <c r="L27" s="66">
        <v>43943</v>
      </c>
      <c r="M27" s="66">
        <v>63372</v>
      </c>
      <c r="N27" s="66">
        <v>45506</v>
      </c>
      <c r="O27" s="66">
        <v>48457</v>
      </c>
      <c r="P27" s="66">
        <v>41446</v>
      </c>
      <c r="Q27" s="66">
        <v>48365</v>
      </c>
      <c r="R27" s="295" t="s">
        <v>152</v>
      </c>
    </row>
    <row r="28" spans="1:18" s="63" customFormat="1" ht="15.6" x14ac:dyDescent="0.3">
      <c r="A28" s="75" t="s">
        <v>31</v>
      </c>
      <c r="B28" s="170">
        <v>38998.339999999997</v>
      </c>
      <c r="C28" s="67">
        <v>52595.8</v>
      </c>
      <c r="D28" s="66">
        <v>49530.02</v>
      </c>
      <c r="E28" s="66">
        <v>56617.89</v>
      </c>
      <c r="F28" s="66">
        <v>70742.850000000006</v>
      </c>
      <c r="G28" s="66">
        <v>53078</v>
      </c>
      <c r="H28" s="66">
        <v>63426</v>
      </c>
      <c r="I28" s="66">
        <v>73592</v>
      </c>
      <c r="J28" s="66">
        <v>59160</v>
      </c>
      <c r="K28" s="66">
        <v>49644</v>
      </c>
      <c r="L28" s="66">
        <v>52661</v>
      </c>
      <c r="M28" s="66">
        <v>60840</v>
      </c>
      <c r="N28" s="66">
        <v>52277</v>
      </c>
      <c r="O28" s="66">
        <v>58868</v>
      </c>
      <c r="P28" s="66">
        <v>41557</v>
      </c>
      <c r="Q28" s="66">
        <v>73803</v>
      </c>
      <c r="R28" s="295" t="s">
        <v>152</v>
      </c>
    </row>
    <row r="29" spans="1:18" s="63" customFormat="1" ht="15.6" x14ac:dyDescent="0.3">
      <c r="A29" s="75" t="s">
        <v>32</v>
      </c>
      <c r="B29" s="170">
        <v>30493.54</v>
      </c>
      <c r="C29" s="67">
        <v>31612.59</v>
      </c>
      <c r="D29" s="66">
        <v>44137.31</v>
      </c>
      <c r="E29" s="66">
        <v>40107.93</v>
      </c>
      <c r="F29" s="66">
        <v>49545.65</v>
      </c>
      <c r="G29" s="66">
        <v>35106</v>
      </c>
      <c r="H29" s="66">
        <v>54812</v>
      </c>
      <c r="I29" s="66">
        <v>54602</v>
      </c>
      <c r="J29" s="66">
        <v>47895</v>
      </c>
      <c r="K29" s="66">
        <v>47397</v>
      </c>
      <c r="L29" s="66">
        <v>54221</v>
      </c>
      <c r="M29" s="66">
        <v>33678</v>
      </c>
      <c r="N29" s="66">
        <v>40355</v>
      </c>
      <c r="O29" s="66">
        <v>55723</v>
      </c>
      <c r="P29" s="66">
        <v>55926</v>
      </c>
      <c r="Q29" s="66">
        <v>68972</v>
      </c>
      <c r="R29" s="295" t="s">
        <v>152</v>
      </c>
    </row>
    <row r="30" spans="1:18" s="63" customFormat="1" ht="15.6" x14ac:dyDescent="0.3">
      <c r="A30" s="75" t="s">
        <v>33</v>
      </c>
      <c r="B30" s="170">
        <v>36308.35</v>
      </c>
      <c r="C30" s="67">
        <v>48280.36</v>
      </c>
      <c r="D30" s="66">
        <v>49579.02</v>
      </c>
      <c r="E30" s="66">
        <v>105960.52</v>
      </c>
      <c r="F30" s="66">
        <v>58867.899999999994</v>
      </c>
      <c r="G30" s="66">
        <v>42786</v>
      </c>
      <c r="H30" s="66">
        <v>55090</v>
      </c>
      <c r="I30" s="66">
        <v>53608</v>
      </c>
      <c r="J30" s="66">
        <v>64433</v>
      </c>
      <c r="K30" s="66">
        <v>46508</v>
      </c>
      <c r="L30" s="66">
        <v>62299</v>
      </c>
      <c r="M30" s="66">
        <v>46692</v>
      </c>
      <c r="N30" s="66">
        <v>50905</v>
      </c>
      <c r="O30" s="66">
        <v>49531</v>
      </c>
      <c r="P30" s="66">
        <v>53068</v>
      </c>
      <c r="Q30" s="66">
        <v>58304</v>
      </c>
      <c r="R30" s="295" t="s">
        <v>152</v>
      </c>
    </row>
    <row r="31" spans="1:18" s="63" customFormat="1" ht="15.6" x14ac:dyDescent="0.3">
      <c r="A31" s="75" t="s">
        <v>34</v>
      </c>
      <c r="B31" s="170">
        <v>38343.449999999997</v>
      </c>
      <c r="C31" s="67">
        <v>40879.199999999997</v>
      </c>
      <c r="D31" s="66">
        <v>39115.57</v>
      </c>
      <c r="E31" s="66">
        <v>58411.46</v>
      </c>
      <c r="F31" s="66" t="s">
        <v>63</v>
      </c>
      <c r="G31" s="66">
        <v>58797</v>
      </c>
      <c r="H31" s="66">
        <v>36733</v>
      </c>
      <c r="I31" s="66">
        <v>46073</v>
      </c>
      <c r="J31" s="66">
        <v>54007</v>
      </c>
      <c r="K31" s="66">
        <v>52766</v>
      </c>
      <c r="L31" s="66">
        <v>63017</v>
      </c>
      <c r="M31" s="66">
        <v>64820</v>
      </c>
      <c r="N31" s="66">
        <v>67734</v>
      </c>
      <c r="O31" s="66">
        <v>46321</v>
      </c>
      <c r="P31" s="66">
        <v>48519</v>
      </c>
      <c r="Q31" s="66">
        <v>58078</v>
      </c>
      <c r="R31" s="295" t="s">
        <v>152</v>
      </c>
    </row>
    <row r="32" spans="1:18" s="63" customFormat="1" ht="16.2" thickBot="1" x14ac:dyDescent="0.35">
      <c r="A32" s="88" t="s">
        <v>36</v>
      </c>
      <c r="B32" s="87">
        <v>39714.1</v>
      </c>
      <c r="C32" s="72">
        <v>25388.560000000001</v>
      </c>
      <c r="D32" s="72">
        <v>32338.13</v>
      </c>
      <c r="E32" s="72">
        <v>65096.6</v>
      </c>
      <c r="F32" s="72">
        <v>71601</v>
      </c>
      <c r="G32" s="71">
        <v>40410</v>
      </c>
      <c r="H32" s="71">
        <v>33587</v>
      </c>
      <c r="I32" s="71">
        <v>44837</v>
      </c>
      <c r="J32" s="71">
        <v>48146</v>
      </c>
      <c r="K32" s="71">
        <v>57059</v>
      </c>
      <c r="L32" s="71">
        <v>68287</v>
      </c>
      <c r="M32" s="71">
        <v>39025</v>
      </c>
      <c r="N32" s="71">
        <v>46343</v>
      </c>
      <c r="O32" s="71">
        <v>44102</v>
      </c>
      <c r="P32" s="71">
        <v>83470</v>
      </c>
      <c r="Q32" s="71">
        <v>127654</v>
      </c>
      <c r="R32" s="292" t="s">
        <v>152</v>
      </c>
    </row>
    <row r="33" spans="1:18" s="63" customFormat="1" ht="16.2" thickTop="1" x14ac:dyDescent="0.3">
      <c r="A33" s="171" t="s">
        <v>37</v>
      </c>
      <c r="B33" s="277">
        <f t="shared" ref="B33:P33" si="2">SUM(B21:B32)</f>
        <v>408322.54999999993</v>
      </c>
      <c r="C33" s="273">
        <f t="shared" si="2"/>
        <v>481210.51</v>
      </c>
      <c r="D33" s="273">
        <f t="shared" si="2"/>
        <v>570170.69000000006</v>
      </c>
      <c r="E33" s="273">
        <f t="shared" si="2"/>
        <v>644319.27</v>
      </c>
      <c r="F33" s="273">
        <f t="shared" si="2"/>
        <v>681348.97000000009</v>
      </c>
      <c r="G33" s="273">
        <f t="shared" si="2"/>
        <v>529143</v>
      </c>
      <c r="H33" s="273">
        <f t="shared" si="2"/>
        <v>545592</v>
      </c>
      <c r="I33" s="273">
        <f t="shared" si="2"/>
        <v>589855</v>
      </c>
      <c r="J33" s="273">
        <f t="shared" si="2"/>
        <v>658754</v>
      </c>
      <c r="K33" s="273">
        <f t="shared" si="2"/>
        <v>587075</v>
      </c>
      <c r="L33" s="273">
        <f t="shared" si="2"/>
        <v>658586</v>
      </c>
      <c r="M33" s="273">
        <f t="shared" si="2"/>
        <v>673346</v>
      </c>
      <c r="N33" s="273">
        <f t="shared" si="2"/>
        <v>575818</v>
      </c>
      <c r="O33" s="273">
        <f t="shared" si="2"/>
        <v>544304</v>
      </c>
      <c r="P33" s="273">
        <f t="shared" si="2"/>
        <v>629457</v>
      </c>
      <c r="Q33" s="273">
        <f t="shared" ref="Q33:R33" si="3">SUM(Q21:Q32)</f>
        <v>722670</v>
      </c>
      <c r="R33" s="288">
        <f t="shared" si="3"/>
        <v>329933</v>
      </c>
    </row>
    <row r="34" spans="1:18" s="113" customFormat="1" ht="6.6" x14ac:dyDescent="0.3">
      <c r="A34" s="371" t="s">
        <v>174</v>
      </c>
      <c r="B34" s="371"/>
      <c r="C34" s="371"/>
      <c r="D34" s="371"/>
      <c r="E34" s="371"/>
      <c r="F34" s="371"/>
      <c r="G34" s="371"/>
      <c r="H34" s="371"/>
      <c r="I34" s="371"/>
      <c r="J34" s="371"/>
      <c r="K34" s="371"/>
      <c r="L34" s="371"/>
      <c r="M34" s="371"/>
      <c r="N34" s="371"/>
      <c r="O34" s="371"/>
      <c r="P34" s="371"/>
      <c r="Q34" s="371"/>
      <c r="R34" s="371"/>
    </row>
    <row r="35" spans="1:18" s="106" customFormat="1" ht="18" x14ac:dyDescent="0.3">
      <c r="A35" s="370" t="s">
        <v>127</v>
      </c>
      <c r="B35" s="370"/>
      <c r="C35" s="370"/>
      <c r="D35" s="370"/>
      <c r="E35" s="370"/>
      <c r="F35" s="370"/>
      <c r="G35" s="370"/>
      <c r="H35" s="370"/>
      <c r="I35" s="370"/>
      <c r="J35" s="370"/>
      <c r="K35" s="370"/>
      <c r="L35" s="370"/>
      <c r="M35" s="370"/>
      <c r="N35" s="370"/>
      <c r="O35" s="370"/>
      <c r="P35" s="370"/>
      <c r="Q35" s="370"/>
      <c r="R35" s="370"/>
    </row>
    <row r="36" spans="1:18" s="63" customFormat="1" ht="15.6" x14ac:dyDescent="0.3">
      <c r="A36" s="172" t="s">
        <v>23</v>
      </c>
      <c r="B36" s="91">
        <v>2004</v>
      </c>
      <c r="C36" s="64">
        <v>2005</v>
      </c>
      <c r="D36" s="64">
        <v>2006</v>
      </c>
      <c r="E36" s="64">
        <v>2007</v>
      </c>
      <c r="F36" s="64">
        <v>2008</v>
      </c>
      <c r="G36" s="64">
        <v>2009</v>
      </c>
      <c r="H36" s="64">
        <v>2010</v>
      </c>
      <c r="I36" s="64">
        <v>2011</v>
      </c>
      <c r="J36" s="65">
        <v>2012</v>
      </c>
      <c r="K36" s="65">
        <v>2013</v>
      </c>
      <c r="L36" s="65">
        <v>2014</v>
      </c>
      <c r="M36" s="65">
        <v>2015</v>
      </c>
      <c r="N36" s="65">
        <v>2016</v>
      </c>
      <c r="O36" s="65">
        <v>2017</v>
      </c>
      <c r="P36" s="65">
        <v>2018</v>
      </c>
      <c r="Q36" s="65">
        <v>2019</v>
      </c>
      <c r="R36" s="49">
        <v>2020</v>
      </c>
    </row>
    <row r="37" spans="1:18" s="63" customFormat="1" ht="15.6" x14ac:dyDescent="0.3">
      <c r="A37" s="76" t="s">
        <v>24</v>
      </c>
      <c r="B37" s="108" t="s">
        <v>152</v>
      </c>
      <c r="C37" s="107" t="s">
        <v>152</v>
      </c>
      <c r="D37" s="83" t="s">
        <v>152</v>
      </c>
      <c r="E37" s="83" t="s">
        <v>152</v>
      </c>
      <c r="F37" s="83" t="s">
        <v>152</v>
      </c>
      <c r="G37" s="271">
        <v>-9854</v>
      </c>
      <c r="H37" s="271">
        <v>-8915</v>
      </c>
      <c r="I37" s="271">
        <v>-426</v>
      </c>
      <c r="J37" s="271">
        <v>-2195</v>
      </c>
      <c r="K37" s="271">
        <v>-746</v>
      </c>
      <c r="L37" s="271">
        <v>-4627</v>
      </c>
      <c r="M37" s="271">
        <v>-24601</v>
      </c>
      <c r="N37" s="271">
        <v>-44156</v>
      </c>
      <c r="O37" s="271">
        <v>-7425</v>
      </c>
      <c r="P37" s="271">
        <v>-2315</v>
      </c>
      <c r="Q37" s="271">
        <v>-2124</v>
      </c>
      <c r="R37" s="286">
        <v>-6176</v>
      </c>
    </row>
    <row r="38" spans="1:18" s="63" customFormat="1" ht="15.6" x14ac:dyDescent="0.3">
      <c r="A38" s="75" t="s">
        <v>25</v>
      </c>
      <c r="B38" s="170" t="s">
        <v>152</v>
      </c>
      <c r="C38" s="67" t="s">
        <v>152</v>
      </c>
      <c r="D38" s="66" t="s">
        <v>152</v>
      </c>
      <c r="E38" s="66" t="s">
        <v>152</v>
      </c>
      <c r="F38" s="66" t="s">
        <v>152</v>
      </c>
      <c r="G38" s="66">
        <v>-20578</v>
      </c>
      <c r="H38" s="66">
        <v>-9707</v>
      </c>
      <c r="I38" s="66">
        <v>-81534</v>
      </c>
      <c r="J38" s="66">
        <v>-15895</v>
      </c>
      <c r="K38" s="66">
        <v>-33581</v>
      </c>
      <c r="L38" s="66">
        <v>-19801</v>
      </c>
      <c r="M38" s="66">
        <v>-26650</v>
      </c>
      <c r="N38" s="66">
        <v>-24340</v>
      </c>
      <c r="O38" s="66">
        <v>-19762</v>
      </c>
      <c r="P38" s="66">
        <v>-3703</v>
      </c>
      <c r="Q38" s="66">
        <v>-1041</v>
      </c>
      <c r="R38" s="287">
        <v>-4334</v>
      </c>
    </row>
    <row r="39" spans="1:18" s="63" customFormat="1" ht="15.6" x14ac:dyDescent="0.3">
      <c r="A39" s="75" t="s">
        <v>26</v>
      </c>
      <c r="B39" s="170" t="s">
        <v>152</v>
      </c>
      <c r="C39" s="67" t="s">
        <v>152</v>
      </c>
      <c r="D39" s="66" t="s">
        <v>152</v>
      </c>
      <c r="E39" s="66" t="s">
        <v>152</v>
      </c>
      <c r="F39" s="66" t="s">
        <v>152</v>
      </c>
      <c r="G39" s="66">
        <v>-119226</v>
      </c>
      <c r="H39" s="66">
        <v>-5225</v>
      </c>
      <c r="I39" s="66">
        <v>-15690</v>
      </c>
      <c r="J39" s="66">
        <v>-16157</v>
      </c>
      <c r="K39" s="66">
        <v>-38177</v>
      </c>
      <c r="L39" s="66">
        <v>-21845</v>
      </c>
      <c r="M39" s="66">
        <v>-23235</v>
      </c>
      <c r="N39" s="66">
        <v>-22457</v>
      </c>
      <c r="O39" s="66">
        <v>-590</v>
      </c>
      <c r="P39" s="66">
        <v>-21251</v>
      </c>
      <c r="Q39" s="66">
        <v>-1211</v>
      </c>
      <c r="R39" s="287">
        <v>-2714</v>
      </c>
    </row>
    <row r="40" spans="1:18" s="63" customFormat="1" ht="15.6" x14ac:dyDescent="0.3">
      <c r="A40" s="75" t="s">
        <v>27</v>
      </c>
      <c r="B40" s="170" t="s">
        <v>152</v>
      </c>
      <c r="C40" s="67" t="s">
        <v>152</v>
      </c>
      <c r="D40" s="66" t="s">
        <v>152</v>
      </c>
      <c r="E40" s="66" t="s">
        <v>152</v>
      </c>
      <c r="F40" s="66" t="s">
        <v>152</v>
      </c>
      <c r="G40" s="66">
        <v>-5226</v>
      </c>
      <c r="H40" s="66">
        <v>-6036</v>
      </c>
      <c r="I40" s="66">
        <v>-39750</v>
      </c>
      <c r="J40" s="66">
        <v>-25652</v>
      </c>
      <c r="K40" s="66">
        <v>-8457</v>
      </c>
      <c r="L40" s="66">
        <v>-15870</v>
      </c>
      <c r="M40" s="66">
        <v>-8642</v>
      </c>
      <c r="N40" s="66">
        <v>-8690</v>
      </c>
      <c r="O40" s="66">
        <v>-16613</v>
      </c>
      <c r="P40" s="66">
        <v>-28134</v>
      </c>
      <c r="Q40" s="66">
        <v>-2738</v>
      </c>
      <c r="R40" s="287">
        <v>-1490</v>
      </c>
    </row>
    <row r="41" spans="1:18" s="63" customFormat="1" ht="15.6" x14ac:dyDescent="0.3">
      <c r="A41" s="75" t="s">
        <v>28</v>
      </c>
      <c r="B41" s="170" t="s">
        <v>152</v>
      </c>
      <c r="C41" s="67" t="s">
        <v>152</v>
      </c>
      <c r="D41" s="66" t="s">
        <v>152</v>
      </c>
      <c r="E41" s="66" t="s">
        <v>152</v>
      </c>
      <c r="F41" s="66" t="s">
        <v>152</v>
      </c>
      <c r="G41" s="66">
        <v>-10291</v>
      </c>
      <c r="H41" s="66">
        <v>-10816</v>
      </c>
      <c r="I41" s="66">
        <v>-196</v>
      </c>
      <c r="J41" s="66">
        <v>-31426</v>
      </c>
      <c r="K41" s="66">
        <v>-3770</v>
      </c>
      <c r="L41" s="66">
        <v>-12013</v>
      </c>
      <c r="M41" s="66">
        <v>-2290</v>
      </c>
      <c r="N41" s="66">
        <v>-13127</v>
      </c>
      <c r="O41" s="66">
        <v>-3195</v>
      </c>
      <c r="P41" s="66">
        <v>-1549</v>
      </c>
      <c r="Q41" s="66">
        <v>-1403</v>
      </c>
      <c r="R41" s="287">
        <v>-6736</v>
      </c>
    </row>
    <row r="42" spans="1:18" s="63" customFormat="1" ht="15.6" x14ac:dyDescent="0.3">
      <c r="A42" s="75" t="s">
        <v>29</v>
      </c>
      <c r="B42" s="170" t="s">
        <v>152</v>
      </c>
      <c r="C42" s="67" t="s">
        <v>152</v>
      </c>
      <c r="D42" s="66" t="s">
        <v>152</v>
      </c>
      <c r="E42" s="66" t="s">
        <v>152</v>
      </c>
      <c r="F42" s="66" t="s">
        <v>152</v>
      </c>
      <c r="G42" s="66">
        <v>-622</v>
      </c>
      <c r="H42" s="66">
        <v>-1902</v>
      </c>
      <c r="I42" s="66">
        <v>-5352</v>
      </c>
      <c r="J42" s="66">
        <v>-26791</v>
      </c>
      <c r="K42" s="66">
        <v>-10508</v>
      </c>
      <c r="L42" s="66">
        <v>-1908</v>
      </c>
      <c r="M42" s="66">
        <v>-22063</v>
      </c>
      <c r="N42" s="66">
        <v>-10471</v>
      </c>
      <c r="O42" s="66">
        <v>-5317</v>
      </c>
      <c r="P42" s="66">
        <v>-146</v>
      </c>
      <c r="Q42" s="66">
        <v>-958</v>
      </c>
      <c r="R42" s="287">
        <v>-2883</v>
      </c>
    </row>
    <row r="43" spans="1:18" s="63" customFormat="1" ht="15.6" x14ac:dyDescent="0.3">
      <c r="A43" s="75" t="s">
        <v>30</v>
      </c>
      <c r="B43" s="170" t="s">
        <v>152</v>
      </c>
      <c r="C43" s="67" t="s">
        <v>152</v>
      </c>
      <c r="D43" s="66" t="s">
        <v>152</v>
      </c>
      <c r="E43" s="66" t="s">
        <v>152</v>
      </c>
      <c r="F43" s="66" t="s">
        <v>152</v>
      </c>
      <c r="G43" s="66">
        <v>-7347</v>
      </c>
      <c r="H43" s="66">
        <v>-889</v>
      </c>
      <c r="I43" s="66">
        <v>-9433</v>
      </c>
      <c r="J43" s="66">
        <v>-3048</v>
      </c>
      <c r="K43" s="66">
        <v>-10087</v>
      </c>
      <c r="L43" s="66">
        <v>-13690</v>
      </c>
      <c r="M43" s="66">
        <v>-51161</v>
      </c>
      <c r="N43" s="66">
        <v>-485</v>
      </c>
      <c r="O43" s="66">
        <v>-746</v>
      </c>
      <c r="P43" s="66">
        <v>-8894</v>
      </c>
      <c r="Q43" s="66">
        <v>-1407</v>
      </c>
      <c r="R43" s="295" t="s">
        <v>152</v>
      </c>
    </row>
    <row r="44" spans="1:18" s="63" customFormat="1" ht="15.6" x14ac:dyDescent="0.3">
      <c r="A44" s="75" t="s">
        <v>31</v>
      </c>
      <c r="B44" s="170" t="s">
        <v>152</v>
      </c>
      <c r="C44" s="67" t="s">
        <v>152</v>
      </c>
      <c r="D44" s="66" t="s">
        <v>152</v>
      </c>
      <c r="E44" s="66" t="s">
        <v>152</v>
      </c>
      <c r="F44" s="66" t="s">
        <v>152</v>
      </c>
      <c r="G44" s="66">
        <v>-53445</v>
      </c>
      <c r="H44" s="66">
        <v>-4161</v>
      </c>
      <c r="I44" s="66">
        <v>-6110</v>
      </c>
      <c r="J44" s="66">
        <v>-21342</v>
      </c>
      <c r="K44" s="66">
        <v>-15047</v>
      </c>
      <c r="L44" s="66">
        <v>-21366</v>
      </c>
      <c r="M44" s="66">
        <v>-9273</v>
      </c>
      <c r="N44" s="66">
        <v>-8486</v>
      </c>
      <c r="O44" s="66">
        <v>-319</v>
      </c>
      <c r="P44" s="66">
        <v>-227</v>
      </c>
      <c r="Q44" s="66">
        <v>-381</v>
      </c>
      <c r="R44" s="295" t="s">
        <v>152</v>
      </c>
    </row>
    <row r="45" spans="1:18" s="63" customFormat="1" ht="15.6" x14ac:dyDescent="0.3">
      <c r="A45" s="75" t="s">
        <v>32</v>
      </c>
      <c r="B45" s="170" t="s">
        <v>152</v>
      </c>
      <c r="C45" s="67" t="s">
        <v>152</v>
      </c>
      <c r="D45" s="66" t="s">
        <v>152</v>
      </c>
      <c r="E45" s="66" t="s">
        <v>152</v>
      </c>
      <c r="F45" s="66" t="s">
        <v>152</v>
      </c>
      <c r="G45" s="66">
        <v>-652</v>
      </c>
      <c r="H45" s="66">
        <v>0</v>
      </c>
      <c r="I45" s="66">
        <v>-12973</v>
      </c>
      <c r="J45" s="66">
        <v>-15481</v>
      </c>
      <c r="K45" s="66">
        <v>-62395</v>
      </c>
      <c r="L45" s="66">
        <v>-33</v>
      </c>
      <c r="M45" s="66">
        <v>-2987</v>
      </c>
      <c r="N45" s="66">
        <v>-943</v>
      </c>
      <c r="O45" s="66">
        <v>-14063</v>
      </c>
      <c r="P45" s="66">
        <v>-9</v>
      </c>
      <c r="Q45" s="66">
        <v>-965</v>
      </c>
      <c r="R45" s="295" t="s">
        <v>152</v>
      </c>
    </row>
    <row r="46" spans="1:18" s="63" customFormat="1" ht="15.6" x14ac:dyDescent="0.3">
      <c r="A46" s="75" t="s">
        <v>33</v>
      </c>
      <c r="B46" s="170" t="s">
        <v>152</v>
      </c>
      <c r="C46" s="67" t="s">
        <v>152</v>
      </c>
      <c r="D46" s="66" t="s">
        <v>152</v>
      </c>
      <c r="E46" s="66" t="s">
        <v>152</v>
      </c>
      <c r="F46" s="66" t="s">
        <v>152</v>
      </c>
      <c r="G46" s="66">
        <v>-6054</v>
      </c>
      <c r="H46" s="66">
        <v>-646</v>
      </c>
      <c r="I46" s="66">
        <v>-9245</v>
      </c>
      <c r="J46" s="66">
        <v>-13997</v>
      </c>
      <c r="K46" s="66">
        <v>-71193</v>
      </c>
      <c r="L46" s="66">
        <v>-12630</v>
      </c>
      <c r="M46" s="66">
        <v>-8077</v>
      </c>
      <c r="N46" s="66">
        <v>-29166</v>
      </c>
      <c r="O46" s="66">
        <v>-7919</v>
      </c>
      <c r="P46" s="66">
        <v>-182</v>
      </c>
      <c r="Q46" s="66">
        <v>-1795</v>
      </c>
      <c r="R46" s="295" t="s">
        <v>152</v>
      </c>
    </row>
    <row r="47" spans="1:18" s="63" customFormat="1" ht="15.6" x14ac:dyDescent="0.3">
      <c r="A47" s="75" t="s">
        <v>34</v>
      </c>
      <c r="B47" s="170" t="s">
        <v>152</v>
      </c>
      <c r="C47" s="67" t="s">
        <v>152</v>
      </c>
      <c r="D47" s="66" t="s">
        <v>152</v>
      </c>
      <c r="E47" s="66" t="s">
        <v>152</v>
      </c>
      <c r="F47" s="66" t="s">
        <v>152</v>
      </c>
      <c r="G47" s="66">
        <v>-10654</v>
      </c>
      <c r="H47" s="66">
        <v>-49842</v>
      </c>
      <c r="I47" s="66">
        <v>-20004</v>
      </c>
      <c r="J47" s="66">
        <v>-5233</v>
      </c>
      <c r="K47" s="66">
        <v>-2121</v>
      </c>
      <c r="L47" s="66">
        <v>-8664</v>
      </c>
      <c r="M47" s="66">
        <v>-19110</v>
      </c>
      <c r="N47" s="66">
        <v>-20518</v>
      </c>
      <c r="O47" s="66">
        <v>-1229</v>
      </c>
      <c r="P47" s="66">
        <v>-1701</v>
      </c>
      <c r="Q47" s="66">
        <v>-2888</v>
      </c>
      <c r="R47" s="295" t="s">
        <v>152</v>
      </c>
    </row>
    <row r="48" spans="1:18" s="63" customFormat="1" ht="16.2" thickBot="1" x14ac:dyDescent="0.35">
      <c r="A48" s="88" t="s">
        <v>36</v>
      </c>
      <c r="B48" s="87" t="s">
        <v>152</v>
      </c>
      <c r="C48" s="72" t="s">
        <v>152</v>
      </c>
      <c r="D48" s="72" t="s">
        <v>152</v>
      </c>
      <c r="E48" s="72" t="s">
        <v>152</v>
      </c>
      <c r="F48" s="274">
        <v>-35</v>
      </c>
      <c r="G48" s="71">
        <v>-29974</v>
      </c>
      <c r="H48" s="71">
        <v>-632</v>
      </c>
      <c r="I48" s="71">
        <v>-18060</v>
      </c>
      <c r="J48" s="71">
        <v>-1595</v>
      </c>
      <c r="K48" s="71">
        <v>-7418</v>
      </c>
      <c r="L48" s="71">
        <v>-20932</v>
      </c>
      <c r="M48" s="71">
        <v>-8054</v>
      </c>
      <c r="N48" s="71">
        <v>-1595</v>
      </c>
      <c r="O48" s="71">
        <v>-2060</v>
      </c>
      <c r="P48" s="71">
        <v>-10</v>
      </c>
      <c r="Q48" s="71">
        <v>-538</v>
      </c>
      <c r="R48" s="292" t="s">
        <v>152</v>
      </c>
    </row>
    <row r="49" spans="1:18" s="63" customFormat="1" ht="16.2" thickTop="1" x14ac:dyDescent="0.3">
      <c r="A49" s="171" t="s">
        <v>37</v>
      </c>
      <c r="B49" s="90" t="s">
        <v>152</v>
      </c>
      <c r="C49" s="73" t="s">
        <v>152</v>
      </c>
      <c r="D49" s="73" t="s">
        <v>152</v>
      </c>
      <c r="E49" s="73" t="s">
        <v>152</v>
      </c>
      <c r="F49" s="273">
        <f t="shared" ref="F49:P49" si="4">SUM(F37:F48)</f>
        <v>-35</v>
      </c>
      <c r="G49" s="273">
        <f t="shared" si="4"/>
        <v>-273923</v>
      </c>
      <c r="H49" s="273">
        <f t="shared" si="4"/>
        <v>-98771</v>
      </c>
      <c r="I49" s="273">
        <f t="shared" si="4"/>
        <v>-218773</v>
      </c>
      <c r="J49" s="273">
        <f t="shared" si="4"/>
        <v>-178812</v>
      </c>
      <c r="K49" s="273">
        <f t="shared" si="4"/>
        <v>-263500</v>
      </c>
      <c r="L49" s="273">
        <f t="shared" si="4"/>
        <v>-153379</v>
      </c>
      <c r="M49" s="273">
        <f t="shared" si="4"/>
        <v>-206143</v>
      </c>
      <c r="N49" s="273">
        <f t="shared" si="4"/>
        <v>-184434</v>
      </c>
      <c r="O49" s="273">
        <f t="shared" si="4"/>
        <v>-79238</v>
      </c>
      <c r="P49" s="273">
        <f t="shared" si="4"/>
        <v>-68121</v>
      </c>
      <c r="Q49" s="273">
        <f t="shared" ref="Q49:R49" si="5">SUM(Q37:Q48)</f>
        <v>-17449</v>
      </c>
      <c r="R49" s="288">
        <f t="shared" si="5"/>
        <v>-24333</v>
      </c>
    </row>
    <row r="50" spans="1:18" s="113" customFormat="1" ht="6.6" x14ac:dyDescent="0.3">
      <c r="A50" s="371" t="s">
        <v>174</v>
      </c>
      <c r="B50" s="371"/>
      <c r="C50" s="371"/>
      <c r="D50" s="371"/>
      <c r="E50" s="371"/>
      <c r="F50" s="371"/>
      <c r="G50" s="371"/>
      <c r="H50" s="371"/>
      <c r="I50" s="371"/>
      <c r="J50" s="371"/>
      <c r="K50" s="371"/>
      <c r="L50" s="371"/>
      <c r="M50" s="371"/>
      <c r="N50" s="371"/>
      <c r="O50" s="371"/>
      <c r="P50" s="371"/>
      <c r="Q50" s="371"/>
      <c r="R50" s="371"/>
    </row>
    <row r="51" spans="1:18" s="111" customFormat="1" ht="13.8" x14ac:dyDescent="0.3">
      <c r="A51" s="388" t="s">
        <v>39</v>
      </c>
      <c r="B51" s="388"/>
      <c r="C51" s="388"/>
      <c r="D51" s="388"/>
      <c r="E51" s="388"/>
      <c r="F51" s="388"/>
      <c r="G51" s="388"/>
      <c r="H51" s="388"/>
      <c r="I51" s="388"/>
      <c r="J51" s="388"/>
      <c r="K51" s="388"/>
      <c r="L51" s="388"/>
      <c r="M51" s="388"/>
      <c r="N51" s="388"/>
      <c r="O51" s="388"/>
      <c r="P51" s="388"/>
      <c r="Q51" s="388"/>
      <c r="R51" s="388"/>
    </row>
    <row r="52" spans="1:18" s="111" customFormat="1" ht="13.8" x14ac:dyDescent="0.3">
      <c r="A52" s="383" t="str">
        <f>'Local SUT'!A60</f>
        <v>Source:  Minnesota Department of Revenue, Tax Research Division, February 2021</v>
      </c>
      <c r="B52" s="383"/>
      <c r="C52" s="383"/>
      <c r="D52" s="383"/>
      <c r="E52" s="383"/>
      <c r="F52" s="383"/>
      <c r="G52" s="383"/>
      <c r="H52" s="383"/>
      <c r="I52" s="383"/>
      <c r="J52" s="383"/>
      <c r="K52" s="383"/>
      <c r="L52" s="383"/>
      <c r="M52" s="383"/>
      <c r="N52" s="383"/>
      <c r="O52" s="383"/>
      <c r="P52" s="383"/>
      <c r="Q52" s="383"/>
      <c r="R52" s="383"/>
    </row>
    <row r="53" spans="1:18" s="111" customFormat="1" ht="13.8" x14ac:dyDescent="0.3">
      <c r="A53" s="379" t="s">
        <v>151</v>
      </c>
      <c r="B53" s="379"/>
      <c r="C53" s="379"/>
      <c r="D53" s="379"/>
      <c r="E53" s="379"/>
      <c r="F53" s="379"/>
      <c r="G53" s="379"/>
      <c r="H53" s="379"/>
      <c r="I53" s="379"/>
      <c r="J53" s="379"/>
      <c r="K53" s="379"/>
      <c r="L53" s="379"/>
      <c r="M53" s="379"/>
      <c r="N53" s="379"/>
      <c r="O53" s="379"/>
      <c r="P53" s="379"/>
      <c r="Q53" s="379"/>
      <c r="R53" s="379"/>
    </row>
    <row r="54" spans="1:18" x14ac:dyDescent="0.3">
      <c r="R54" s="117"/>
    </row>
    <row r="68" spans="1:10" x14ac:dyDescent="0.3">
      <c r="A68" s="187"/>
      <c r="B68" s="181"/>
      <c r="C68" s="181"/>
      <c r="D68" s="181"/>
      <c r="E68" s="181"/>
      <c r="F68" s="181"/>
      <c r="G68" s="181"/>
      <c r="H68" s="181"/>
      <c r="I68" s="181"/>
      <c r="J68" s="181"/>
    </row>
  </sheetData>
  <mergeCells count="11">
    <mergeCell ref="A1:R1"/>
    <mergeCell ref="A2:R2"/>
    <mergeCell ref="A3:R3"/>
    <mergeCell ref="A18:R18"/>
    <mergeCell ref="A19:R19"/>
    <mergeCell ref="A53:R53"/>
    <mergeCell ref="A34:R34"/>
    <mergeCell ref="A35:R35"/>
    <mergeCell ref="A50:R50"/>
    <mergeCell ref="A51:R51"/>
    <mergeCell ref="A52:R52"/>
  </mergeCells>
  <pageMargins left="0" right="0" top="0.75" bottom="0.75" header="0.3" footer="0.3"/>
  <pageSetup scale="63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4"/>
  <dimension ref="A1:R68"/>
  <sheetViews>
    <sheetView showGridLines="0" zoomScaleNormal="100" workbookViewId="0">
      <pane ySplit="1" topLeftCell="A2" activePane="bottomLeft" state="frozen"/>
      <selection pane="bottomLeft" sqref="A1:R1"/>
    </sheetView>
  </sheetViews>
  <sheetFormatPr defaultColWidth="12.5546875" defaultRowHeight="14.4" x14ac:dyDescent="0.3"/>
  <cols>
    <col min="1" max="1" width="12.5546875" style="180"/>
    <col min="2" max="17" width="13.5546875" style="173" customWidth="1"/>
    <col min="18" max="18" width="13.5546875" style="145" customWidth="1"/>
    <col min="19" max="16384" width="12.5546875" style="173"/>
  </cols>
  <sheetData>
    <row r="1" spans="1:18" s="112" customFormat="1" ht="21" x14ac:dyDescent="0.3">
      <c r="A1" s="380" t="s">
        <v>214</v>
      </c>
      <c r="B1" s="380"/>
      <c r="C1" s="380"/>
      <c r="D1" s="380"/>
      <c r="E1" s="380"/>
      <c r="F1" s="380"/>
      <c r="G1" s="380"/>
      <c r="H1" s="380"/>
      <c r="I1" s="380"/>
      <c r="J1" s="380"/>
      <c r="K1" s="380"/>
      <c r="L1" s="380"/>
      <c r="M1" s="380"/>
      <c r="N1" s="380"/>
      <c r="O1" s="380"/>
      <c r="P1" s="380"/>
      <c r="Q1" s="380"/>
      <c r="R1" s="380"/>
    </row>
    <row r="2" spans="1:18" s="106" customFormat="1" ht="18" x14ac:dyDescent="0.3">
      <c r="A2" s="381" t="str">
        <f>'Local SUT'!A2</f>
        <v>CY 2004-2020</v>
      </c>
      <c r="B2" s="381"/>
      <c r="C2" s="381"/>
      <c r="D2" s="381"/>
      <c r="E2" s="381"/>
      <c r="F2" s="381"/>
      <c r="G2" s="381"/>
      <c r="H2" s="381"/>
      <c r="I2" s="381"/>
      <c r="J2" s="381"/>
      <c r="K2" s="381"/>
      <c r="L2" s="381"/>
      <c r="M2" s="381"/>
      <c r="N2" s="381"/>
      <c r="O2" s="381"/>
      <c r="P2" s="381"/>
      <c r="Q2" s="381"/>
      <c r="R2" s="381"/>
    </row>
    <row r="3" spans="1:18" s="106" customFormat="1" ht="18" x14ac:dyDescent="0.3">
      <c r="A3" s="370" t="s">
        <v>64</v>
      </c>
      <c r="B3" s="370"/>
      <c r="C3" s="370"/>
      <c r="D3" s="370"/>
      <c r="E3" s="370"/>
      <c r="F3" s="370"/>
      <c r="G3" s="370"/>
      <c r="H3" s="370"/>
      <c r="I3" s="370"/>
      <c r="J3" s="370"/>
      <c r="K3" s="370"/>
      <c r="L3" s="370"/>
      <c r="M3" s="370"/>
      <c r="N3" s="370"/>
      <c r="O3" s="370"/>
      <c r="P3" s="370"/>
      <c r="Q3" s="370"/>
      <c r="R3" s="370"/>
    </row>
    <row r="4" spans="1:18" s="63" customFormat="1" ht="15.6" x14ac:dyDescent="0.3">
      <c r="A4" s="77" t="s">
        <v>23</v>
      </c>
      <c r="B4" s="91">
        <v>2004</v>
      </c>
      <c r="C4" s="64">
        <v>2005</v>
      </c>
      <c r="D4" s="64">
        <v>2006</v>
      </c>
      <c r="E4" s="64">
        <v>2007</v>
      </c>
      <c r="F4" s="64">
        <v>2008</v>
      </c>
      <c r="G4" s="64">
        <v>2009</v>
      </c>
      <c r="H4" s="64">
        <v>2010</v>
      </c>
      <c r="I4" s="64">
        <v>2011</v>
      </c>
      <c r="J4" s="65">
        <v>2012</v>
      </c>
      <c r="K4" s="65">
        <v>2013</v>
      </c>
      <c r="L4" s="65">
        <v>2014</v>
      </c>
      <c r="M4" s="65">
        <v>2015</v>
      </c>
      <c r="N4" s="65">
        <v>2016</v>
      </c>
      <c r="O4" s="65">
        <v>2017</v>
      </c>
      <c r="P4" s="65">
        <v>2018</v>
      </c>
      <c r="Q4" s="65">
        <v>2019</v>
      </c>
      <c r="R4" s="49">
        <v>2020</v>
      </c>
    </row>
    <row r="5" spans="1:18" s="63" customFormat="1" ht="15.6" x14ac:dyDescent="0.3">
      <c r="A5" s="76" t="s">
        <v>24</v>
      </c>
      <c r="B5" s="278">
        <v>1312376.56</v>
      </c>
      <c r="C5" s="272">
        <v>1356465.65</v>
      </c>
      <c r="D5" s="271">
        <v>1340814.8999999999</v>
      </c>
      <c r="E5" s="271">
        <f>1377305.68-27</f>
        <v>1377278.68</v>
      </c>
      <c r="F5" s="271">
        <v>1374414.98</v>
      </c>
      <c r="G5" s="271">
        <v>1388167</v>
      </c>
      <c r="H5" s="271">
        <v>1368929</v>
      </c>
      <c r="I5" s="271">
        <v>1374216</v>
      </c>
      <c r="J5" s="271">
        <v>1488910</v>
      </c>
      <c r="K5" s="271">
        <v>1366013</v>
      </c>
      <c r="L5" s="271">
        <v>1468413</v>
      </c>
      <c r="M5" s="271">
        <v>1607734</v>
      </c>
      <c r="N5" s="271">
        <v>1558898</v>
      </c>
      <c r="O5" s="271">
        <v>1602944</v>
      </c>
      <c r="P5" s="271">
        <v>1573855</v>
      </c>
      <c r="Q5" s="271">
        <v>1618796</v>
      </c>
      <c r="R5" s="286">
        <v>1687941</v>
      </c>
    </row>
    <row r="6" spans="1:18" s="63" customFormat="1" ht="15.6" x14ac:dyDescent="0.3">
      <c r="A6" s="75" t="s">
        <v>25</v>
      </c>
      <c r="B6" s="195">
        <v>983480.2</v>
      </c>
      <c r="C6" s="189">
        <v>1177867.95</v>
      </c>
      <c r="D6" s="188">
        <v>1067704.17</v>
      </c>
      <c r="E6" s="188">
        <f>1129711.57-6</f>
        <v>1129705.57</v>
      </c>
      <c r="F6" s="188">
        <f>1142243.38+96</f>
        <v>1142339.3799999999</v>
      </c>
      <c r="G6" s="188">
        <v>1225212</v>
      </c>
      <c r="H6" s="188">
        <v>1114649</v>
      </c>
      <c r="I6" s="188">
        <v>1057124</v>
      </c>
      <c r="J6" s="188">
        <v>1046353</v>
      </c>
      <c r="K6" s="66">
        <v>1200855</v>
      </c>
      <c r="L6" s="66">
        <v>1241770</v>
      </c>
      <c r="M6" s="66">
        <v>1267419</v>
      </c>
      <c r="N6" s="66">
        <v>1392758</v>
      </c>
      <c r="O6" s="66">
        <v>1309332</v>
      </c>
      <c r="P6" s="66">
        <v>1358359</v>
      </c>
      <c r="Q6" s="66">
        <v>1382102</v>
      </c>
      <c r="R6" s="287">
        <v>1437083</v>
      </c>
    </row>
    <row r="7" spans="1:18" s="63" customFormat="1" ht="15.6" x14ac:dyDescent="0.3">
      <c r="A7" s="75" t="s">
        <v>26</v>
      </c>
      <c r="B7" s="195">
        <v>963927.76</v>
      </c>
      <c r="C7" s="189">
        <v>915264.16</v>
      </c>
      <c r="D7" s="188">
        <v>980289.09</v>
      </c>
      <c r="E7" s="188">
        <f>1021663.68+24</f>
        <v>1021687.68</v>
      </c>
      <c r="F7" s="188">
        <f>1100351.64+1685</f>
        <v>1102036.6399999999</v>
      </c>
      <c r="G7" s="188">
        <v>1130208</v>
      </c>
      <c r="H7" s="188">
        <v>1067802</v>
      </c>
      <c r="I7" s="188">
        <v>1134859</v>
      </c>
      <c r="J7" s="188">
        <v>1057577</v>
      </c>
      <c r="K7" s="66">
        <v>1151555</v>
      </c>
      <c r="L7" s="66">
        <v>1137542</v>
      </c>
      <c r="M7" s="66">
        <v>1210492</v>
      </c>
      <c r="N7" s="66">
        <v>1376792</v>
      </c>
      <c r="O7" s="66">
        <v>1307732</v>
      </c>
      <c r="P7" s="66">
        <v>1431475</v>
      </c>
      <c r="Q7" s="66">
        <v>1286915</v>
      </c>
      <c r="R7" s="287">
        <v>1360158</v>
      </c>
    </row>
    <row r="8" spans="1:18" s="63" customFormat="1" ht="15.6" x14ac:dyDescent="0.3">
      <c r="A8" s="75" t="s">
        <v>27</v>
      </c>
      <c r="B8" s="195">
        <v>1110732.3899999999</v>
      </c>
      <c r="C8" s="189">
        <v>1103057.6200000001</v>
      </c>
      <c r="D8" s="188">
        <v>1158970.6499999999</v>
      </c>
      <c r="E8" s="188">
        <v>1275167.55</v>
      </c>
      <c r="F8" s="188">
        <f>1187829.37-428</f>
        <v>1187401.3700000001</v>
      </c>
      <c r="G8" s="188">
        <v>1227773</v>
      </c>
      <c r="H8" s="188">
        <v>1241784</v>
      </c>
      <c r="I8" s="188">
        <v>1219101</v>
      </c>
      <c r="J8" s="188">
        <v>1270920</v>
      </c>
      <c r="K8" s="66">
        <v>1390082</v>
      </c>
      <c r="L8" s="66">
        <v>1350310</v>
      </c>
      <c r="M8" s="66">
        <v>1444444</v>
      </c>
      <c r="N8" s="66">
        <v>1440900</v>
      </c>
      <c r="O8" s="66">
        <v>1575295</v>
      </c>
      <c r="P8" s="66">
        <v>1539578</v>
      </c>
      <c r="Q8" s="66">
        <v>1542300</v>
      </c>
      <c r="R8" s="287">
        <v>1349921</v>
      </c>
    </row>
    <row r="9" spans="1:18" s="63" customFormat="1" ht="15.6" x14ac:dyDescent="0.3">
      <c r="A9" s="75" t="s">
        <v>28</v>
      </c>
      <c r="B9" s="195">
        <v>997742</v>
      </c>
      <c r="C9" s="189">
        <v>1038423.46</v>
      </c>
      <c r="D9" s="188">
        <v>1039421.45</v>
      </c>
      <c r="E9" s="188">
        <f>1113108.94-1</f>
        <v>1113107.94</v>
      </c>
      <c r="F9" s="188">
        <f>1137439.3-2941</f>
        <v>1134498.3</v>
      </c>
      <c r="G9" s="188">
        <v>1047375</v>
      </c>
      <c r="H9" s="188">
        <v>1072048</v>
      </c>
      <c r="I9" s="188">
        <v>1149764</v>
      </c>
      <c r="J9" s="188">
        <v>1088384</v>
      </c>
      <c r="K9" s="66">
        <v>1205003</v>
      </c>
      <c r="L9" s="66">
        <v>1260981</v>
      </c>
      <c r="M9" s="66">
        <v>1311579</v>
      </c>
      <c r="N9" s="66">
        <v>1321384</v>
      </c>
      <c r="O9" s="66">
        <v>1376014</v>
      </c>
      <c r="P9" s="66">
        <v>1215101</v>
      </c>
      <c r="Q9" s="66">
        <v>1561304</v>
      </c>
      <c r="R9" s="287">
        <v>1066863</v>
      </c>
    </row>
    <row r="10" spans="1:18" s="63" customFormat="1" ht="15.6" x14ac:dyDescent="0.3">
      <c r="A10" s="75" t="s">
        <v>29</v>
      </c>
      <c r="B10" s="195">
        <v>975375.18</v>
      </c>
      <c r="C10" s="189">
        <v>1095791.1100000001</v>
      </c>
      <c r="D10" s="188">
        <v>1130306.46</v>
      </c>
      <c r="E10" s="188">
        <f>1183318.23+4085</f>
        <v>1187403.23</v>
      </c>
      <c r="F10" s="188">
        <f>1161628.52-4</f>
        <v>1161624.52</v>
      </c>
      <c r="G10" s="188">
        <v>1091109</v>
      </c>
      <c r="H10" s="188">
        <v>1077570</v>
      </c>
      <c r="I10" s="188">
        <v>1234276</v>
      </c>
      <c r="J10" s="188">
        <v>1088644</v>
      </c>
      <c r="K10" s="66">
        <v>1251218</v>
      </c>
      <c r="L10" s="66">
        <v>1304143</v>
      </c>
      <c r="M10" s="66">
        <v>1326827</v>
      </c>
      <c r="N10" s="66">
        <v>1334614</v>
      </c>
      <c r="O10" s="66">
        <v>1390428</v>
      </c>
      <c r="P10" s="66">
        <v>1405119</v>
      </c>
      <c r="Q10" s="66">
        <v>1474151</v>
      </c>
      <c r="R10" s="287">
        <v>1150823</v>
      </c>
    </row>
    <row r="11" spans="1:18" s="63" customFormat="1" ht="15.6" x14ac:dyDescent="0.3">
      <c r="A11" s="75" t="s">
        <v>30</v>
      </c>
      <c r="B11" s="195">
        <v>1000090.29</v>
      </c>
      <c r="C11" s="189">
        <v>892511.15</v>
      </c>
      <c r="D11" s="188">
        <v>931454.16</v>
      </c>
      <c r="E11" s="188">
        <f>1026554.5-598</f>
        <v>1025956.5</v>
      </c>
      <c r="F11" s="188">
        <v>1030033.26</v>
      </c>
      <c r="G11" s="188">
        <v>915103</v>
      </c>
      <c r="H11" s="188">
        <v>1094634</v>
      </c>
      <c r="I11" s="188">
        <v>1079680</v>
      </c>
      <c r="J11" s="66">
        <v>1200273</v>
      </c>
      <c r="K11" s="66">
        <v>1220258</v>
      </c>
      <c r="L11" s="66">
        <v>1251944</v>
      </c>
      <c r="M11" s="66">
        <v>1199320</v>
      </c>
      <c r="N11" s="66">
        <v>1301560</v>
      </c>
      <c r="O11" s="66">
        <v>1376567</v>
      </c>
      <c r="P11" s="66">
        <v>1370558</v>
      </c>
      <c r="Q11" s="66">
        <v>1422243</v>
      </c>
      <c r="R11" s="291" t="s">
        <v>152</v>
      </c>
    </row>
    <row r="12" spans="1:18" s="63" customFormat="1" ht="15.6" x14ac:dyDescent="0.3">
      <c r="A12" s="75" t="s">
        <v>31</v>
      </c>
      <c r="B12" s="195">
        <v>1250286.71</v>
      </c>
      <c r="C12" s="189">
        <v>1429811.1</v>
      </c>
      <c r="D12" s="188">
        <v>1377760.23</v>
      </c>
      <c r="E12" s="188">
        <v>1376431.45</v>
      </c>
      <c r="F12" s="188">
        <f>1407938.16-5570</f>
        <v>1402368.16</v>
      </c>
      <c r="G12" s="188">
        <v>1392569</v>
      </c>
      <c r="H12" s="188">
        <v>1274860</v>
      </c>
      <c r="I12" s="188">
        <v>1195339</v>
      </c>
      <c r="J12" s="66">
        <v>1368627</v>
      </c>
      <c r="K12" s="66">
        <v>1479374</v>
      </c>
      <c r="L12" s="66">
        <v>1503225</v>
      </c>
      <c r="M12" s="66">
        <v>1543570</v>
      </c>
      <c r="N12" s="66">
        <v>1604046</v>
      </c>
      <c r="O12" s="66">
        <v>1573914</v>
      </c>
      <c r="P12" s="66">
        <v>1558482</v>
      </c>
      <c r="Q12" s="66">
        <v>1800854</v>
      </c>
      <c r="R12" s="295" t="s">
        <v>152</v>
      </c>
    </row>
    <row r="13" spans="1:18" s="63" customFormat="1" ht="15.6" x14ac:dyDescent="0.3">
      <c r="A13" s="75" t="s">
        <v>32</v>
      </c>
      <c r="B13" s="195">
        <v>1063057.28</v>
      </c>
      <c r="C13" s="189">
        <v>1062135.07</v>
      </c>
      <c r="D13" s="188">
        <v>1175389.78</v>
      </c>
      <c r="E13" s="188">
        <v>1183749.5900000001</v>
      </c>
      <c r="F13" s="188">
        <f>1144010.2-11</f>
        <v>1143999.2</v>
      </c>
      <c r="G13" s="188">
        <v>1064165</v>
      </c>
      <c r="H13" s="188">
        <v>1188472</v>
      </c>
      <c r="I13" s="188">
        <v>1345639</v>
      </c>
      <c r="J13" s="66">
        <v>1191010</v>
      </c>
      <c r="K13" s="66">
        <v>1312396</v>
      </c>
      <c r="L13" s="66">
        <v>1311647</v>
      </c>
      <c r="M13" s="66">
        <v>1402853</v>
      </c>
      <c r="N13" s="66">
        <v>1481448</v>
      </c>
      <c r="O13" s="66">
        <v>1573603</v>
      </c>
      <c r="P13" s="66">
        <v>1454134</v>
      </c>
      <c r="Q13" s="66">
        <v>1574210</v>
      </c>
      <c r="R13" s="295" t="s">
        <v>152</v>
      </c>
    </row>
    <row r="14" spans="1:18" s="63" customFormat="1" ht="15.6" x14ac:dyDescent="0.3">
      <c r="A14" s="75" t="s">
        <v>33</v>
      </c>
      <c r="B14" s="195">
        <v>1093259.7</v>
      </c>
      <c r="C14" s="189">
        <v>1176298.99</v>
      </c>
      <c r="D14" s="188">
        <v>1173723.1399999999</v>
      </c>
      <c r="E14" s="188">
        <f>1204154.24+183</f>
        <v>1204337.24</v>
      </c>
      <c r="F14" s="188">
        <f>1296903.5+3195+9852.46+398-357</f>
        <v>1309991.96</v>
      </c>
      <c r="G14" s="188">
        <v>1361192</v>
      </c>
      <c r="H14" s="188">
        <v>1277186</v>
      </c>
      <c r="I14" s="188">
        <v>1233211</v>
      </c>
      <c r="J14" s="66">
        <v>1202274</v>
      </c>
      <c r="K14" s="66">
        <v>1381553</v>
      </c>
      <c r="L14" s="66">
        <v>1253702</v>
      </c>
      <c r="M14" s="66">
        <v>1457247</v>
      </c>
      <c r="N14" s="66">
        <v>1447198</v>
      </c>
      <c r="O14" s="66">
        <v>1498818</v>
      </c>
      <c r="P14" s="66">
        <v>1515806</v>
      </c>
      <c r="Q14" s="66">
        <v>1639573</v>
      </c>
      <c r="R14" s="295" t="s">
        <v>152</v>
      </c>
    </row>
    <row r="15" spans="1:18" s="63" customFormat="1" ht="15.6" x14ac:dyDescent="0.3">
      <c r="A15" s="75" t="s">
        <v>34</v>
      </c>
      <c r="B15" s="195">
        <v>1034784.81</v>
      </c>
      <c r="C15" s="189">
        <v>1138431.76</v>
      </c>
      <c r="D15" s="188">
        <v>1165857.1399999999</v>
      </c>
      <c r="E15" s="188">
        <v>1197971.81</v>
      </c>
      <c r="F15" s="188" t="s">
        <v>60</v>
      </c>
      <c r="G15" s="188">
        <v>1130780</v>
      </c>
      <c r="H15" s="188">
        <v>1147169</v>
      </c>
      <c r="I15" s="188">
        <v>1361358</v>
      </c>
      <c r="J15" s="66">
        <v>1395399</v>
      </c>
      <c r="K15" s="66">
        <v>1378419</v>
      </c>
      <c r="L15" s="66">
        <v>1373448</v>
      </c>
      <c r="M15" s="66">
        <v>1419446</v>
      </c>
      <c r="N15" s="66">
        <v>1488561</v>
      </c>
      <c r="O15" s="66">
        <v>1386620</v>
      </c>
      <c r="P15" s="66">
        <v>1635312</v>
      </c>
      <c r="Q15" s="66">
        <v>1666725</v>
      </c>
      <c r="R15" s="295" t="s">
        <v>152</v>
      </c>
    </row>
    <row r="16" spans="1:18" s="63" customFormat="1" ht="16.2" thickBot="1" x14ac:dyDescent="0.35">
      <c r="A16" s="88" t="s">
        <v>36</v>
      </c>
      <c r="B16" s="196">
        <v>993452.96</v>
      </c>
      <c r="C16" s="190">
        <v>1050766.31</v>
      </c>
      <c r="D16" s="190">
        <v>1113168.3700000001</v>
      </c>
      <c r="E16" s="190">
        <f>1131496.45+66</f>
        <v>1131562.45</v>
      </c>
      <c r="F16" s="190">
        <v>2095423</v>
      </c>
      <c r="G16" s="191">
        <v>1064390</v>
      </c>
      <c r="H16" s="191">
        <v>1106381</v>
      </c>
      <c r="I16" s="191">
        <v>1111783</v>
      </c>
      <c r="J16" s="71">
        <v>1123528</v>
      </c>
      <c r="K16" s="71">
        <v>1340969</v>
      </c>
      <c r="L16" s="71">
        <v>1199320</v>
      </c>
      <c r="M16" s="71">
        <v>1435608</v>
      </c>
      <c r="N16" s="71">
        <v>1325433</v>
      </c>
      <c r="O16" s="71">
        <v>1521852</v>
      </c>
      <c r="P16" s="71">
        <v>1575402</v>
      </c>
      <c r="Q16" s="71">
        <v>1459848</v>
      </c>
      <c r="R16" s="292" t="s">
        <v>152</v>
      </c>
    </row>
    <row r="17" spans="1:18" s="63" customFormat="1" ht="16.2" thickTop="1" x14ac:dyDescent="0.3">
      <c r="A17" s="199" t="s">
        <v>37</v>
      </c>
      <c r="B17" s="277">
        <f t="shared" ref="B17:P17" si="0">SUM(B5:B16)</f>
        <v>12778565.84</v>
      </c>
      <c r="C17" s="273">
        <f t="shared" si="0"/>
        <v>13436824.330000002</v>
      </c>
      <c r="D17" s="273">
        <f t="shared" si="0"/>
        <v>13654859.539999999</v>
      </c>
      <c r="E17" s="273">
        <f t="shared" si="0"/>
        <v>14224359.689999999</v>
      </c>
      <c r="F17" s="273">
        <f t="shared" si="0"/>
        <v>14084130.77</v>
      </c>
      <c r="G17" s="273">
        <f t="shared" si="0"/>
        <v>14038043</v>
      </c>
      <c r="H17" s="273">
        <f t="shared" si="0"/>
        <v>14031484</v>
      </c>
      <c r="I17" s="273">
        <f t="shared" si="0"/>
        <v>14496350</v>
      </c>
      <c r="J17" s="273">
        <f t="shared" si="0"/>
        <v>14521899</v>
      </c>
      <c r="K17" s="273">
        <f t="shared" si="0"/>
        <v>15677695</v>
      </c>
      <c r="L17" s="273">
        <f t="shared" si="0"/>
        <v>15656445</v>
      </c>
      <c r="M17" s="273">
        <f t="shared" si="0"/>
        <v>16626539</v>
      </c>
      <c r="N17" s="273">
        <f t="shared" si="0"/>
        <v>17073592</v>
      </c>
      <c r="O17" s="273">
        <f t="shared" si="0"/>
        <v>17493119</v>
      </c>
      <c r="P17" s="273">
        <f t="shared" si="0"/>
        <v>17633181</v>
      </c>
      <c r="Q17" s="273">
        <f t="shared" ref="Q17" si="1">SUM(Q5:Q16)</f>
        <v>18429021</v>
      </c>
      <c r="R17" s="288">
        <f t="shared" ref="R17" si="2">SUM(R5:R16)</f>
        <v>8052789</v>
      </c>
    </row>
    <row r="18" spans="1:18" s="113" customFormat="1" ht="6.6" x14ac:dyDescent="0.3">
      <c r="A18" s="392" t="s">
        <v>174</v>
      </c>
      <c r="B18" s="392"/>
      <c r="C18" s="392"/>
      <c r="D18" s="392"/>
      <c r="E18" s="392"/>
      <c r="F18" s="392"/>
      <c r="G18" s="392"/>
      <c r="H18" s="392"/>
      <c r="I18" s="392"/>
      <c r="J18" s="392"/>
      <c r="K18" s="392"/>
      <c r="L18" s="392"/>
      <c r="M18" s="392"/>
      <c r="N18" s="392"/>
      <c r="O18" s="392"/>
      <c r="P18" s="392"/>
      <c r="Q18" s="392"/>
      <c r="R18" s="392"/>
    </row>
    <row r="19" spans="1:18" s="106" customFormat="1" ht="18" x14ac:dyDescent="0.3">
      <c r="A19" s="370" t="s">
        <v>65</v>
      </c>
      <c r="B19" s="370"/>
      <c r="C19" s="370"/>
      <c r="D19" s="370"/>
      <c r="E19" s="370"/>
      <c r="F19" s="370"/>
      <c r="G19" s="370"/>
      <c r="H19" s="370"/>
      <c r="I19" s="370"/>
      <c r="J19" s="370"/>
      <c r="K19" s="370"/>
      <c r="L19" s="370"/>
      <c r="M19" s="370"/>
      <c r="N19" s="370"/>
      <c r="O19" s="370"/>
      <c r="P19" s="370"/>
      <c r="Q19" s="370"/>
      <c r="R19" s="370"/>
    </row>
    <row r="20" spans="1:18" s="63" customFormat="1" ht="15.6" x14ac:dyDescent="0.3">
      <c r="A20" s="77" t="s">
        <v>23</v>
      </c>
      <c r="B20" s="91">
        <v>2004</v>
      </c>
      <c r="C20" s="64">
        <v>2005</v>
      </c>
      <c r="D20" s="64">
        <v>2006</v>
      </c>
      <c r="E20" s="64">
        <v>2007</v>
      </c>
      <c r="F20" s="64">
        <v>2008</v>
      </c>
      <c r="G20" s="64">
        <v>2009</v>
      </c>
      <c r="H20" s="64">
        <v>2010</v>
      </c>
      <c r="I20" s="64">
        <v>2011</v>
      </c>
      <c r="J20" s="65">
        <v>2012</v>
      </c>
      <c r="K20" s="65">
        <v>2013</v>
      </c>
      <c r="L20" s="65">
        <v>2014</v>
      </c>
      <c r="M20" s="65">
        <v>2015</v>
      </c>
      <c r="N20" s="65">
        <v>2016</v>
      </c>
      <c r="O20" s="65">
        <v>2017</v>
      </c>
      <c r="P20" s="65">
        <v>2018</v>
      </c>
      <c r="Q20" s="65">
        <v>2019</v>
      </c>
      <c r="R20" s="49">
        <v>2020</v>
      </c>
    </row>
    <row r="21" spans="1:18" s="63" customFormat="1" ht="15.6" x14ac:dyDescent="0.3">
      <c r="A21" s="76" t="s">
        <v>24</v>
      </c>
      <c r="B21" s="278">
        <v>81784</v>
      </c>
      <c r="C21" s="272">
        <v>154380.82</v>
      </c>
      <c r="D21" s="271">
        <v>225259.28</v>
      </c>
      <c r="E21" s="271">
        <v>192454.68</v>
      </c>
      <c r="F21" s="271">
        <v>92062.62</v>
      </c>
      <c r="G21" s="271">
        <v>198581</v>
      </c>
      <c r="H21" s="271">
        <v>665548</v>
      </c>
      <c r="I21" s="271">
        <v>146277</v>
      </c>
      <c r="J21" s="271">
        <v>152910</v>
      </c>
      <c r="K21" s="271">
        <v>213208</v>
      </c>
      <c r="L21" s="271">
        <v>174049</v>
      </c>
      <c r="M21" s="271">
        <v>255741</v>
      </c>
      <c r="N21" s="271">
        <v>187288</v>
      </c>
      <c r="O21" s="271">
        <v>141296</v>
      </c>
      <c r="P21" s="271">
        <v>154691</v>
      </c>
      <c r="Q21" s="271">
        <v>192333</v>
      </c>
      <c r="R21" s="286">
        <v>155553</v>
      </c>
    </row>
    <row r="22" spans="1:18" s="63" customFormat="1" ht="15.6" x14ac:dyDescent="0.3">
      <c r="A22" s="75" t="s">
        <v>25</v>
      </c>
      <c r="B22" s="195">
        <v>119037</v>
      </c>
      <c r="C22" s="189">
        <v>136050.49</v>
      </c>
      <c r="D22" s="188">
        <v>114288.75</v>
      </c>
      <c r="E22" s="188">
        <v>163053.07999999999</v>
      </c>
      <c r="F22" s="188">
        <f>65245.49-128</f>
        <v>65117.49</v>
      </c>
      <c r="G22" s="188">
        <v>175901</v>
      </c>
      <c r="H22" s="188">
        <v>118546</v>
      </c>
      <c r="I22" s="188">
        <v>116552</v>
      </c>
      <c r="J22" s="188">
        <v>159234</v>
      </c>
      <c r="K22" s="66">
        <v>166669</v>
      </c>
      <c r="L22" s="66">
        <v>783075</v>
      </c>
      <c r="M22" s="66">
        <v>164283</v>
      </c>
      <c r="N22" s="66">
        <v>194751</v>
      </c>
      <c r="O22" s="66">
        <v>88693</v>
      </c>
      <c r="P22" s="66">
        <v>166418</v>
      </c>
      <c r="Q22" s="66">
        <v>177969</v>
      </c>
      <c r="R22" s="287">
        <v>168163</v>
      </c>
    </row>
    <row r="23" spans="1:18" s="63" customFormat="1" ht="15.6" x14ac:dyDescent="0.3">
      <c r="A23" s="75" t="s">
        <v>26</v>
      </c>
      <c r="B23" s="195">
        <v>226635.92</v>
      </c>
      <c r="C23" s="189">
        <v>85248.94</v>
      </c>
      <c r="D23" s="188">
        <v>101592.36</v>
      </c>
      <c r="E23" s="188">
        <v>66245.16</v>
      </c>
      <c r="F23" s="188">
        <v>60501.91</v>
      </c>
      <c r="G23" s="188">
        <v>143339</v>
      </c>
      <c r="H23" s="188">
        <v>114570</v>
      </c>
      <c r="I23" s="188">
        <v>140276</v>
      </c>
      <c r="J23" s="188">
        <v>140471</v>
      </c>
      <c r="K23" s="66">
        <v>107411</v>
      </c>
      <c r="L23" s="66">
        <v>143663</v>
      </c>
      <c r="M23" s="66">
        <v>129748</v>
      </c>
      <c r="N23" s="66">
        <v>128299</v>
      </c>
      <c r="O23" s="66">
        <v>144440</v>
      </c>
      <c r="P23" s="66">
        <v>144246</v>
      </c>
      <c r="Q23" s="66">
        <v>137863</v>
      </c>
      <c r="R23" s="287">
        <v>146409</v>
      </c>
    </row>
    <row r="24" spans="1:18" s="63" customFormat="1" ht="15.6" x14ac:dyDescent="0.3">
      <c r="A24" s="75" t="s">
        <v>27</v>
      </c>
      <c r="B24" s="195">
        <v>113324.23</v>
      </c>
      <c r="C24" s="189">
        <v>111813.35</v>
      </c>
      <c r="D24" s="188">
        <v>108819.27</v>
      </c>
      <c r="E24" s="188">
        <v>554756.87</v>
      </c>
      <c r="F24" s="188">
        <f>72188.68+428</f>
        <v>72616.679999999993</v>
      </c>
      <c r="G24" s="188">
        <v>150917</v>
      </c>
      <c r="H24" s="188">
        <v>108087</v>
      </c>
      <c r="I24" s="188">
        <v>176772</v>
      </c>
      <c r="J24" s="188">
        <v>288715</v>
      </c>
      <c r="K24" s="66">
        <v>110632</v>
      </c>
      <c r="L24" s="66">
        <v>111851</v>
      </c>
      <c r="M24" s="66">
        <v>136169</v>
      </c>
      <c r="N24" s="66">
        <v>292247</v>
      </c>
      <c r="O24" s="66">
        <v>66580</v>
      </c>
      <c r="P24" s="66">
        <v>131983</v>
      </c>
      <c r="Q24" s="66">
        <v>132426</v>
      </c>
      <c r="R24" s="287">
        <v>156359</v>
      </c>
    </row>
    <row r="25" spans="1:18" s="63" customFormat="1" ht="15.6" x14ac:dyDescent="0.3">
      <c r="A25" s="75" t="s">
        <v>28</v>
      </c>
      <c r="B25" s="195">
        <v>87583.06</v>
      </c>
      <c r="C25" s="189">
        <v>120276.3</v>
      </c>
      <c r="D25" s="188">
        <v>79516.710000000006</v>
      </c>
      <c r="E25" s="188">
        <v>74652.86</v>
      </c>
      <c r="F25" s="188">
        <v>471543.71</v>
      </c>
      <c r="G25" s="188">
        <v>168547</v>
      </c>
      <c r="H25" s="188">
        <v>118352</v>
      </c>
      <c r="I25" s="188">
        <v>155655</v>
      </c>
      <c r="J25" s="188">
        <v>181516</v>
      </c>
      <c r="K25" s="66">
        <v>149559</v>
      </c>
      <c r="L25" s="66">
        <v>91665</v>
      </c>
      <c r="M25" s="66">
        <v>137530</v>
      </c>
      <c r="N25" s="66">
        <v>149449</v>
      </c>
      <c r="O25" s="66">
        <v>201378</v>
      </c>
      <c r="P25" s="66">
        <v>132694</v>
      </c>
      <c r="Q25" s="66">
        <v>160836</v>
      </c>
      <c r="R25" s="287">
        <v>129697</v>
      </c>
    </row>
    <row r="26" spans="1:18" s="63" customFormat="1" ht="15.6" x14ac:dyDescent="0.3">
      <c r="A26" s="75" t="s">
        <v>29</v>
      </c>
      <c r="B26" s="195">
        <v>94141.91</v>
      </c>
      <c r="C26" s="189">
        <v>101936.52</v>
      </c>
      <c r="D26" s="188">
        <v>161320</v>
      </c>
      <c r="E26" s="188">
        <f>-179665.49+45</f>
        <v>-179620.49</v>
      </c>
      <c r="F26" s="188">
        <v>40486.83</v>
      </c>
      <c r="G26" s="188">
        <v>102012</v>
      </c>
      <c r="H26" s="188">
        <v>95005</v>
      </c>
      <c r="I26" s="188">
        <v>118404</v>
      </c>
      <c r="J26" s="188">
        <v>163448</v>
      </c>
      <c r="K26" s="66">
        <v>163741</v>
      </c>
      <c r="L26" s="66">
        <v>161755</v>
      </c>
      <c r="M26" s="66">
        <v>128923</v>
      </c>
      <c r="N26" s="66">
        <v>65267</v>
      </c>
      <c r="O26" s="66">
        <v>164001</v>
      </c>
      <c r="P26" s="66">
        <v>144673</v>
      </c>
      <c r="Q26" s="66">
        <v>174614</v>
      </c>
      <c r="R26" s="287">
        <v>217190</v>
      </c>
    </row>
    <row r="27" spans="1:18" s="63" customFormat="1" ht="15.6" x14ac:dyDescent="0.3">
      <c r="A27" s="75" t="s">
        <v>30</v>
      </c>
      <c r="B27" s="195">
        <v>189210.26</v>
      </c>
      <c r="C27" s="189">
        <v>147543.29999999999</v>
      </c>
      <c r="D27" s="188">
        <v>279437.25</v>
      </c>
      <c r="E27" s="188">
        <v>241274.02</v>
      </c>
      <c r="F27" s="188">
        <v>136018.88</v>
      </c>
      <c r="G27" s="188">
        <v>174388</v>
      </c>
      <c r="H27" s="188">
        <v>191647</v>
      </c>
      <c r="I27" s="188">
        <v>185501</v>
      </c>
      <c r="J27" s="66">
        <v>146654</v>
      </c>
      <c r="K27" s="66">
        <v>194565</v>
      </c>
      <c r="L27" s="66">
        <v>202429</v>
      </c>
      <c r="M27" s="66">
        <v>149496</v>
      </c>
      <c r="N27" s="66">
        <v>188536</v>
      </c>
      <c r="O27" s="66">
        <v>152107</v>
      </c>
      <c r="P27" s="66">
        <v>163547</v>
      </c>
      <c r="Q27" s="66">
        <v>157480</v>
      </c>
      <c r="R27" s="295" t="s">
        <v>152</v>
      </c>
    </row>
    <row r="28" spans="1:18" s="63" customFormat="1" ht="15.6" x14ac:dyDescent="0.3">
      <c r="A28" s="75" t="s">
        <v>31</v>
      </c>
      <c r="B28" s="195">
        <v>127704.82</v>
      </c>
      <c r="C28" s="189">
        <v>167217.25</v>
      </c>
      <c r="D28" s="188">
        <v>196380.29</v>
      </c>
      <c r="E28" s="188">
        <v>180514.32</v>
      </c>
      <c r="F28" s="188">
        <v>212702.01</v>
      </c>
      <c r="G28" s="188">
        <v>214397</v>
      </c>
      <c r="H28" s="188">
        <v>72735</v>
      </c>
      <c r="I28" s="188">
        <v>108234</v>
      </c>
      <c r="J28" s="66">
        <v>131308</v>
      </c>
      <c r="K28" s="66">
        <v>140407</v>
      </c>
      <c r="L28" s="66">
        <v>150740</v>
      </c>
      <c r="M28" s="66">
        <v>212596</v>
      </c>
      <c r="N28" s="66">
        <v>193002</v>
      </c>
      <c r="O28" s="66">
        <v>213155</v>
      </c>
      <c r="P28" s="66">
        <v>194715</v>
      </c>
      <c r="Q28" s="66">
        <v>-194758</v>
      </c>
      <c r="R28" s="295" t="s">
        <v>152</v>
      </c>
    </row>
    <row r="29" spans="1:18" s="63" customFormat="1" ht="15.6" x14ac:dyDescent="0.3">
      <c r="A29" s="75" t="s">
        <v>32</v>
      </c>
      <c r="B29" s="195">
        <v>113875.57</v>
      </c>
      <c r="C29" s="189">
        <v>142492.85999999999</v>
      </c>
      <c r="D29" s="188">
        <v>133291.35999999999</v>
      </c>
      <c r="E29" s="188">
        <v>199926.22</v>
      </c>
      <c r="F29" s="188">
        <v>141049.34</v>
      </c>
      <c r="G29" s="188">
        <v>126503</v>
      </c>
      <c r="H29" s="188">
        <v>115635</v>
      </c>
      <c r="I29" s="188">
        <v>300156</v>
      </c>
      <c r="J29" s="66">
        <v>147637</v>
      </c>
      <c r="K29" s="66">
        <v>124308</v>
      </c>
      <c r="L29" s="66">
        <v>197299</v>
      </c>
      <c r="M29" s="66">
        <v>164799</v>
      </c>
      <c r="N29" s="66">
        <v>159324</v>
      </c>
      <c r="O29" s="66">
        <v>192866</v>
      </c>
      <c r="P29" s="66">
        <v>146423</v>
      </c>
      <c r="Q29" s="66">
        <v>127649</v>
      </c>
      <c r="R29" s="295" t="s">
        <v>152</v>
      </c>
    </row>
    <row r="30" spans="1:18" s="63" customFormat="1" ht="15.6" x14ac:dyDescent="0.3">
      <c r="A30" s="75" t="s">
        <v>33</v>
      </c>
      <c r="B30" s="195">
        <v>115577.18</v>
      </c>
      <c r="C30" s="189">
        <v>133108.89000000001</v>
      </c>
      <c r="D30" s="188">
        <v>148263.92000000001</v>
      </c>
      <c r="E30" s="188">
        <f>157102.81+140</f>
        <v>157242.81</v>
      </c>
      <c r="F30" s="188">
        <f>121010.53-180+3216.76</f>
        <v>124047.29</v>
      </c>
      <c r="G30" s="188">
        <v>150746</v>
      </c>
      <c r="H30" s="188">
        <v>127292</v>
      </c>
      <c r="I30" s="188">
        <v>106026</v>
      </c>
      <c r="J30" s="66">
        <v>126913</v>
      </c>
      <c r="K30" s="66">
        <v>165701</v>
      </c>
      <c r="L30" s="66">
        <v>185744</v>
      </c>
      <c r="M30" s="66">
        <v>174114</v>
      </c>
      <c r="N30" s="66">
        <v>152866</v>
      </c>
      <c r="O30" s="66">
        <v>201089</v>
      </c>
      <c r="P30" s="66">
        <v>175938</v>
      </c>
      <c r="Q30" s="66">
        <v>197794</v>
      </c>
      <c r="R30" s="295" t="s">
        <v>152</v>
      </c>
    </row>
    <row r="31" spans="1:18" s="63" customFormat="1" ht="15.6" x14ac:dyDescent="0.3">
      <c r="A31" s="75" t="s">
        <v>34</v>
      </c>
      <c r="B31" s="195">
        <v>122877</v>
      </c>
      <c r="C31" s="189">
        <v>112899.73</v>
      </c>
      <c r="D31" s="188">
        <v>119641.87</v>
      </c>
      <c r="E31" s="188">
        <v>216801.44</v>
      </c>
      <c r="F31" s="188" t="s">
        <v>60</v>
      </c>
      <c r="G31" s="188">
        <v>116778</v>
      </c>
      <c r="H31" s="188">
        <v>133025</v>
      </c>
      <c r="I31" s="188">
        <v>144971</v>
      </c>
      <c r="J31" s="66">
        <v>151062</v>
      </c>
      <c r="K31" s="66">
        <v>153626</v>
      </c>
      <c r="L31" s="66">
        <v>153804</v>
      </c>
      <c r="M31" s="66">
        <v>132280</v>
      </c>
      <c r="N31" s="66">
        <v>130580</v>
      </c>
      <c r="O31" s="66">
        <v>156747</v>
      </c>
      <c r="P31" s="66">
        <v>189412</v>
      </c>
      <c r="Q31" s="66">
        <v>163251</v>
      </c>
      <c r="R31" s="295" t="s">
        <v>152</v>
      </c>
    </row>
    <row r="32" spans="1:18" s="63" customFormat="1" ht="16.2" thickBot="1" x14ac:dyDescent="0.35">
      <c r="A32" s="88" t="s">
        <v>36</v>
      </c>
      <c r="B32" s="196">
        <v>93205.71</v>
      </c>
      <c r="C32" s="190">
        <v>84947.9</v>
      </c>
      <c r="D32" s="190">
        <v>129798.55</v>
      </c>
      <c r="E32" s="190">
        <v>80011.58</v>
      </c>
      <c r="F32" s="190">
        <v>170601</v>
      </c>
      <c r="G32" s="191">
        <v>82844</v>
      </c>
      <c r="H32" s="190">
        <v>131393</v>
      </c>
      <c r="I32" s="190">
        <v>187889</v>
      </c>
      <c r="J32" s="71">
        <v>143006</v>
      </c>
      <c r="K32" s="71">
        <v>134794</v>
      </c>
      <c r="L32" s="71">
        <v>97502</v>
      </c>
      <c r="M32" s="71">
        <v>145785</v>
      </c>
      <c r="N32" s="71">
        <v>141403</v>
      </c>
      <c r="O32" s="71">
        <v>118401</v>
      </c>
      <c r="P32" s="71">
        <v>147535</v>
      </c>
      <c r="Q32" s="71">
        <v>135629</v>
      </c>
      <c r="R32" s="292" t="s">
        <v>152</v>
      </c>
    </row>
    <row r="33" spans="1:18" s="63" customFormat="1" ht="16.2" thickTop="1" x14ac:dyDescent="0.3">
      <c r="A33" s="89" t="s">
        <v>37</v>
      </c>
      <c r="B33" s="279">
        <f t="shared" ref="B33:P33" si="3">SUM(B21:B32)</f>
        <v>1484956.66</v>
      </c>
      <c r="C33" s="280">
        <f t="shared" si="3"/>
        <v>1497916.35</v>
      </c>
      <c r="D33" s="273">
        <f t="shared" si="3"/>
        <v>1797609.61</v>
      </c>
      <c r="E33" s="273">
        <f t="shared" si="3"/>
        <v>1947312.5500000003</v>
      </c>
      <c r="F33" s="273">
        <f t="shared" si="3"/>
        <v>1586747.76</v>
      </c>
      <c r="G33" s="273">
        <f t="shared" si="3"/>
        <v>1804953</v>
      </c>
      <c r="H33" s="273">
        <f t="shared" si="3"/>
        <v>1991835</v>
      </c>
      <c r="I33" s="273">
        <f t="shared" si="3"/>
        <v>1886713</v>
      </c>
      <c r="J33" s="273">
        <f t="shared" si="3"/>
        <v>1932874</v>
      </c>
      <c r="K33" s="273">
        <f t="shared" si="3"/>
        <v>1824621</v>
      </c>
      <c r="L33" s="273">
        <f t="shared" si="3"/>
        <v>2453576</v>
      </c>
      <c r="M33" s="273">
        <f t="shared" si="3"/>
        <v>1931464</v>
      </c>
      <c r="N33" s="273">
        <f t="shared" si="3"/>
        <v>1983012</v>
      </c>
      <c r="O33" s="273">
        <f t="shared" si="3"/>
        <v>1840753</v>
      </c>
      <c r="P33" s="273">
        <f t="shared" si="3"/>
        <v>1892275</v>
      </c>
      <c r="Q33" s="273">
        <f t="shared" ref="Q33" si="4">SUM(Q21:Q32)</f>
        <v>1563086</v>
      </c>
      <c r="R33" s="288">
        <f t="shared" ref="R33" si="5">SUM(R21:R32)</f>
        <v>973371</v>
      </c>
    </row>
    <row r="34" spans="1:18" s="113" customFormat="1" ht="6.6" x14ac:dyDescent="0.3">
      <c r="A34" s="392" t="s">
        <v>174</v>
      </c>
      <c r="B34" s="392"/>
      <c r="C34" s="392"/>
      <c r="D34" s="392"/>
      <c r="E34" s="392"/>
      <c r="F34" s="392"/>
      <c r="G34" s="392"/>
      <c r="H34" s="392"/>
      <c r="I34" s="392"/>
      <c r="J34" s="392"/>
      <c r="K34" s="392"/>
      <c r="L34" s="392"/>
      <c r="M34" s="392"/>
      <c r="N34" s="392"/>
      <c r="O34" s="392"/>
      <c r="P34" s="392"/>
      <c r="Q34" s="392"/>
      <c r="R34" s="392"/>
    </row>
    <row r="35" spans="1:18" s="106" customFormat="1" ht="18" x14ac:dyDescent="0.3">
      <c r="A35" s="370" t="s">
        <v>128</v>
      </c>
      <c r="B35" s="370"/>
      <c r="C35" s="370"/>
      <c r="D35" s="370"/>
      <c r="E35" s="370"/>
      <c r="F35" s="370"/>
      <c r="G35" s="370"/>
      <c r="H35" s="370"/>
      <c r="I35" s="370"/>
      <c r="J35" s="370"/>
      <c r="K35" s="370"/>
      <c r="L35" s="370"/>
      <c r="M35" s="370"/>
      <c r="N35" s="370"/>
      <c r="O35" s="370"/>
      <c r="P35" s="370"/>
      <c r="Q35" s="370"/>
      <c r="R35" s="370"/>
    </row>
    <row r="36" spans="1:18" s="63" customFormat="1" ht="15.6" x14ac:dyDescent="0.3">
      <c r="A36" s="77" t="s">
        <v>23</v>
      </c>
      <c r="B36" s="91">
        <v>2004</v>
      </c>
      <c r="C36" s="64">
        <v>2005</v>
      </c>
      <c r="D36" s="64">
        <v>2006</v>
      </c>
      <c r="E36" s="64">
        <v>2007</v>
      </c>
      <c r="F36" s="64">
        <v>2008</v>
      </c>
      <c r="G36" s="64">
        <v>2009</v>
      </c>
      <c r="H36" s="64">
        <v>2010</v>
      </c>
      <c r="I36" s="64">
        <v>2011</v>
      </c>
      <c r="J36" s="65">
        <v>2012</v>
      </c>
      <c r="K36" s="65">
        <v>2013</v>
      </c>
      <c r="L36" s="65">
        <v>2014</v>
      </c>
      <c r="M36" s="65">
        <v>2015</v>
      </c>
      <c r="N36" s="65">
        <v>2016</v>
      </c>
      <c r="O36" s="65">
        <v>2017</v>
      </c>
      <c r="P36" s="65">
        <v>2018</v>
      </c>
      <c r="Q36" s="65">
        <v>2019</v>
      </c>
      <c r="R36" s="49">
        <v>2020</v>
      </c>
    </row>
    <row r="37" spans="1:18" s="63" customFormat="1" ht="15.6" x14ac:dyDescent="0.3">
      <c r="A37" s="76" t="s">
        <v>24</v>
      </c>
      <c r="B37" s="108" t="s">
        <v>152</v>
      </c>
      <c r="C37" s="107" t="s">
        <v>152</v>
      </c>
      <c r="D37" s="107" t="s">
        <v>152</v>
      </c>
      <c r="E37" s="107" t="s">
        <v>152</v>
      </c>
      <c r="F37" s="107" t="s">
        <v>152</v>
      </c>
      <c r="G37" s="271">
        <v>-7582</v>
      </c>
      <c r="H37" s="271">
        <v>-415368</v>
      </c>
      <c r="I37" s="271">
        <v>-260</v>
      </c>
      <c r="J37" s="271">
        <v>-23589</v>
      </c>
      <c r="K37" s="271">
        <v>-12985</v>
      </c>
      <c r="L37" s="271">
        <v>-30202</v>
      </c>
      <c r="M37" s="271">
        <v>-2180</v>
      </c>
      <c r="N37" s="271">
        <v>-27582</v>
      </c>
      <c r="O37" s="271">
        <v>-4874</v>
      </c>
      <c r="P37" s="271">
        <v>-1393</v>
      </c>
      <c r="Q37" s="271">
        <v>-2154</v>
      </c>
      <c r="R37" s="286">
        <v>-5295</v>
      </c>
    </row>
    <row r="38" spans="1:18" s="63" customFormat="1" ht="15.6" x14ac:dyDescent="0.3">
      <c r="A38" s="75" t="s">
        <v>25</v>
      </c>
      <c r="B38" s="193" t="s">
        <v>152</v>
      </c>
      <c r="C38" s="174" t="s">
        <v>152</v>
      </c>
      <c r="D38" s="174" t="s">
        <v>152</v>
      </c>
      <c r="E38" s="174" t="s">
        <v>152</v>
      </c>
      <c r="F38" s="174" t="s">
        <v>152</v>
      </c>
      <c r="G38" s="188">
        <v>-6703</v>
      </c>
      <c r="H38" s="188">
        <v>-27927</v>
      </c>
      <c r="I38" s="188">
        <v>-138532</v>
      </c>
      <c r="J38" s="188">
        <v>-24327</v>
      </c>
      <c r="K38" s="66">
        <v>-8401</v>
      </c>
      <c r="L38" s="66">
        <v>-26528</v>
      </c>
      <c r="M38" s="66">
        <v>-94837</v>
      </c>
      <c r="N38" s="66">
        <v>-10681</v>
      </c>
      <c r="O38" s="66">
        <v>-13379</v>
      </c>
      <c r="P38" s="66">
        <v>-76082</v>
      </c>
      <c r="Q38" s="66">
        <v>-397</v>
      </c>
      <c r="R38" s="287">
        <v>-290811</v>
      </c>
    </row>
    <row r="39" spans="1:18" s="63" customFormat="1" ht="15.6" x14ac:dyDescent="0.3">
      <c r="A39" s="75" t="s">
        <v>26</v>
      </c>
      <c r="B39" s="193" t="s">
        <v>152</v>
      </c>
      <c r="C39" s="174" t="s">
        <v>152</v>
      </c>
      <c r="D39" s="174" t="s">
        <v>152</v>
      </c>
      <c r="E39" s="174" t="s">
        <v>152</v>
      </c>
      <c r="F39" s="174" t="s">
        <v>152</v>
      </c>
      <c r="G39" s="188">
        <v>-19191</v>
      </c>
      <c r="H39" s="188">
        <v>-20483</v>
      </c>
      <c r="I39" s="188">
        <v>-33887</v>
      </c>
      <c r="J39" s="188">
        <v>-31132</v>
      </c>
      <c r="K39" s="66">
        <v>-26298</v>
      </c>
      <c r="L39" s="66">
        <v>-9126</v>
      </c>
      <c r="M39" s="66">
        <v>-43957</v>
      </c>
      <c r="N39" s="66">
        <v>-11372</v>
      </c>
      <c r="O39" s="66">
        <v>-33049</v>
      </c>
      <c r="P39" s="66">
        <v>-69330</v>
      </c>
      <c r="Q39" s="66">
        <v>-13036</v>
      </c>
      <c r="R39" s="287">
        <v>-12738</v>
      </c>
    </row>
    <row r="40" spans="1:18" s="63" customFormat="1" ht="15.6" x14ac:dyDescent="0.3">
      <c r="A40" s="75" t="s">
        <v>27</v>
      </c>
      <c r="B40" s="193" t="s">
        <v>152</v>
      </c>
      <c r="C40" s="174" t="s">
        <v>152</v>
      </c>
      <c r="D40" s="174" t="s">
        <v>152</v>
      </c>
      <c r="E40" s="174" t="s">
        <v>152</v>
      </c>
      <c r="F40" s="174" t="s">
        <v>152</v>
      </c>
      <c r="G40" s="188">
        <v>-15354</v>
      </c>
      <c r="H40" s="188">
        <v>-26655</v>
      </c>
      <c r="I40" s="188">
        <v>-14699</v>
      </c>
      <c r="J40" s="188">
        <v>-9393</v>
      </c>
      <c r="K40" s="66">
        <v>-13998</v>
      </c>
      <c r="L40" s="66">
        <v>-124020</v>
      </c>
      <c r="M40" s="66">
        <v>-3931</v>
      </c>
      <c r="N40" s="66">
        <v>-29808</v>
      </c>
      <c r="O40" s="66">
        <v>-12302</v>
      </c>
      <c r="P40" s="66">
        <v>-15495</v>
      </c>
      <c r="Q40" s="66">
        <v>-106944</v>
      </c>
      <c r="R40" s="287">
        <v>-24662</v>
      </c>
    </row>
    <row r="41" spans="1:18" s="63" customFormat="1" ht="15.6" x14ac:dyDescent="0.3">
      <c r="A41" s="75" t="s">
        <v>28</v>
      </c>
      <c r="B41" s="193" t="s">
        <v>152</v>
      </c>
      <c r="C41" s="174" t="s">
        <v>152</v>
      </c>
      <c r="D41" s="174" t="s">
        <v>152</v>
      </c>
      <c r="E41" s="174" t="s">
        <v>152</v>
      </c>
      <c r="F41" s="174" t="s">
        <v>152</v>
      </c>
      <c r="G41" s="188">
        <v>-35140</v>
      </c>
      <c r="H41" s="188">
        <v>-5986</v>
      </c>
      <c r="I41" s="188">
        <v>-1582</v>
      </c>
      <c r="J41" s="188">
        <v>-5104</v>
      </c>
      <c r="K41" s="66">
        <v>-31251</v>
      </c>
      <c r="L41" s="66">
        <v>-8457</v>
      </c>
      <c r="M41" s="66">
        <v>-2534</v>
      </c>
      <c r="N41" s="66">
        <v>-3740</v>
      </c>
      <c r="O41" s="66">
        <v>-6586</v>
      </c>
      <c r="P41" s="66">
        <v>-7413</v>
      </c>
      <c r="Q41" s="66">
        <v>-1914</v>
      </c>
      <c r="R41" s="287">
        <v>-103726</v>
      </c>
    </row>
    <row r="42" spans="1:18" s="63" customFormat="1" ht="15.6" x14ac:dyDescent="0.3">
      <c r="A42" s="75" t="s">
        <v>29</v>
      </c>
      <c r="B42" s="193" t="s">
        <v>152</v>
      </c>
      <c r="C42" s="174" t="s">
        <v>152</v>
      </c>
      <c r="D42" s="174" t="s">
        <v>152</v>
      </c>
      <c r="E42" s="174" t="s">
        <v>152</v>
      </c>
      <c r="F42" s="174" t="s">
        <v>152</v>
      </c>
      <c r="G42" s="188">
        <v>-56535</v>
      </c>
      <c r="H42" s="188">
        <v>-2740</v>
      </c>
      <c r="I42" s="188">
        <v>-30116</v>
      </c>
      <c r="J42" s="188">
        <v>-13890</v>
      </c>
      <c r="K42" s="66">
        <v>-27405</v>
      </c>
      <c r="L42" s="66">
        <v>-34669</v>
      </c>
      <c r="M42" s="66">
        <v>-29790</v>
      </c>
      <c r="N42" s="66">
        <v>-46324</v>
      </c>
      <c r="O42" s="66">
        <v>-70415</v>
      </c>
      <c r="P42" s="66">
        <v>-14861</v>
      </c>
      <c r="Q42" s="66">
        <v>-1159</v>
      </c>
      <c r="R42" s="287">
        <v>-16461</v>
      </c>
    </row>
    <row r="43" spans="1:18" s="63" customFormat="1" ht="15.6" x14ac:dyDescent="0.3">
      <c r="A43" s="75" t="s">
        <v>30</v>
      </c>
      <c r="B43" s="193" t="s">
        <v>152</v>
      </c>
      <c r="C43" s="174" t="s">
        <v>152</v>
      </c>
      <c r="D43" s="174" t="s">
        <v>152</v>
      </c>
      <c r="E43" s="174" t="s">
        <v>152</v>
      </c>
      <c r="F43" s="174" t="s">
        <v>152</v>
      </c>
      <c r="G43" s="188">
        <v>-12068</v>
      </c>
      <c r="H43" s="188">
        <v>-9688</v>
      </c>
      <c r="I43" s="188">
        <v>-164072</v>
      </c>
      <c r="J43" s="66">
        <v>-4907</v>
      </c>
      <c r="K43" s="66">
        <v>-69210</v>
      </c>
      <c r="L43" s="66">
        <v>-28084</v>
      </c>
      <c r="M43" s="66">
        <v>-60738</v>
      </c>
      <c r="N43" s="66">
        <v>-9960</v>
      </c>
      <c r="O43" s="66">
        <v>-14079</v>
      </c>
      <c r="P43" s="66">
        <v>-1564</v>
      </c>
      <c r="Q43" s="66">
        <v>-8169</v>
      </c>
      <c r="R43" s="295" t="s">
        <v>152</v>
      </c>
    </row>
    <row r="44" spans="1:18" s="63" customFormat="1" ht="15.6" x14ac:dyDescent="0.3">
      <c r="A44" s="75" t="s">
        <v>31</v>
      </c>
      <c r="B44" s="193" t="s">
        <v>152</v>
      </c>
      <c r="C44" s="174" t="s">
        <v>152</v>
      </c>
      <c r="D44" s="174" t="s">
        <v>152</v>
      </c>
      <c r="E44" s="174" t="s">
        <v>152</v>
      </c>
      <c r="F44" s="174" t="s">
        <v>152</v>
      </c>
      <c r="G44" s="188">
        <v>-26996</v>
      </c>
      <c r="H44" s="188">
        <v>-5548</v>
      </c>
      <c r="I44" s="188">
        <v>-16407</v>
      </c>
      <c r="J44" s="66">
        <v>-10328</v>
      </c>
      <c r="K44" s="66">
        <v>-13071</v>
      </c>
      <c r="L44" s="66">
        <v>-32408</v>
      </c>
      <c r="M44" s="66">
        <v>-41641</v>
      </c>
      <c r="N44" s="66">
        <v>-3655</v>
      </c>
      <c r="O44" s="66">
        <v>-25123</v>
      </c>
      <c r="P44" s="66">
        <v>-322713</v>
      </c>
      <c r="Q44" s="66">
        <v>-2761</v>
      </c>
      <c r="R44" s="295" t="s">
        <v>152</v>
      </c>
    </row>
    <row r="45" spans="1:18" s="63" customFormat="1" ht="15.6" x14ac:dyDescent="0.3">
      <c r="A45" s="75" t="s">
        <v>32</v>
      </c>
      <c r="B45" s="193" t="s">
        <v>152</v>
      </c>
      <c r="C45" s="174" t="s">
        <v>152</v>
      </c>
      <c r="D45" s="174" t="s">
        <v>152</v>
      </c>
      <c r="E45" s="174" t="s">
        <v>152</v>
      </c>
      <c r="F45" s="174" t="s">
        <v>152</v>
      </c>
      <c r="G45" s="188">
        <v>-4175</v>
      </c>
      <c r="H45" s="188">
        <v>-174017</v>
      </c>
      <c r="I45" s="188">
        <v>-2646</v>
      </c>
      <c r="J45" s="66">
        <v>-48281</v>
      </c>
      <c r="K45" s="66">
        <v>-7399</v>
      </c>
      <c r="L45" s="66">
        <v>-3502</v>
      </c>
      <c r="M45" s="66">
        <v>-44290</v>
      </c>
      <c r="N45" s="66">
        <v>-1727</v>
      </c>
      <c r="O45" s="66">
        <v>-39374</v>
      </c>
      <c r="P45" s="66">
        <v>-22729</v>
      </c>
      <c r="Q45" s="66">
        <v>-8363</v>
      </c>
      <c r="R45" s="295" t="s">
        <v>152</v>
      </c>
    </row>
    <row r="46" spans="1:18" s="63" customFormat="1" ht="15.6" x14ac:dyDescent="0.3">
      <c r="A46" s="75" t="s">
        <v>33</v>
      </c>
      <c r="B46" s="193" t="s">
        <v>152</v>
      </c>
      <c r="C46" s="174" t="s">
        <v>152</v>
      </c>
      <c r="D46" s="174" t="s">
        <v>152</v>
      </c>
      <c r="E46" s="174" t="s">
        <v>152</v>
      </c>
      <c r="F46" s="174" t="s">
        <v>152</v>
      </c>
      <c r="G46" s="188">
        <v>-3692</v>
      </c>
      <c r="H46" s="188">
        <v>-476</v>
      </c>
      <c r="I46" s="188">
        <v>-26590</v>
      </c>
      <c r="J46" s="66">
        <v>-66237</v>
      </c>
      <c r="K46" s="66">
        <v>-32586</v>
      </c>
      <c r="L46" s="66">
        <v>-37696</v>
      </c>
      <c r="M46" s="66">
        <v>-9805</v>
      </c>
      <c r="N46" s="66">
        <v>-20010</v>
      </c>
      <c r="O46" s="66">
        <v>-19787</v>
      </c>
      <c r="P46" s="66">
        <v>-15519</v>
      </c>
      <c r="Q46" s="66">
        <v>-197515</v>
      </c>
      <c r="R46" s="295" t="s">
        <v>152</v>
      </c>
    </row>
    <row r="47" spans="1:18" s="63" customFormat="1" ht="15.6" x14ac:dyDescent="0.3">
      <c r="A47" s="75" t="s">
        <v>34</v>
      </c>
      <c r="B47" s="193" t="s">
        <v>152</v>
      </c>
      <c r="C47" s="174" t="s">
        <v>152</v>
      </c>
      <c r="D47" s="174" t="s">
        <v>152</v>
      </c>
      <c r="E47" s="174" t="s">
        <v>152</v>
      </c>
      <c r="F47" s="174" t="s">
        <v>152</v>
      </c>
      <c r="G47" s="188">
        <v>-8079</v>
      </c>
      <c r="H47" s="188">
        <v>-59520</v>
      </c>
      <c r="I47" s="188">
        <v>-107760</v>
      </c>
      <c r="J47" s="66">
        <v>-30402</v>
      </c>
      <c r="K47" s="66">
        <v>-19726</v>
      </c>
      <c r="L47" s="66">
        <v>-11478</v>
      </c>
      <c r="M47" s="66">
        <v>-2183</v>
      </c>
      <c r="N47" s="66">
        <v>-14551</v>
      </c>
      <c r="O47" s="66">
        <v>-3566</v>
      </c>
      <c r="P47" s="66">
        <v>-18484</v>
      </c>
      <c r="Q47" s="66">
        <v>-1663</v>
      </c>
      <c r="R47" s="295" t="s">
        <v>152</v>
      </c>
    </row>
    <row r="48" spans="1:18" s="63" customFormat="1" ht="16.2" thickBot="1" x14ac:dyDescent="0.35">
      <c r="A48" s="88" t="s">
        <v>36</v>
      </c>
      <c r="B48" s="194" t="s">
        <v>152</v>
      </c>
      <c r="C48" s="192" t="s">
        <v>152</v>
      </c>
      <c r="D48" s="192" t="s">
        <v>152</v>
      </c>
      <c r="E48" s="192" t="s">
        <v>152</v>
      </c>
      <c r="F48" s="274">
        <v>-24509</v>
      </c>
      <c r="G48" s="191">
        <v>-3872</v>
      </c>
      <c r="H48" s="190">
        <v>-874</v>
      </c>
      <c r="I48" s="190">
        <v>-26975</v>
      </c>
      <c r="J48" s="71">
        <v>-49123</v>
      </c>
      <c r="K48" s="71">
        <v>-8240</v>
      </c>
      <c r="L48" s="71">
        <v>-238148</v>
      </c>
      <c r="M48" s="71">
        <v>-15315</v>
      </c>
      <c r="N48" s="71">
        <v>-972</v>
      </c>
      <c r="O48" s="71">
        <v>-3207</v>
      </c>
      <c r="P48" s="71">
        <v>-22291</v>
      </c>
      <c r="Q48" s="71">
        <v>-11247</v>
      </c>
      <c r="R48" s="292" t="s">
        <v>152</v>
      </c>
    </row>
    <row r="49" spans="1:18" s="63" customFormat="1" ht="16.2" thickTop="1" x14ac:dyDescent="0.3">
      <c r="A49" s="89" t="s">
        <v>37</v>
      </c>
      <c r="B49" s="197" t="s">
        <v>152</v>
      </c>
      <c r="C49" s="198" t="s">
        <v>152</v>
      </c>
      <c r="D49" s="198" t="s">
        <v>152</v>
      </c>
      <c r="E49" s="198" t="s">
        <v>152</v>
      </c>
      <c r="F49" s="273">
        <f t="shared" ref="F49:P49" si="6">SUM(F37:F48)</f>
        <v>-24509</v>
      </c>
      <c r="G49" s="273">
        <f t="shared" si="6"/>
        <v>-199387</v>
      </c>
      <c r="H49" s="273">
        <f t="shared" si="6"/>
        <v>-749282</v>
      </c>
      <c r="I49" s="273">
        <f t="shared" si="6"/>
        <v>-563526</v>
      </c>
      <c r="J49" s="273">
        <f t="shared" si="6"/>
        <v>-316713</v>
      </c>
      <c r="K49" s="273">
        <f t="shared" si="6"/>
        <v>-270570</v>
      </c>
      <c r="L49" s="273">
        <f t="shared" si="6"/>
        <v>-584318</v>
      </c>
      <c r="M49" s="273">
        <f t="shared" si="6"/>
        <v>-351201</v>
      </c>
      <c r="N49" s="273">
        <f t="shared" si="6"/>
        <v>-180382</v>
      </c>
      <c r="O49" s="273">
        <f t="shared" si="6"/>
        <v>-245741</v>
      </c>
      <c r="P49" s="273">
        <f t="shared" si="6"/>
        <v>-587874</v>
      </c>
      <c r="Q49" s="273">
        <f t="shared" ref="Q49" si="7">SUM(Q37:Q48)</f>
        <v>-355322</v>
      </c>
      <c r="R49" s="288">
        <f t="shared" ref="R49" si="8">SUM(R37:R48)</f>
        <v>-453693</v>
      </c>
    </row>
    <row r="50" spans="1:18" s="113" customFormat="1" ht="6.6" x14ac:dyDescent="0.3">
      <c r="A50" s="392" t="s">
        <v>174</v>
      </c>
      <c r="B50" s="392"/>
      <c r="C50" s="392"/>
      <c r="D50" s="392"/>
      <c r="E50" s="392"/>
      <c r="F50" s="392"/>
      <c r="G50" s="392"/>
      <c r="H50" s="392"/>
      <c r="I50" s="392"/>
      <c r="J50" s="392"/>
      <c r="K50" s="392"/>
      <c r="L50" s="392"/>
      <c r="M50" s="392"/>
      <c r="N50" s="392"/>
      <c r="O50" s="392"/>
      <c r="P50" s="392"/>
      <c r="Q50" s="392"/>
      <c r="R50" s="392"/>
    </row>
    <row r="51" spans="1:18" s="111" customFormat="1" ht="13.8" x14ac:dyDescent="0.3">
      <c r="A51" s="388" t="s">
        <v>39</v>
      </c>
      <c r="B51" s="388"/>
      <c r="C51" s="388"/>
      <c r="D51" s="388"/>
      <c r="E51" s="388"/>
      <c r="F51" s="388"/>
      <c r="G51" s="388"/>
      <c r="H51" s="388"/>
      <c r="I51" s="388"/>
      <c r="J51" s="388"/>
      <c r="K51" s="388"/>
      <c r="L51" s="388"/>
      <c r="M51" s="388"/>
      <c r="N51" s="388"/>
      <c r="O51" s="388"/>
      <c r="P51" s="388"/>
      <c r="Q51" s="388"/>
      <c r="R51" s="388"/>
    </row>
    <row r="52" spans="1:18" s="111" customFormat="1" ht="13.8" x14ac:dyDescent="0.3">
      <c r="A52" s="383" t="str">
        <f>'Local SUT'!A60</f>
        <v>Source:  Minnesota Department of Revenue, Tax Research Division, February 2021</v>
      </c>
      <c r="B52" s="383"/>
      <c r="C52" s="383"/>
      <c r="D52" s="383"/>
      <c r="E52" s="383"/>
      <c r="F52" s="383"/>
      <c r="G52" s="383"/>
      <c r="H52" s="383"/>
      <c r="I52" s="383"/>
      <c r="J52" s="383"/>
      <c r="K52" s="383"/>
      <c r="L52" s="383"/>
      <c r="M52" s="383"/>
      <c r="N52" s="383"/>
      <c r="O52" s="383"/>
      <c r="P52" s="383"/>
      <c r="Q52" s="383"/>
      <c r="R52" s="383"/>
    </row>
    <row r="53" spans="1:18" s="111" customFormat="1" ht="13.8" x14ac:dyDescent="0.3">
      <c r="A53" s="379" t="s">
        <v>151</v>
      </c>
      <c r="B53" s="379"/>
      <c r="C53" s="379"/>
      <c r="D53" s="379"/>
      <c r="E53" s="379"/>
      <c r="F53" s="379"/>
      <c r="G53" s="379"/>
      <c r="H53" s="379"/>
      <c r="I53" s="379"/>
      <c r="J53" s="379"/>
      <c r="K53" s="379"/>
      <c r="L53" s="379"/>
      <c r="M53" s="379"/>
      <c r="N53" s="379"/>
      <c r="O53" s="379"/>
      <c r="P53" s="379"/>
      <c r="Q53" s="379"/>
      <c r="R53" s="379"/>
    </row>
    <row r="54" spans="1:18" x14ac:dyDescent="0.3">
      <c r="R54" s="117"/>
    </row>
    <row r="68" spans="1:10" x14ac:dyDescent="0.3">
      <c r="A68" s="181"/>
      <c r="B68" s="181"/>
      <c r="C68" s="181"/>
      <c r="D68" s="181"/>
      <c r="E68" s="181"/>
      <c r="F68" s="181"/>
      <c r="G68" s="181"/>
      <c r="H68" s="181"/>
      <c r="I68" s="181"/>
      <c r="J68" s="181"/>
    </row>
  </sheetData>
  <mergeCells count="11">
    <mergeCell ref="A53:R53"/>
    <mergeCell ref="A34:R34"/>
    <mergeCell ref="A35:R35"/>
    <mergeCell ref="A50:R50"/>
    <mergeCell ref="A51:R51"/>
    <mergeCell ref="A52:R52"/>
    <mergeCell ref="A1:R1"/>
    <mergeCell ref="A2:R2"/>
    <mergeCell ref="A3:R3"/>
    <mergeCell ref="A18:R18"/>
    <mergeCell ref="A19:R19"/>
  </mergeCells>
  <pageMargins left="0" right="0" top="0.75" bottom="0.75" header="0.3" footer="0.3"/>
  <pageSetup scale="5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>
    <pageSetUpPr fitToPage="1"/>
  </sheetPr>
  <dimension ref="A1:R54"/>
  <sheetViews>
    <sheetView showGridLines="0" workbookViewId="0">
      <pane ySplit="1" topLeftCell="A2" activePane="bottomLeft" state="frozen"/>
      <selection pane="bottomLeft" sqref="A1:R1"/>
    </sheetView>
  </sheetViews>
  <sheetFormatPr defaultColWidth="12.5546875" defaultRowHeight="14.4" x14ac:dyDescent="0.3"/>
  <cols>
    <col min="1" max="1" width="12.5546875" style="173"/>
    <col min="2" max="17" width="13.5546875" style="173" customWidth="1"/>
    <col min="18" max="18" width="13.5546875" style="145" customWidth="1"/>
    <col min="19" max="16384" width="12.5546875" style="173"/>
  </cols>
  <sheetData>
    <row r="1" spans="1:18" s="112" customFormat="1" ht="21" x14ac:dyDescent="0.3">
      <c r="A1" s="380" t="s">
        <v>215</v>
      </c>
      <c r="B1" s="380"/>
      <c r="C1" s="380"/>
      <c r="D1" s="380"/>
      <c r="E1" s="380"/>
      <c r="F1" s="380"/>
      <c r="G1" s="380"/>
      <c r="H1" s="380"/>
      <c r="I1" s="380"/>
      <c r="J1" s="380"/>
      <c r="K1" s="380"/>
      <c r="L1" s="380"/>
      <c r="M1" s="380"/>
      <c r="N1" s="380"/>
      <c r="O1" s="380"/>
      <c r="P1" s="380"/>
      <c r="Q1" s="380"/>
      <c r="R1" s="380"/>
    </row>
    <row r="2" spans="1:18" s="106" customFormat="1" ht="18" x14ac:dyDescent="0.3">
      <c r="A2" s="381" t="str">
        <f>'Local SUT'!A2</f>
        <v>CY 2004-2020</v>
      </c>
      <c r="B2" s="381"/>
      <c r="C2" s="381"/>
      <c r="D2" s="381"/>
      <c r="E2" s="381"/>
      <c r="F2" s="381"/>
      <c r="G2" s="381"/>
      <c r="H2" s="381"/>
      <c r="I2" s="381"/>
      <c r="J2" s="381"/>
      <c r="K2" s="381"/>
      <c r="L2" s="381"/>
      <c r="M2" s="381"/>
      <c r="N2" s="381"/>
      <c r="O2" s="381"/>
      <c r="P2" s="381"/>
      <c r="Q2" s="381"/>
      <c r="R2" s="381"/>
    </row>
    <row r="3" spans="1:18" s="106" customFormat="1" ht="18" x14ac:dyDescent="0.3">
      <c r="A3" s="370" t="s">
        <v>66</v>
      </c>
      <c r="B3" s="370"/>
      <c r="C3" s="370"/>
      <c r="D3" s="370"/>
      <c r="E3" s="370"/>
      <c r="F3" s="370"/>
      <c r="G3" s="370"/>
      <c r="H3" s="370"/>
      <c r="I3" s="370"/>
      <c r="J3" s="370"/>
      <c r="K3" s="370"/>
      <c r="L3" s="370"/>
      <c r="M3" s="370"/>
      <c r="N3" s="370"/>
      <c r="O3" s="370"/>
      <c r="P3" s="370"/>
      <c r="Q3" s="370"/>
      <c r="R3" s="370"/>
    </row>
    <row r="4" spans="1:18" s="63" customFormat="1" ht="15.6" x14ac:dyDescent="0.3">
      <c r="A4" s="172" t="s">
        <v>23</v>
      </c>
      <c r="B4" s="91">
        <v>2004</v>
      </c>
      <c r="C4" s="64">
        <v>2005</v>
      </c>
      <c r="D4" s="64">
        <v>2006</v>
      </c>
      <c r="E4" s="64">
        <v>2007</v>
      </c>
      <c r="F4" s="64">
        <v>2008</v>
      </c>
      <c r="G4" s="64">
        <v>2009</v>
      </c>
      <c r="H4" s="64">
        <v>2010</v>
      </c>
      <c r="I4" s="64">
        <v>2011</v>
      </c>
      <c r="J4" s="65">
        <v>2012</v>
      </c>
      <c r="K4" s="65">
        <v>2013</v>
      </c>
      <c r="L4" s="65">
        <v>2014</v>
      </c>
      <c r="M4" s="65">
        <v>2015</v>
      </c>
      <c r="N4" s="65">
        <v>2016</v>
      </c>
      <c r="O4" s="65">
        <v>2017</v>
      </c>
      <c r="P4" s="65">
        <v>2018</v>
      </c>
      <c r="Q4" s="65">
        <v>2019</v>
      </c>
      <c r="R4" s="49">
        <v>2020</v>
      </c>
    </row>
    <row r="5" spans="1:18" s="63" customFormat="1" ht="15.6" x14ac:dyDescent="0.3">
      <c r="A5" s="76" t="s">
        <v>24</v>
      </c>
      <c r="B5" s="278">
        <v>15296.7</v>
      </c>
      <c r="C5" s="272">
        <v>20529</v>
      </c>
      <c r="D5" s="271">
        <v>19904.34</v>
      </c>
      <c r="E5" s="271">
        <v>18855.29</v>
      </c>
      <c r="F5" s="271">
        <v>19663</v>
      </c>
      <c r="G5" s="272">
        <v>19162</v>
      </c>
      <c r="H5" s="271">
        <v>17277</v>
      </c>
      <c r="I5" s="271">
        <v>19351</v>
      </c>
      <c r="J5" s="271">
        <v>17180</v>
      </c>
      <c r="K5" s="271">
        <v>20573</v>
      </c>
      <c r="L5" s="271">
        <v>20036</v>
      </c>
      <c r="M5" s="271">
        <v>20769</v>
      </c>
      <c r="N5" s="271">
        <v>23710</v>
      </c>
      <c r="O5" s="271">
        <v>23943</v>
      </c>
      <c r="P5" s="271">
        <v>28270</v>
      </c>
      <c r="Q5" s="271">
        <v>26833</v>
      </c>
      <c r="R5" s="286">
        <v>60255</v>
      </c>
    </row>
    <row r="6" spans="1:18" s="63" customFormat="1" ht="15.6" x14ac:dyDescent="0.3">
      <c r="A6" s="75" t="s">
        <v>25</v>
      </c>
      <c r="B6" s="170">
        <v>14763.54</v>
      </c>
      <c r="C6" s="67">
        <v>13191</v>
      </c>
      <c r="D6" s="66">
        <v>16645.25</v>
      </c>
      <c r="E6" s="66">
        <v>15605</v>
      </c>
      <c r="F6" s="66">
        <v>15187.4</v>
      </c>
      <c r="G6" s="67">
        <v>16470</v>
      </c>
      <c r="H6" s="66">
        <v>13714</v>
      </c>
      <c r="I6" s="66">
        <v>15466</v>
      </c>
      <c r="J6" s="66">
        <v>13833</v>
      </c>
      <c r="K6" s="66">
        <v>15152</v>
      </c>
      <c r="L6" s="66">
        <v>17337</v>
      </c>
      <c r="M6" s="66">
        <v>18415</v>
      </c>
      <c r="N6" s="66">
        <v>20794</v>
      </c>
      <c r="O6" s="66">
        <v>19084</v>
      </c>
      <c r="P6" s="66">
        <v>20028</v>
      </c>
      <c r="Q6" s="66">
        <v>24796</v>
      </c>
      <c r="R6" s="287">
        <v>43220</v>
      </c>
    </row>
    <row r="7" spans="1:18" s="63" customFormat="1" ht="15.6" x14ac:dyDescent="0.3">
      <c r="A7" s="75" t="s">
        <v>26</v>
      </c>
      <c r="B7" s="170">
        <v>12689</v>
      </c>
      <c r="C7" s="67">
        <v>14291.79</v>
      </c>
      <c r="D7" s="66">
        <v>13563.05</v>
      </c>
      <c r="E7" s="66">
        <v>15366.58</v>
      </c>
      <c r="F7" s="66">
        <v>15884.01</v>
      </c>
      <c r="G7" s="67">
        <v>15163</v>
      </c>
      <c r="H7" s="66">
        <v>14803</v>
      </c>
      <c r="I7" s="66">
        <v>16467</v>
      </c>
      <c r="J7" s="66">
        <v>14724</v>
      </c>
      <c r="K7" s="66">
        <v>14835</v>
      </c>
      <c r="L7" s="66">
        <v>15157</v>
      </c>
      <c r="M7" s="66">
        <v>16167</v>
      </c>
      <c r="N7" s="66">
        <v>17287</v>
      </c>
      <c r="O7" s="66">
        <v>18109</v>
      </c>
      <c r="P7" s="66">
        <v>17413</v>
      </c>
      <c r="Q7" s="66">
        <v>19205</v>
      </c>
      <c r="R7" s="287">
        <v>39553</v>
      </c>
    </row>
    <row r="8" spans="1:18" s="63" customFormat="1" ht="15.6" x14ac:dyDescent="0.3">
      <c r="A8" s="75" t="s">
        <v>27</v>
      </c>
      <c r="B8" s="170">
        <v>14200</v>
      </c>
      <c r="C8" s="67">
        <v>16475</v>
      </c>
      <c r="D8" s="66">
        <v>16171.26</v>
      </c>
      <c r="E8" s="66">
        <v>17715</v>
      </c>
      <c r="F8" s="66">
        <v>16523.45</v>
      </c>
      <c r="G8" s="67">
        <v>16917</v>
      </c>
      <c r="H8" s="66">
        <v>16589</v>
      </c>
      <c r="I8" s="66">
        <v>16826</v>
      </c>
      <c r="J8" s="66">
        <v>18963</v>
      </c>
      <c r="K8" s="66">
        <v>16904</v>
      </c>
      <c r="L8" s="66">
        <v>17108</v>
      </c>
      <c r="M8" s="66">
        <v>18702</v>
      </c>
      <c r="N8" s="66">
        <v>20528</v>
      </c>
      <c r="O8" s="66">
        <v>21455</v>
      </c>
      <c r="P8" s="66">
        <v>22037</v>
      </c>
      <c r="Q8" s="66">
        <v>22633</v>
      </c>
      <c r="R8" s="287">
        <v>43162</v>
      </c>
    </row>
    <row r="9" spans="1:18" s="63" customFormat="1" ht="15.6" x14ac:dyDescent="0.3">
      <c r="A9" s="75" t="s">
        <v>28</v>
      </c>
      <c r="B9" s="170">
        <v>14556</v>
      </c>
      <c r="C9" s="67">
        <v>15852.15</v>
      </c>
      <c r="D9" s="66">
        <v>15362.16</v>
      </c>
      <c r="E9" s="66">
        <v>15668.18</v>
      </c>
      <c r="F9" s="66">
        <v>15414.1</v>
      </c>
      <c r="G9" s="67">
        <v>12719</v>
      </c>
      <c r="H9" s="66">
        <v>14201</v>
      </c>
      <c r="I9" s="66">
        <v>14683</v>
      </c>
      <c r="J9" s="66">
        <v>16757</v>
      </c>
      <c r="K9" s="66">
        <v>15316</v>
      </c>
      <c r="L9" s="66">
        <v>16441</v>
      </c>
      <c r="M9" s="66">
        <v>17996</v>
      </c>
      <c r="N9" s="66">
        <v>19141</v>
      </c>
      <c r="O9" s="66">
        <v>18358</v>
      </c>
      <c r="P9" s="66">
        <v>18059</v>
      </c>
      <c r="Q9" s="66">
        <v>23242</v>
      </c>
      <c r="R9" s="287">
        <v>43737</v>
      </c>
    </row>
    <row r="10" spans="1:18" s="63" customFormat="1" ht="15.6" x14ac:dyDescent="0.3">
      <c r="A10" s="75" t="s">
        <v>29</v>
      </c>
      <c r="B10" s="170">
        <v>15083</v>
      </c>
      <c r="C10" s="67">
        <v>16893</v>
      </c>
      <c r="D10" s="66">
        <v>18164.919999999998</v>
      </c>
      <c r="E10" s="66">
        <v>19671.09</v>
      </c>
      <c r="F10" s="66">
        <v>30238</v>
      </c>
      <c r="G10" s="67">
        <v>15845</v>
      </c>
      <c r="H10" s="66">
        <v>16103</v>
      </c>
      <c r="I10" s="66">
        <v>18625</v>
      </c>
      <c r="J10" s="66">
        <v>18754</v>
      </c>
      <c r="K10" s="66">
        <v>23609</v>
      </c>
      <c r="L10" s="66">
        <v>22212</v>
      </c>
      <c r="M10" s="66">
        <v>20876</v>
      </c>
      <c r="N10" s="66">
        <v>22715</v>
      </c>
      <c r="O10" s="66">
        <v>21999</v>
      </c>
      <c r="P10" s="66">
        <v>24516</v>
      </c>
      <c r="Q10" s="66">
        <v>26329</v>
      </c>
      <c r="R10" s="287">
        <v>46145</v>
      </c>
    </row>
    <row r="11" spans="1:18" s="63" customFormat="1" ht="15.6" x14ac:dyDescent="0.3">
      <c r="A11" s="75" t="s">
        <v>30</v>
      </c>
      <c r="B11" s="170">
        <v>16380.57</v>
      </c>
      <c r="C11" s="67">
        <v>18594</v>
      </c>
      <c r="D11" s="66">
        <v>15407</v>
      </c>
      <c r="E11" s="66">
        <v>20638.650000000001</v>
      </c>
      <c r="F11" s="66">
        <v>17099</v>
      </c>
      <c r="G11" s="67">
        <v>20967</v>
      </c>
      <c r="H11" s="66">
        <v>54645</v>
      </c>
      <c r="I11" s="66">
        <v>20036</v>
      </c>
      <c r="J11" s="66">
        <v>17859</v>
      </c>
      <c r="K11" s="66">
        <v>21495</v>
      </c>
      <c r="L11" s="66">
        <v>23134</v>
      </c>
      <c r="M11" s="66">
        <v>24775</v>
      </c>
      <c r="N11" s="66">
        <v>28898</v>
      </c>
      <c r="O11" s="66">
        <v>26447</v>
      </c>
      <c r="P11" s="66">
        <v>24227</v>
      </c>
      <c r="Q11" s="66">
        <v>30915</v>
      </c>
      <c r="R11" s="291" t="s">
        <v>152</v>
      </c>
    </row>
    <row r="12" spans="1:18" s="63" customFormat="1" ht="15.6" x14ac:dyDescent="0.3">
      <c r="A12" s="75" t="s">
        <v>31</v>
      </c>
      <c r="B12" s="170">
        <v>24282</v>
      </c>
      <c r="C12" s="67">
        <v>24727.81</v>
      </c>
      <c r="D12" s="66">
        <v>29521</v>
      </c>
      <c r="E12" s="66">
        <v>22010.68</v>
      </c>
      <c r="F12" s="66">
        <v>26691.56</v>
      </c>
      <c r="G12" s="67">
        <v>22144</v>
      </c>
      <c r="H12" s="66">
        <v>28051</v>
      </c>
      <c r="I12" s="66">
        <v>72685</v>
      </c>
      <c r="J12" s="66">
        <v>45429</v>
      </c>
      <c r="K12" s="66">
        <v>31128</v>
      </c>
      <c r="L12" s="66">
        <v>37451</v>
      </c>
      <c r="M12" s="66">
        <v>33858</v>
      </c>
      <c r="N12" s="66">
        <v>32734</v>
      </c>
      <c r="O12" s="66">
        <v>28694</v>
      </c>
      <c r="P12" s="66">
        <v>35973</v>
      </c>
      <c r="Q12" s="66">
        <v>35577</v>
      </c>
      <c r="R12" s="295" t="s">
        <v>152</v>
      </c>
    </row>
    <row r="13" spans="1:18" s="63" customFormat="1" ht="15.6" x14ac:dyDescent="0.3">
      <c r="A13" s="75" t="s">
        <v>32</v>
      </c>
      <c r="B13" s="170">
        <v>17691</v>
      </c>
      <c r="C13" s="67">
        <v>19941.7</v>
      </c>
      <c r="D13" s="66">
        <v>21123.38</v>
      </c>
      <c r="E13" s="66">
        <v>24375.1</v>
      </c>
      <c r="F13" s="66">
        <v>24691.42</v>
      </c>
      <c r="G13" s="67">
        <v>21094</v>
      </c>
      <c r="H13" s="66">
        <v>24540</v>
      </c>
      <c r="I13" s="66">
        <v>23342</v>
      </c>
      <c r="J13" s="66">
        <v>26852</v>
      </c>
      <c r="K13" s="66">
        <v>26138</v>
      </c>
      <c r="L13" s="66">
        <v>29826</v>
      </c>
      <c r="M13" s="66">
        <v>26432</v>
      </c>
      <c r="N13" s="66">
        <v>30899</v>
      </c>
      <c r="O13" s="66">
        <v>29576</v>
      </c>
      <c r="P13" s="66">
        <v>31727</v>
      </c>
      <c r="Q13" s="66">
        <v>32241</v>
      </c>
      <c r="R13" s="295" t="s">
        <v>152</v>
      </c>
    </row>
    <row r="14" spans="1:18" s="63" customFormat="1" ht="15.6" x14ac:dyDescent="0.3">
      <c r="A14" s="75" t="s">
        <v>33</v>
      </c>
      <c r="B14" s="170">
        <v>20591.919999999998</v>
      </c>
      <c r="C14" s="67">
        <v>20861</v>
      </c>
      <c r="D14" s="66">
        <v>21585</v>
      </c>
      <c r="E14" s="66">
        <v>21124.11</v>
      </c>
      <c r="F14" s="66">
        <v>18949.43</v>
      </c>
      <c r="G14" s="67">
        <v>21027</v>
      </c>
      <c r="H14" s="66">
        <v>22036</v>
      </c>
      <c r="I14" s="66">
        <v>28449</v>
      </c>
      <c r="J14" s="66">
        <v>22464</v>
      </c>
      <c r="K14" s="66">
        <v>22670</v>
      </c>
      <c r="L14" s="66">
        <v>26490</v>
      </c>
      <c r="M14" s="66">
        <v>29011</v>
      </c>
      <c r="N14" s="66">
        <v>31646</v>
      </c>
      <c r="O14" s="66">
        <v>26232</v>
      </c>
      <c r="P14" s="66">
        <v>28961</v>
      </c>
      <c r="Q14" s="66">
        <v>29241</v>
      </c>
      <c r="R14" s="295" t="s">
        <v>152</v>
      </c>
    </row>
    <row r="15" spans="1:18" s="63" customFormat="1" ht="15.6" x14ac:dyDescent="0.3">
      <c r="A15" s="75" t="s">
        <v>34</v>
      </c>
      <c r="B15" s="170">
        <v>16299</v>
      </c>
      <c r="C15" s="67">
        <v>16117</v>
      </c>
      <c r="D15" s="66">
        <v>16931</v>
      </c>
      <c r="E15" s="66">
        <v>18023</v>
      </c>
      <c r="F15" s="66" t="s">
        <v>35</v>
      </c>
      <c r="G15" s="67">
        <v>18346</v>
      </c>
      <c r="H15" s="66">
        <v>19450</v>
      </c>
      <c r="I15" s="66">
        <v>17974</v>
      </c>
      <c r="J15" s="66">
        <v>18760</v>
      </c>
      <c r="K15" s="66">
        <v>20435</v>
      </c>
      <c r="L15" s="66">
        <v>23006</v>
      </c>
      <c r="M15" s="66">
        <v>26221</v>
      </c>
      <c r="N15" s="66">
        <v>24669</v>
      </c>
      <c r="O15" s="66">
        <v>23270</v>
      </c>
      <c r="P15" s="66">
        <v>29424</v>
      </c>
      <c r="Q15" s="66">
        <v>53915</v>
      </c>
      <c r="R15" s="295" t="s">
        <v>152</v>
      </c>
    </row>
    <row r="16" spans="1:18" s="63" customFormat="1" ht="16.2" thickBot="1" x14ac:dyDescent="0.35">
      <c r="A16" s="88" t="s">
        <v>36</v>
      </c>
      <c r="B16" s="87">
        <v>14568.5</v>
      </c>
      <c r="C16" s="72">
        <v>16713</v>
      </c>
      <c r="D16" s="72">
        <v>14999</v>
      </c>
      <c r="E16" s="72">
        <v>19563.96</v>
      </c>
      <c r="F16" s="72">
        <v>36799</v>
      </c>
      <c r="G16" s="72">
        <v>13742</v>
      </c>
      <c r="H16" s="71">
        <v>15129</v>
      </c>
      <c r="I16" s="71">
        <v>13729</v>
      </c>
      <c r="J16" s="71">
        <v>16052</v>
      </c>
      <c r="K16" s="71">
        <v>16828</v>
      </c>
      <c r="L16" s="71">
        <v>12614</v>
      </c>
      <c r="M16" s="71">
        <v>20598</v>
      </c>
      <c r="N16" s="71">
        <v>19994</v>
      </c>
      <c r="O16" s="71">
        <v>20914</v>
      </c>
      <c r="P16" s="71">
        <v>26124</v>
      </c>
      <c r="Q16" s="71">
        <v>41189</v>
      </c>
      <c r="R16" s="292" t="s">
        <v>152</v>
      </c>
    </row>
    <row r="17" spans="1:18" s="63" customFormat="1" ht="16.2" thickTop="1" x14ac:dyDescent="0.3">
      <c r="A17" s="171" t="s">
        <v>37</v>
      </c>
      <c r="B17" s="277">
        <f>SUM(B5:B16)</f>
        <v>196401.22999999998</v>
      </c>
      <c r="C17" s="273">
        <f t="shared" ref="C17:I17" si="0">SUM(C5:C16)</f>
        <v>214186.45</v>
      </c>
      <c r="D17" s="273">
        <f t="shared" si="0"/>
        <v>219377.36</v>
      </c>
      <c r="E17" s="273">
        <f t="shared" si="0"/>
        <v>228616.63999999998</v>
      </c>
      <c r="F17" s="273">
        <f t="shared" si="0"/>
        <v>237140.37</v>
      </c>
      <c r="G17" s="273">
        <f t="shared" si="0"/>
        <v>213596</v>
      </c>
      <c r="H17" s="273">
        <f t="shared" si="0"/>
        <v>256538</v>
      </c>
      <c r="I17" s="273">
        <f t="shared" si="0"/>
        <v>277633</v>
      </c>
      <c r="J17" s="273">
        <f t="shared" ref="J17:P17" si="1">SUM(J5:J16)</f>
        <v>247627</v>
      </c>
      <c r="K17" s="273">
        <f t="shared" si="1"/>
        <v>245083</v>
      </c>
      <c r="L17" s="273">
        <f t="shared" si="1"/>
        <v>260812</v>
      </c>
      <c r="M17" s="273">
        <f t="shared" si="1"/>
        <v>273820</v>
      </c>
      <c r="N17" s="273">
        <f t="shared" si="1"/>
        <v>293015</v>
      </c>
      <c r="O17" s="273">
        <f t="shared" si="1"/>
        <v>278081</v>
      </c>
      <c r="P17" s="273">
        <f t="shared" si="1"/>
        <v>306759</v>
      </c>
      <c r="Q17" s="273">
        <f t="shared" ref="Q17" si="2">SUM(Q5:Q16)</f>
        <v>366116</v>
      </c>
      <c r="R17" s="288">
        <f t="shared" ref="R17" si="3">SUM(R5:R16)</f>
        <v>276072</v>
      </c>
    </row>
    <row r="18" spans="1:18" s="113" customFormat="1" ht="6.6" x14ac:dyDescent="0.3">
      <c r="A18" s="371" t="s">
        <v>174</v>
      </c>
      <c r="B18" s="371"/>
      <c r="C18" s="371"/>
      <c r="D18" s="371"/>
      <c r="E18" s="371"/>
      <c r="F18" s="371"/>
      <c r="G18" s="371"/>
      <c r="H18" s="371"/>
      <c r="I18" s="371"/>
      <c r="J18" s="371"/>
      <c r="K18" s="371"/>
      <c r="L18" s="371"/>
      <c r="M18" s="371"/>
      <c r="N18" s="371"/>
      <c r="O18" s="371"/>
      <c r="P18" s="371"/>
      <c r="Q18" s="371"/>
      <c r="R18" s="371"/>
    </row>
    <row r="19" spans="1:18" s="106" customFormat="1" ht="18" x14ac:dyDescent="0.3">
      <c r="A19" s="370" t="s">
        <v>67</v>
      </c>
      <c r="B19" s="370"/>
      <c r="C19" s="370"/>
      <c r="D19" s="370"/>
      <c r="E19" s="370"/>
      <c r="F19" s="370"/>
      <c r="G19" s="370"/>
      <c r="H19" s="370"/>
      <c r="I19" s="370"/>
      <c r="J19" s="370"/>
      <c r="K19" s="370"/>
      <c r="L19" s="370"/>
      <c r="M19" s="370"/>
      <c r="N19" s="370"/>
      <c r="O19" s="370"/>
      <c r="P19" s="370"/>
      <c r="Q19" s="370"/>
      <c r="R19" s="370"/>
    </row>
    <row r="20" spans="1:18" s="63" customFormat="1" ht="15.6" x14ac:dyDescent="0.3">
      <c r="A20" s="172" t="s">
        <v>23</v>
      </c>
      <c r="B20" s="91">
        <v>2004</v>
      </c>
      <c r="C20" s="64">
        <v>2005</v>
      </c>
      <c r="D20" s="64">
        <v>2006</v>
      </c>
      <c r="E20" s="64">
        <v>2007</v>
      </c>
      <c r="F20" s="64">
        <v>2008</v>
      </c>
      <c r="G20" s="64">
        <v>2009</v>
      </c>
      <c r="H20" s="64">
        <v>2010</v>
      </c>
      <c r="I20" s="64">
        <v>2011</v>
      </c>
      <c r="J20" s="65">
        <v>2012</v>
      </c>
      <c r="K20" s="65">
        <v>2013</v>
      </c>
      <c r="L20" s="65">
        <v>2014</v>
      </c>
      <c r="M20" s="65">
        <v>2015</v>
      </c>
      <c r="N20" s="65">
        <v>2016</v>
      </c>
      <c r="O20" s="65">
        <v>2017</v>
      </c>
      <c r="P20" s="65">
        <v>2018</v>
      </c>
      <c r="Q20" s="65">
        <v>2019</v>
      </c>
      <c r="R20" s="49">
        <v>2020</v>
      </c>
    </row>
    <row r="21" spans="1:18" s="63" customFormat="1" ht="15.6" x14ac:dyDescent="0.3">
      <c r="A21" s="76" t="s">
        <v>24</v>
      </c>
      <c r="B21" s="278">
        <v>649.39</v>
      </c>
      <c r="C21" s="272">
        <v>1064</v>
      </c>
      <c r="D21" s="271">
        <v>5969</v>
      </c>
      <c r="E21" s="271">
        <v>7872</v>
      </c>
      <c r="F21" s="271">
        <v>1923</v>
      </c>
      <c r="G21" s="272">
        <v>2497</v>
      </c>
      <c r="H21" s="271">
        <v>5356</v>
      </c>
      <c r="I21" s="271">
        <v>4301</v>
      </c>
      <c r="J21" s="271">
        <v>3277</v>
      </c>
      <c r="K21" s="271">
        <v>4313</v>
      </c>
      <c r="L21" s="271">
        <v>2240</v>
      </c>
      <c r="M21" s="271">
        <v>4851</v>
      </c>
      <c r="N21" s="271">
        <v>2474</v>
      </c>
      <c r="O21" s="271">
        <v>3178</v>
      </c>
      <c r="P21" s="271">
        <v>4894</v>
      </c>
      <c r="Q21" s="271">
        <v>4748</v>
      </c>
      <c r="R21" s="286">
        <v>9841</v>
      </c>
    </row>
    <row r="22" spans="1:18" s="63" customFormat="1" ht="15.6" x14ac:dyDescent="0.3">
      <c r="A22" s="75" t="s">
        <v>25</v>
      </c>
      <c r="B22" s="170">
        <v>866.73</v>
      </c>
      <c r="C22" s="67">
        <v>1156</v>
      </c>
      <c r="D22" s="66">
        <v>4399</v>
      </c>
      <c r="E22" s="66">
        <v>4423</v>
      </c>
      <c r="F22" s="66">
        <v>642</v>
      </c>
      <c r="G22" s="67">
        <v>1145</v>
      </c>
      <c r="H22" s="66">
        <v>-13588</v>
      </c>
      <c r="I22" s="66">
        <v>3204</v>
      </c>
      <c r="J22" s="66">
        <v>1736</v>
      </c>
      <c r="K22" s="66">
        <v>1838</v>
      </c>
      <c r="L22" s="66">
        <v>3635</v>
      </c>
      <c r="M22" s="66">
        <v>1322</v>
      </c>
      <c r="N22" s="66">
        <v>1554</v>
      </c>
      <c r="O22" s="66">
        <v>-18</v>
      </c>
      <c r="P22" s="66">
        <v>2306</v>
      </c>
      <c r="Q22" s="66">
        <v>2599</v>
      </c>
      <c r="R22" s="287">
        <v>4275</v>
      </c>
    </row>
    <row r="23" spans="1:18" s="63" customFormat="1" ht="15.6" x14ac:dyDescent="0.3">
      <c r="A23" s="75" t="s">
        <v>26</v>
      </c>
      <c r="B23" s="170">
        <v>541</v>
      </c>
      <c r="C23" s="67">
        <v>565</v>
      </c>
      <c r="D23" s="66">
        <v>3253</v>
      </c>
      <c r="E23" s="66">
        <v>3768</v>
      </c>
      <c r="F23" s="66">
        <v>1628</v>
      </c>
      <c r="G23" s="67">
        <v>1534</v>
      </c>
      <c r="H23" s="66">
        <v>2882</v>
      </c>
      <c r="I23" s="66">
        <v>1655</v>
      </c>
      <c r="J23" s="66">
        <v>5285</v>
      </c>
      <c r="K23" s="66">
        <v>3265</v>
      </c>
      <c r="L23" s="66">
        <v>2462</v>
      </c>
      <c r="M23" s="66">
        <v>2666</v>
      </c>
      <c r="N23" s="66">
        <v>1478</v>
      </c>
      <c r="O23" s="66">
        <v>3131</v>
      </c>
      <c r="P23" s="66">
        <v>2718</v>
      </c>
      <c r="Q23" s="66">
        <v>1350</v>
      </c>
      <c r="R23" s="287">
        <v>4707</v>
      </c>
    </row>
    <row r="24" spans="1:18" s="63" customFormat="1" ht="15.6" x14ac:dyDescent="0.3">
      <c r="A24" s="75" t="s">
        <v>27</v>
      </c>
      <c r="B24" s="170">
        <v>818</v>
      </c>
      <c r="C24" s="67">
        <v>3008</v>
      </c>
      <c r="D24" s="66">
        <v>4097.26</v>
      </c>
      <c r="E24" s="66">
        <v>3051</v>
      </c>
      <c r="F24" s="66">
        <v>1465.1</v>
      </c>
      <c r="G24" s="67">
        <v>2693</v>
      </c>
      <c r="H24" s="66">
        <v>1800</v>
      </c>
      <c r="I24" s="66">
        <v>2388</v>
      </c>
      <c r="J24" s="66">
        <v>3529</v>
      </c>
      <c r="K24" s="66">
        <v>2002</v>
      </c>
      <c r="L24" s="66">
        <v>5283</v>
      </c>
      <c r="M24" s="66">
        <v>2354</v>
      </c>
      <c r="N24" s="66">
        <v>4826</v>
      </c>
      <c r="O24" s="66">
        <v>3949</v>
      </c>
      <c r="P24" s="66">
        <v>2562</v>
      </c>
      <c r="Q24" s="66">
        <v>3552</v>
      </c>
      <c r="R24" s="287">
        <v>9001</v>
      </c>
    </row>
    <row r="25" spans="1:18" s="63" customFormat="1" ht="15.6" x14ac:dyDescent="0.3">
      <c r="A25" s="75" t="s">
        <v>28</v>
      </c>
      <c r="B25" s="170">
        <v>472</v>
      </c>
      <c r="C25" s="67">
        <v>2390</v>
      </c>
      <c r="D25" s="66">
        <v>2862.75</v>
      </c>
      <c r="E25" s="66">
        <v>1722</v>
      </c>
      <c r="F25" s="66">
        <v>2439</v>
      </c>
      <c r="G25" s="67">
        <v>1783</v>
      </c>
      <c r="H25" s="66">
        <v>1616</v>
      </c>
      <c r="I25" s="66">
        <v>5188</v>
      </c>
      <c r="J25" s="66">
        <v>2052</v>
      </c>
      <c r="K25" s="66">
        <v>2426</v>
      </c>
      <c r="L25" s="66">
        <v>2293</v>
      </c>
      <c r="M25" s="66">
        <v>1621</v>
      </c>
      <c r="N25" s="66">
        <v>5994</v>
      </c>
      <c r="O25" s="66">
        <v>-295</v>
      </c>
      <c r="P25" s="66">
        <v>2697</v>
      </c>
      <c r="Q25" s="66">
        <v>2515</v>
      </c>
      <c r="R25" s="287">
        <v>5577</v>
      </c>
    </row>
    <row r="26" spans="1:18" s="63" customFormat="1" ht="15.6" x14ac:dyDescent="0.3">
      <c r="A26" s="75" t="s">
        <v>29</v>
      </c>
      <c r="B26" s="170">
        <v>704</v>
      </c>
      <c r="C26" s="67">
        <v>3638</v>
      </c>
      <c r="D26" s="66">
        <v>2040.49</v>
      </c>
      <c r="E26" s="66">
        <v>3175</v>
      </c>
      <c r="F26" s="66">
        <v>1342</v>
      </c>
      <c r="G26" s="67">
        <v>962</v>
      </c>
      <c r="H26" s="66">
        <v>1451</v>
      </c>
      <c r="I26" s="66">
        <v>2109</v>
      </c>
      <c r="J26" s="66">
        <v>5026</v>
      </c>
      <c r="K26" s="66">
        <v>1648</v>
      </c>
      <c r="L26" s="66">
        <v>2684</v>
      </c>
      <c r="M26" s="66">
        <v>1832</v>
      </c>
      <c r="N26" s="66">
        <v>1650</v>
      </c>
      <c r="O26" s="66">
        <v>4243</v>
      </c>
      <c r="P26" s="66">
        <v>3005</v>
      </c>
      <c r="Q26" s="66">
        <v>2225</v>
      </c>
      <c r="R26" s="287">
        <v>1049</v>
      </c>
    </row>
    <row r="27" spans="1:18" s="63" customFormat="1" ht="15.6" x14ac:dyDescent="0.3">
      <c r="A27" s="75" t="s">
        <v>30</v>
      </c>
      <c r="B27" s="170">
        <v>2102.0100000000002</v>
      </c>
      <c r="C27" s="67">
        <v>639</v>
      </c>
      <c r="D27" s="66">
        <v>316</v>
      </c>
      <c r="E27" s="66">
        <v>623.69000000000005</v>
      </c>
      <c r="F27" s="66">
        <v>199</v>
      </c>
      <c r="G27" s="67">
        <v>517</v>
      </c>
      <c r="H27" s="66">
        <v>1257</v>
      </c>
      <c r="I27" s="66">
        <v>2128</v>
      </c>
      <c r="J27" s="66">
        <v>1859</v>
      </c>
      <c r="K27" s="66">
        <v>1705</v>
      </c>
      <c r="L27" s="66">
        <v>13040</v>
      </c>
      <c r="M27" s="66">
        <v>1683</v>
      </c>
      <c r="N27" s="66">
        <v>1736</v>
      </c>
      <c r="O27" s="66">
        <v>2459</v>
      </c>
      <c r="P27" s="66">
        <v>2818</v>
      </c>
      <c r="Q27" s="66">
        <v>2818</v>
      </c>
      <c r="R27" s="295" t="s">
        <v>152</v>
      </c>
    </row>
    <row r="28" spans="1:18" s="63" customFormat="1" ht="15.6" x14ac:dyDescent="0.3">
      <c r="A28" s="75" t="s">
        <v>31</v>
      </c>
      <c r="B28" s="170">
        <v>667</v>
      </c>
      <c r="C28" s="67">
        <v>2591</v>
      </c>
      <c r="D28" s="66">
        <v>2861</v>
      </c>
      <c r="E28" s="66">
        <v>3002.35</v>
      </c>
      <c r="F28" s="66">
        <v>1264</v>
      </c>
      <c r="G28" s="67">
        <v>1108</v>
      </c>
      <c r="H28" s="66">
        <v>938</v>
      </c>
      <c r="I28" s="66">
        <v>926</v>
      </c>
      <c r="J28" s="66">
        <v>1952</v>
      </c>
      <c r="K28" s="66">
        <v>1076</v>
      </c>
      <c r="L28" s="66">
        <v>1234</v>
      </c>
      <c r="M28" s="66">
        <v>3120</v>
      </c>
      <c r="N28" s="66">
        <v>11596</v>
      </c>
      <c r="O28" s="66">
        <v>1496</v>
      </c>
      <c r="P28" s="66">
        <v>2739</v>
      </c>
      <c r="Q28" s="66">
        <v>1592</v>
      </c>
      <c r="R28" s="295" t="s">
        <v>152</v>
      </c>
    </row>
    <row r="29" spans="1:18" s="63" customFormat="1" ht="15.6" x14ac:dyDescent="0.3">
      <c r="A29" s="75" t="s">
        <v>32</v>
      </c>
      <c r="B29" s="170">
        <v>10</v>
      </c>
      <c r="C29" s="67">
        <v>3065.51</v>
      </c>
      <c r="D29" s="66">
        <v>4361</v>
      </c>
      <c r="E29" s="66">
        <v>2528.84</v>
      </c>
      <c r="F29" s="66">
        <v>862</v>
      </c>
      <c r="G29" s="67">
        <v>805</v>
      </c>
      <c r="H29" s="66">
        <v>1116</v>
      </c>
      <c r="I29" s="66">
        <v>3217</v>
      </c>
      <c r="J29" s="66">
        <v>3567</v>
      </c>
      <c r="K29" s="66">
        <v>1891</v>
      </c>
      <c r="L29" s="66">
        <v>1561</v>
      </c>
      <c r="M29" s="66">
        <v>2020</v>
      </c>
      <c r="N29" s="66">
        <v>1346</v>
      </c>
      <c r="O29" s="66">
        <v>1940</v>
      </c>
      <c r="P29" s="66">
        <v>899</v>
      </c>
      <c r="Q29" s="66">
        <v>3113</v>
      </c>
      <c r="R29" s="295" t="s">
        <v>152</v>
      </c>
    </row>
    <row r="30" spans="1:18" s="63" customFormat="1" ht="15.6" x14ac:dyDescent="0.3">
      <c r="A30" s="75" t="s">
        <v>33</v>
      </c>
      <c r="B30" s="170">
        <v>920.13</v>
      </c>
      <c r="C30" s="67">
        <v>2219</v>
      </c>
      <c r="D30" s="66">
        <v>4368</v>
      </c>
      <c r="E30" s="66">
        <v>4692</v>
      </c>
      <c r="F30" s="66">
        <v>1140</v>
      </c>
      <c r="G30" s="67">
        <v>1182</v>
      </c>
      <c r="H30" s="66">
        <v>1475</v>
      </c>
      <c r="I30" s="66">
        <v>1918</v>
      </c>
      <c r="J30" s="66">
        <v>1155</v>
      </c>
      <c r="K30" s="66">
        <v>1225</v>
      </c>
      <c r="L30" s="66">
        <v>2595</v>
      </c>
      <c r="M30" s="66">
        <v>1784</v>
      </c>
      <c r="N30" s="66">
        <v>1183</v>
      </c>
      <c r="O30" s="66">
        <v>-11405</v>
      </c>
      <c r="P30" s="66">
        <v>917</v>
      </c>
      <c r="Q30" s="66">
        <v>3632</v>
      </c>
      <c r="R30" s="295" t="s">
        <v>152</v>
      </c>
    </row>
    <row r="31" spans="1:18" s="63" customFormat="1" ht="15.6" x14ac:dyDescent="0.3">
      <c r="A31" s="75" t="s">
        <v>34</v>
      </c>
      <c r="B31" s="170">
        <v>-61</v>
      </c>
      <c r="C31" s="67">
        <v>2309</v>
      </c>
      <c r="D31" s="66">
        <v>5404.74</v>
      </c>
      <c r="E31" s="66">
        <v>4954.51</v>
      </c>
      <c r="F31" s="66">
        <v>1139.42</v>
      </c>
      <c r="G31" s="67">
        <v>380</v>
      </c>
      <c r="H31" s="66">
        <v>3753</v>
      </c>
      <c r="I31" s="66">
        <v>1183</v>
      </c>
      <c r="J31" s="66">
        <v>3022</v>
      </c>
      <c r="K31" s="66">
        <v>2844</v>
      </c>
      <c r="L31" s="66">
        <v>1113</v>
      </c>
      <c r="M31" s="66">
        <v>3347</v>
      </c>
      <c r="N31" s="66">
        <v>3936</v>
      </c>
      <c r="O31" s="66">
        <v>1956</v>
      </c>
      <c r="P31" s="66">
        <v>3473</v>
      </c>
      <c r="Q31" s="66">
        <v>4725</v>
      </c>
      <c r="R31" s="295" t="s">
        <v>152</v>
      </c>
    </row>
    <row r="32" spans="1:18" s="63" customFormat="1" ht="16.2" thickBot="1" x14ac:dyDescent="0.35">
      <c r="A32" s="88" t="s">
        <v>36</v>
      </c>
      <c r="B32" s="87">
        <v>498</v>
      </c>
      <c r="C32" s="72">
        <v>3303</v>
      </c>
      <c r="D32" s="71">
        <v>5798</v>
      </c>
      <c r="E32" s="71">
        <v>2338.33</v>
      </c>
      <c r="F32" s="71">
        <v>3555</v>
      </c>
      <c r="G32" s="72">
        <v>1200</v>
      </c>
      <c r="H32" s="71">
        <v>951</v>
      </c>
      <c r="I32" s="71">
        <v>5587</v>
      </c>
      <c r="J32" s="71">
        <v>4566</v>
      </c>
      <c r="K32" s="71">
        <v>1618</v>
      </c>
      <c r="L32" s="71">
        <v>1964</v>
      </c>
      <c r="M32" s="71">
        <v>1322</v>
      </c>
      <c r="N32" s="71">
        <v>2672</v>
      </c>
      <c r="O32" s="71">
        <v>4214</v>
      </c>
      <c r="P32" s="71">
        <v>3387</v>
      </c>
      <c r="Q32" s="71">
        <v>2695</v>
      </c>
      <c r="R32" s="292" t="s">
        <v>152</v>
      </c>
    </row>
    <row r="33" spans="1:18" s="63" customFormat="1" ht="16.2" thickTop="1" x14ac:dyDescent="0.3">
      <c r="A33" s="171" t="s">
        <v>37</v>
      </c>
      <c r="B33" s="277">
        <f>SUM(B21:B32)</f>
        <v>8187.26</v>
      </c>
      <c r="C33" s="273">
        <f t="shared" ref="C33:I33" si="4">SUM(C21:C32)</f>
        <v>25947.510000000002</v>
      </c>
      <c r="D33" s="273">
        <f t="shared" si="4"/>
        <v>45730.239999999998</v>
      </c>
      <c r="E33" s="273">
        <f t="shared" si="4"/>
        <v>42150.720000000001</v>
      </c>
      <c r="F33" s="273">
        <f t="shared" si="4"/>
        <v>17598.52</v>
      </c>
      <c r="G33" s="273">
        <f t="shared" si="4"/>
        <v>15806</v>
      </c>
      <c r="H33" s="273">
        <f t="shared" si="4"/>
        <v>9007</v>
      </c>
      <c r="I33" s="273">
        <f t="shared" si="4"/>
        <v>33804</v>
      </c>
      <c r="J33" s="273">
        <f t="shared" ref="J33:P33" si="5">SUM(J21:J32)</f>
        <v>37026</v>
      </c>
      <c r="K33" s="273">
        <f t="shared" si="5"/>
        <v>25851</v>
      </c>
      <c r="L33" s="273">
        <f t="shared" si="5"/>
        <v>40104</v>
      </c>
      <c r="M33" s="273">
        <f t="shared" si="5"/>
        <v>27922</v>
      </c>
      <c r="N33" s="273">
        <f t="shared" si="5"/>
        <v>40445</v>
      </c>
      <c r="O33" s="273">
        <f t="shared" si="5"/>
        <v>14848</v>
      </c>
      <c r="P33" s="273">
        <f t="shared" si="5"/>
        <v>32415</v>
      </c>
      <c r="Q33" s="273">
        <f t="shared" ref="Q33" si="6">SUM(Q21:Q32)</f>
        <v>35564</v>
      </c>
      <c r="R33" s="288">
        <f t="shared" ref="R33" si="7">SUM(R21:R32)</f>
        <v>34450</v>
      </c>
    </row>
    <row r="34" spans="1:18" s="113" customFormat="1" ht="6.6" x14ac:dyDescent="0.3">
      <c r="A34" s="371" t="s">
        <v>174</v>
      </c>
      <c r="B34" s="371"/>
      <c r="C34" s="371"/>
      <c r="D34" s="371"/>
      <c r="E34" s="371"/>
      <c r="F34" s="371"/>
      <c r="G34" s="371"/>
      <c r="H34" s="371"/>
      <c r="I34" s="371"/>
      <c r="J34" s="371"/>
      <c r="K34" s="371"/>
      <c r="L34" s="371"/>
      <c r="M34" s="371"/>
      <c r="N34" s="371"/>
      <c r="O34" s="371"/>
      <c r="P34" s="371"/>
      <c r="Q34" s="371"/>
      <c r="R34" s="371"/>
    </row>
    <row r="35" spans="1:18" s="106" customFormat="1" ht="18" x14ac:dyDescent="0.3">
      <c r="A35" s="370" t="s">
        <v>129</v>
      </c>
      <c r="B35" s="370"/>
      <c r="C35" s="370"/>
      <c r="D35" s="370"/>
      <c r="E35" s="370"/>
      <c r="F35" s="370"/>
      <c r="G35" s="370"/>
      <c r="H35" s="370"/>
      <c r="I35" s="370"/>
      <c r="J35" s="370"/>
      <c r="K35" s="370"/>
      <c r="L35" s="370"/>
      <c r="M35" s="370"/>
      <c r="N35" s="370"/>
      <c r="O35" s="370"/>
      <c r="P35" s="370"/>
      <c r="Q35" s="370"/>
      <c r="R35" s="370"/>
    </row>
    <row r="36" spans="1:18" s="63" customFormat="1" ht="15.6" x14ac:dyDescent="0.3">
      <c r="A36" s="172" t="s">
        <v>23</v>
      </c>
      <c r="B36" s="91">
        <v>2004</v>
      </c>
      <c r="C36" s="64">
        <v>2005</v>
      </c>
      <c r="D36" s="64">
        <v>2006</v>
      </c>
      <c r="E36" s="64">
        <v>2007</v>
      </c>
      <c r="F36" s="64">
        <v>2008</v>
      </c>
      <c r="G36" s="64">
        <v>2009</v>
      </c>
      <c r="H36" s="64">
        <v>2010</v>
      </c>
      <c r="I36" s="64">
        <v>2011</v>
      </c>
      <c r="J36" s="65">
        <v>2012</v>
      </c>
      <c r="K36" s="65">
        <v>2013</v>
      </c>
      <c r="L36" s="65">
        <v>2014</v>
      </c>
      <c r="M36" s="65">
        <v>2015</v>
      </c>
      <c r="N36" s="65">
        <v>2016</v>
      </c>
      <c r="O36" s="65">
        <v>2017</v>
      </c>
      <c r="P36" s="65">
        <v>2018</v>
      </c>
      <c r="Q36" s="65">
        <v>2019</v>
      </c>
      <c r="R36" s="49">
        <v>2020</v>
      </c>
    </row>
    <row r="37" spans="1:18" s="63" customFormat="1" ht="15.6" x14ac:dyDescent="0.3">
      <c r="A37" s="76" t="s">
        <v>24</v>
      </c>
      <c r="B37" s="108" t="s">
        <v>152</v>
      </c>
      <c r="C37" s="107" t="s">
        <v>152</v>
      </c>
      <c r="D37" s="83" t="s">
        <v>152</v>
      </c>
      <c r="E37" s="83" t="s">
        <v>152</v>
      </c>
      <c r="F37" s="83" t="s">
        <v>152</v>
      </c>
      <c r="G37" s="272">
        <v>0</v>
      </c>
      <c r="H37" s="271">
        <v>0</v>
      </c>
      <c r="I37" s="271">
        <v>-11</v>
      </c>
      <c r="J37" s="271">
        <v>0</v>
      </c>
      <c r="K37" s="271">
        <v>0</v>
      </c>
      <c r="L37" s="271">
        <v>-17</v>
      </c>
      <c r="M37" s="271">
        <v>0</v>
      </c>
      <c r="N37" s="271">
        <v>0</v>
      </c>
      <c r="O37" s="271">
        <v>0</v>
      </c>
      <c r="P37" s="271">
        <v>0</v>
      </c>
      <c r="Q37" s="271">
        <v>0</v>
      </c>
      <c r="R37" s="286">
        <v>0</v>
      </c>
    </row>
    <row r="38" spans="1:18" s="63" customFormat="1" ht="15.6" x14ac:dyDescent="0.3">
      <c r="A38" s="75" t="s">
        <v>25</v>
      </c>
      <c r="B38" s="170" t="s">
        <v>152</v>
      </c>
      <c r="C38" s="67" t="s">
        <v>152</v>
      </c>
      <c r="D38" s="66" t="s">
        <v>152</v>
      </c>
      <c r="E38" s="66" t="s">
        <v>152</v>
      </c>
      <c r="F38" s="66" t="s">
        <v>152</v>
      </c>
      <c r="G38" s="67">
        <v>-90</v>
      </c>
      <c r="H38" s="66">
        <v>-59</v>
      </c>
      <c r="I38" s="66">
        <v>0</v>
      </c>
      <c r="J38" s="66">
        <v>0</v>
      </c>
      <c r="K38" s="66">
        <v>0</v>
      </c>
      <c r="L38" s="66">
        <v>0</v>
      </c>
      <c r="M38" s="66">
        <v>-57</v>
      </c>
      <c r="N38" s="66">
        <v>-62</v>
      </c>
      <c r="O38" s="66">
        <v>0</v>
      </c>
      <c r="P38" s="66">
        <v>0</v>
      </c>
      <c r="Q38" s="66">
        <v>0</v>
      </c>
      <c r="R38" s="287">
        <v>0</v>
      </c>
    </row>
    <row r="39" spans="1:18" s="63" customFormat="1" ht="15.6" x14ac:dyDescent="0.3">
      <c r="A39" s="75" t="s">
        <v>26</v>
      </c>
      <c r="B39" s="170" t="s">
        <v>152</v>
      </c>
      <c r="C39" s="67" t="s">
        <v>152</v>
      </c>
      <c r="D39" s="66" t="s">
        <v>152</v>
      </c>
      <c r="E39" s="66" t="s">
        <v>152</v>
      </c>
      <c r="F39" s="66" t="s">
        <v>152</v>
      </c>
      <c r="G39" s="67">
        <v>-4</v>
      </c>
      <c r="H39" s="66">
        <v>-71</v>
      </c>
      <c r="I39" s="66">
        <v>0</v>
      </c>
      <c r="J39" s="66">
        <v>-30</v>
      </c>
      <c r="K39" s="66">
        <v>0</v>
      </c>
      <c r="L39" s="66">
        <v>0</v>
      </c>
      <c r="M39" s="66">
        <v>-1405</v>
      </c>
      <c r="N39" s="66">
        <v>0</v>
      </c>
      <c r="O39" s="66">
        <v>0</v>
      </c>
      <c r="P39" s="66">
        <v>0</v>
      </c>
      <c r="Q39" s="66">
        <v>0</v>
      </c>
      <c r="R39" s="287">
        <v>-2822</v>
      </c>
    </row>
    <row r="40" spans="1:18" s="63" customFormat="1" ht="15.6" x14ac:dyDescent="0.3">
      <c r="A40" s="75" t="s">
        <v>27</v>
      </c>
      <c r="B40" s="170" t="s">
        <v>152</v>
      </c>
      <c r="C40" s="67" t="s">
        <v>152</v>
      </c>
      <c r="D40" s="66" t="s">
        <v>152</v>
      </c>
      <c r="E40" s="66" t="s">
        <v>152</v>
      </c>
      <c r="F40" s="66" t="s">
        <v>152</v>
      </c>
      <c r="G40" s="67">
        <v>0</v>
      </c>
      <c r="H40" s="66">
        <v>0</v>
      </c>
      <c r="I40" s="66">
        <v>0</v>
      </c>
      <c r="J40" s="66">
        <v>0</v>
      </c>
      <c r="K40" s="66">
        <v>-25</v>
      </c>
      <c r="L40" s="66">
        <v>0</v>
      </c>
      <c r="M40" s="66">
        <v>-26</v>
      </c>
      <c r="N40" s="66">
        <v>-176</v>
      </c>
      <c r="O40" s="66">
        <v>0</v>
      </c>
      <c r="P40" s="66">
        <v>0</v>
      </c>
      <c r="Q40" s="66">
        <v>0</v>
      </c>
      <c r="R40" s="287">
        <v>0</v>
      </c>
    </row>
    <row r="41" spans="1:18" s="63" customFormat="1" ht="15.6" x14ac:dyDescent="0.3">
      <c r="A41" s="75" t="s">
        <v>28</v>
      </c>
      <c r="B41" s="170" t="s">
        <v>152</v>
      </c>
      <c r="C41" s="67" t="s">
        <v>152</v>
      </c>
      <c r="D41" s="66" t="s">
        <v>152</v>
      </c>
      <c r="E41" s="66" t="s">
        <v>152</v>
      </c>
      <c r="F41" s="66" t="s">
        <v>152</v>
      </c>
      <c r="G41" s="67">
        <v>0</v>
      </c>
      <c r="H41" s="66">
        <v>0</v>
      </c>
      <c r="I41" s="66">
        <v>0</v>
      </c>
      <c r="J41" s="66">
        <v>0</v>
      </c>
      <c r="K41" s="66">
        <v>-12</v>
      </c>
      <c r="L41" s="66">
        <v>0</v>
      </c>
      <c r="M41" s="66">
        <v>0</v>
      </c>
      <c r="N41" s="66">
        <v>0</v>
      </c>
      <c r="O41" s="66">
        <v>0</v>
      </c>
      <c r="P41" s="66">
        <v>0</v>
      </c>
      <c r="Q41" s="66">
        <v>0</v>
      </c>
      <c r="R41" s="287">
        <v>0</v>
      </c>
    </row>
    <row r="42" spans="1:18" s="63" customFormat="1" ht="15.6" x14ac:dyDescent="0.3">
      <c r="A42" s="75" t="s">
        <v>29</v>
      </c>
      <c r="B42" s="170" t="s">
        <v>152</v>
      </c>
      <c r="C42" s="67" t="s">
        <v>152</v>
      </c>
      <c r="D42" s="66" t="s">
        <v>152</v>
      </c>
      <c r="E42" s="66" t="s">
        <v>152</v>
      </c>
      <c r="F42" s="66" t="s">
        <v>152</v>
      </c>
      <c r="G42" s="67">
        <v>0</v>
      </c>
      <c r="H42" s="66">
        <v>0</v>
      </c>
      <c r="I42" s="66">
        <v>0</v>
      </c>
      <c r="J42" s="66">
        <v>0</v>
      </c>
      <c r="K42" s="66">
        <v>0</v>
      </c>
      <c r="L42" s="66">
        <v>0</v>
      </c>
      <c r="M42" s="66">
        <v>0</v>
      </c>
      <c r="N42" s="66">
        <v>0</v>
      </c>
      <c r="O42" s="66">
        <v>0</v>
      </c>
      <c r="P42" s="66">
        <v>0</v>
      </c>
      <c r="Q42" s="66">
        <v>0</v>
      </c>
      <c r="R42" s="287">
        <v>-9</v>
      </c>
    </row>
    <row r="43" spans="1:18" s="63" customFormat="1" ht="15.6" x14ac:dyDescent="0.3">
      <c r="A43" s="75" t="s">
        <v>30</v>
      </c>
      <c r="B43" s="170" t="s">
        <v>152</v>
      </c>
      <c r="C43" s="67" t="s">
        <v>152</v>
      </c>
      <c r="D43" s="66" t="s">
        <v>152</v>
      </c>
      <c r="E43" s="66" t="s">
        <v>152</v>
      </c>
      <c r="F43" s="66" t="s">
        <v>152</v>
      </c>
      <c r="G43" s="67">
        <v>-8</v>
      </c>
      <c r="H43" s="66">
        <v>0</v>
      </c>
      <c r="I43" s="66">
        <v>-430</v>
      </c>
      <c r="J43" s="66">
        <v>0</v>
      </c>
      <c r="K43" s="66">
        <v>0</v>
      </c>
      <c r="L43" s="66">
        <v>-13063</v>
      </c>
      <c r="M43" s="66">
        <v>0</v>
      </c>
      <c r="N43" s="66">
        <v>0</v>
      </c>
      <c r="O43" s="66">
        <v>-5197</v>
      </c>
      <c r="P43" s="66">
        <v>0</v>
      </c>
      <c r="Q43" s="66">
        <v>0</v>
      </c>
      <c r="R43" s="295" t="s">
        <v>152</v>
      </c>
    </row>
    <row r="44" spans="1:18" s="63" customFormat="1" ht="15.6" x14ac:dyDescent="0.3">
      <c r="A44" s="75" t="s">
        <v>31</v>
      </c>
      <c r="B44" s="170" t="s">
        <v>152</v>
      </c>
      <c r="C44" s="67" t="s">
        <v>152</v>
      </c>
      <c r="D44" s="66" t="s">
        <v>152</v>
      </c>
      <c r="E44" s="66" t="s">
        <v>152</v>
      </c>
      <c r="F44" s="66" t="s">
        <v>152</v>
      </c>
      <c r="G44" s="67">
        <v>0</v>
      </c>
      <c r="H44" s="66">
        <v>0</v>
      </c>
      <c r="I44" s="66">
        <v>0</v>
      </c>
      <c r="J44" s="66">
        <v>0</v>
      </c>
      <c r="K44" s="66">
        <v>0</v>
      </c>
      <c r="L44" s="66">
        <v>0</v>
      </c>
      <c r="M44" s="66">
        <v>0</v>
      </c>
      <c r="N44" s="66">
        <v>0</v>
      </c>
      <c r="O44" s="66">
        <v>-87</v>
      </c>
      <c r="P44" s="66">
        <v>0</v>
      </c>
      <c r="Q44" s="66">
        <v>0</v>
      </c>
      <c r="R44" s="295" t="s">
        <v>152</v>
      </c>
    </row>
    <row r="45" spans="1:18" s="63" customFormat="1" ht="15.6" x14ac:dyDescent="0.3">
      <c r="A45" s="75" t="s">
        <v>32</v>
      </c>
      <c r="B45" s="170" t="s">
        <v>152</v>
      </c>
      <c r="C45" s="67" t="s">
        <v>152</v>
      </c>
      <c r="D45" s="66" t="s">
        <v>152</v>
      </c>
      <c r="E45" s="66" t="s">
        <v>152</v>
      </c>
      <c r="F45" s="66" t="s">
        <v>152</v>
      </c>
      <c r="G45" s="67">
        <v>0</v>
      </c>
      <c r="H45" s="66">
        <v>0</v>
      </c>
      <c r="I45" s="66">
        <v>0</v>
      </c>
      <c r="J45" s="66">
        <v>0</v>
      </c>
      <c r="K45" s="66">
        <v>-3248</v>
      </c>
      <c r="L45" s="66">
        <v>-200</v>
      </c>
      <c r="M45" s="66">
        <v>-5</v>
      </c>
      <c r="N45" s="66">
        <v>0</v>
      </c>
      <c r="O45" s="66">
        <v>0</v>
      </c>
      <c r="P45" s="66">
        <v>0</v>
      </c>
      <c r="Q45" s="66">
        <v>0</v>
      </c>
      <c r="R45" s="295" t="s">
        <v>152</v>
      </c>
    </row>
    <row r="46" spans="1:18" s="63" customFormat="1" ht="15.6" x14ac:dyDescent="0.3">
      <c r="A46" s="75" t="s">
        <v>33</v>
      </c>
      <c r="B46" s="170" t="s">
        <v>152</v>
      </c>
      <c r="C46" s="67" t="s">
        <v>152</v>
      </c>
      <c r="D46" s="66" t="s">
        <v>152</v>
      </c>
      <c r="E46" s="66" t="s">
        <v>152</v>
      </c>
      <c r="F46" s="66" t="s">
        <v>152</v>
      </c>
      <c r="G46" s="67">
        <v>0</v>
      </c>
      <c r="H46" s="66">
        <v>0</v>
      </c>
      <c r="I46" s="66">
        <v>0</v>
      </c>
      <c r="J46" s="66">
        <v>0</v>
      </c>
      <c r="K46" s="66">
        <v>0</v>
      </c>
      <c r="L46" s="66">
        <v>0</v>
      </c>
      <c r="M46" s="66">
        <v>0</v>
      </c>
      <c r="N46" s="66">
        <v>0</v>
      </c>
      <c r="O46" s="66">
        <v>-26</v>
      </c>
      <c r="P46" s="66">
        <v>0</v>
      </c>
      <c r="Q46" s="66">
        <v>0</v>
      </c>
      <c r="R46" s="295" t="s">
        <v>152</v>
      </c>
    </row>
    <row r="47" spans="1:18" s="63" customFormat="1" ht="15.6" x14ac:dyDescent="0.3">
      <c r="A47" s="75" t="s">
        <v>34</v>
      </c>
      <c r="B47" s="170" t="s">
        <v>152</v>
      </c>
      <c r="C47" s="67" t="s">
        <v>152</v>
      </c>
      <c r="D47" s="66" t="s">
        <v>152</v>
      </c>
      <c r="E47" s="66" t="s">
        <v>152</v>
      </c>
      <c r="F47" s="66" t="s">
        <v>152</v>
      </c>
      <c r="G47" s="67">
        <v>0</v>
      </c>
      <c r="H47" s="66">
        <v>0</v>
      </c>
      <c r="I47" s="66">
        <v>-166</v>
      </c>
      <c r="J47" s="66">
        <v>0</v>
      </c>
      <c r="K47" s="66">
        <v>0</v>
      </c>
      <c r="L47" s="66">
        <v>0</v>
      </c>
      <c r="M47" s="66">
        <v>-16</v>
      </c>
      <c r="N47" s="66">
        <v>0</v>
      </c>
      <c r="O47" s="66">
        <v>0</v>
      </c>
      <c r="P47" s="66">
        <v>0</v>
      </c>
      <c r="Q47" s="66">
        <v>0</v>
      </c>
      <c r="R47" s="295" t="s">
        <v>152</v>
      </c>
    </row>
    <row r="48" spans="1:18" s="63" customFormat="1" ht="16.2" thickBot="1" x14ac:dyDescent="0.35">
      <c r="A48" s="88" t="s">
        <v>36</v>
      </c>
      <c r="B48" s="87" t="s">
        <v>152</v>
      </c>
      <c r="C48" s="72" t="s">
        <v>152</v>
      </c>
      <c r="D48" s="71" t="s">
        <v>152</v>
      </c>
      <c r="E48" s="71" t="s">
        <v>152</v>
      </c>
      <c r="F48" s="71" t="s">
        <v>152</v>
      </c>
      <c r="G48" s="72">
        <v>0</v>
      </c>
      <c r="H48" s="71">
        <v>0</v>
      </c>
      <c r="I48" s="71">
        <v>-2799</v>
      </c>
      <c r="J48" s="71">
        <v>0</v>
      </c>
      <c r="K48" s="71">
        <v>0</v>
      </c>
      <c r="L48" s="71">
        <v>-1149</v>
      </c>
      <c r="M48" s="71">
        <v>0</v>
      </c>
      <c r="N48" s="71">
        <v>0</v>
      </c>
      <c r="O48" s="71">
        <v>0</v>
      </c>
      <c r="P48" s="71">
        <v>0</v>
      </c>
      <c r="Q48" s="71">
        <v>0</v>
      </c>
      <c r="R48" s="292" t="s">
        <v>152</v>
      </c>
    </row>
    <row r="49" spans="1:18" s="63" customFormat="1" ht="16.2" thickTop="1" x14ac:dyDescent="0.3">
      <c r="A49" s="171" t="s">
        <v>37</v>
      </c>
      <c r="B49" s="90" t="s">
        <v>152</v>
      </c>
      <c r="C49" s="73" t="s">
        <v>152</v>
      </c>
      <c r="D49" s="73" t="s">
        <v>152</v>
      </c>
      <c r="E49" s="73" t="s">
        <v>152</v>
      </c>
      <c r="F49" s="73" t="s">
        <v>152</v>
      </c>
      <c r="G49" s="273">
        <f t="shared" ref="G49:I49" si="8">SUM(G37:G48)</f>
        <v>-102</v>
      </c>
      <c r="H49" s="273">
        <f t="shared" si="8"/>
        <v>-130</v>
      </c>
      <c r="I49" s="273">
        <f t="shared" si="8"/>
        <v>-3406</v>
      </c>
      <c r="J49" s="273">
        <f t="shared" ref="J49:P49" si="9">SUM(J37:J48)</f>
        <v>-30</v>
      </c>
      <c r="K49" s="273">
        <f t="shared" si="9"/>
        <v>-3285</v>
      </c>
      <c r="L49" s="273">
        <f t="shared" si="9"/>
        <v>-14429</v>
      </c>
      <c r="M49" s="273">
        <f t="shared" si="9"/>
        <v>-1509</v>
      </c>
      <c r="N49" s="273">
        <f t="shared" si="9"/>
        <v>-238</v>
      </c>
      <c r="O49" s="273">
        <f t="shared" si="9"/>
        <v>-5310</v>
      </c>
      <c r="P49" s="273">
        <f t="shared" si="9"/>
        <v>0</v>
      </c>
      <c r="Q49" s="273">
        <f t="shared" ref="Q49" si="10">SUM(Q37:Q48)</f>
        <v>0</v>
      </c>
      <c r="R49" s="288">
        <f t="shared" ref="R49" si="11">SUM(R37:R48)</f>
        <v>-2831</v>
      </c>
    </row>
    <row r="50" spans="1:18" s="113" customFormat="1" ht="6.6" x14ac:dyDescent="0.3">
      <c r="A50" s="371" t="s">
        <v>174</v>
      </c>
      <c r="B50" s="371"/>
      <c r="C50" s="371"/>
      <c r="D50" s="371"/>
      <c r="E50" s="371"/>
      <c r="F50" s="371"/>
      <c r="G50" s="371"/>
      <c r="H50" s="371"/>
      <c r="I50" s="371"/>
      <c r="J50" s="371"/>
      <c r="K50" s="371"/>
      <c r="L50" s="371"/>
      <c r="M50" s="371"/>
      <c r="N50" s="371"/>
      <c r="O50" s="371"/>
      <c r="P50" s="371"/>
      <c r="Q50" s="371"/>
      <c r="R50" s="371"/>
    </row>
    <row r="51" spans="1:18" s="111" customFormat="1" ht="13.8" x14ac:dyDescent="0.3">
      <c r="A51" s="388" t="s">
        <v>39</v>
      </c>
      <c r="B51" s="388"/>
      <c r="C51" s="388"/>
      <c r="D51" s="388"/>
      <c r="E51" s="388"/>
      <c r="F51" s="388"/>
      <c r="G51" s="388"/>
      <c r="H51" s="388"/>
      <c r="I51" s="388"/>
      <c r="J51" s="388"/>
      <c r="K51" s="388"/>
      <c r="L51" s="388"/>
      <c r="M51" s="388"/>
      <c r="N51" s="388"/>
      <c r="O51" s="388"/>
      <c r="P51" s="388"/>
      <c r="Q51" s="388"/>
      <c r="R51" s="388"/>
    </row>
    <row r="52" spans="1:18" s="111" customFormat="1" ht="13.8" x14ac:dyDescent="0.3">
      <c r="A52" s="384" t="str">
        <f>'Local SUT'!A60</f>
        <v>Source:  Minnesota Department of Revenue, Tax Research Division, February 2021</v>
      </c>
      <c r="B52" s="384"/>
      <c r="C52" s="384"/>
      <c r="D52" s="384"/>
      <c r="E52" s="384"/>
      <c r="F52" s="384"/>
      <c r="G52" s="384"/>
      <c r="H52" s="384"/>
      <c r="I52" s="384"/>
      <c r="J52" s="384"/>
      <c r="K52" s="384"/>
      <c r="L52" s="384"/>
      <c r="M52" s="384"/>
      <c r="N52" s="384"/>
      <c r="O52" s="384"/>
      <c r="P52" s="384"/>
      <c r="Q52" s="384"/>
      <c r="R52" s="384"/>
    </row>
    <row r="53" spans="1:18" s="111" customFormat="1" ht="13.8" x14ac:dyDescent="0.3">
      <c r="A53" s="393" t="s">
        <v>151</v>
      </c>
      <c r="B53" s="393"/>
      <c r="C53" s="393"/>
      <c r="D53" s="393"/>
      <c r="E53" s="393"/>
      <c r="F53" s="393"/>
      <c r="G53" s="393"/>
      <c r="H53" s="393"/>
      <c r="I53" s="393"/>
      <c r="J53" s="393"/>
      <c r="K53" s="393"/>
      <c r="L53" s="393"/>
      <c r="M53" s="393"/>
      <c r="N53" s="393"/>
      <c r="O53" s="393"/>
      <c r="P53" s="393"/>
      <c r="Q53" s="393"/>
      <c r="R53" s="393"/>
    </row>
    <row r="54" spans="1:18" x14ac:dyDescent="0.3">
      <c r="R54" s="117"/>
    </row>
  </sheetData>
  <mergeCells count="11">
    <mergeCell ref="A1:R1"/>
    <mergeCell ref="A2:R2"/>
    <mergeCell ref="A3:R3"/>
    <mergeCell ref="A18:R18"/>
    <mergeCell ref="A19:R19"/>
    <mergeCell ref="A53:R53"/>
    <mergeCell ref="A34:R34"/>
    <mergeCell ref="A35:R35"/>
    <mergeCell ref="A50:R50"/>
    <mergeCell ref="A51:R51"/>
    <mergeCell ref="A52:R52"/>
  </mergeCells>
  <pageMargins left="0" right="0" top="0.75" bottom="0.75" header="0.3" footer="0.3"/>
  <pageSetup scale="74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6">
    <pageSetUpPr fitToPage="1"/>
  </sheetPr>
  <dimension ref="A1:T54"/>
  <sheetViews>
    <sheetView showGridLines="0" workbookViewId="0">
      <pane ySplit="1" topLeftCell="A2" activePane="bottomLeft" state="frozen"/>
      <selection pane="bottomLeft" sqref="A1:T1"/>
    </sheetView>
  </sheetViews>
  <sheetFormatPr defaultColWidth="12.5546875" defaultRowHeight="14.4" x14ac:dyDescent="0.3"/>
  <cols>
    <col min="1" max="1" width="12.5546875" style="173"/>
    <col min="2" max="15" width="13.5546875" style="173" hidden="1" customWidth="1"/>
    <col min="16" max="17" width="13.5546875" style="173" customWidth="1"/>
    <col min="18" max="18" width="13.5546875" style="145" customWidth="1"/>
    <col min="19" max="16384" width="12.5546875" style="173"/>
  </cols>
  <sheetData>
    <row r="1" spans="1:20" s="112" customFormat="1" ht="21" x14ac:dyDescent="0.3">
      <c r="A1" s="394" t="s">
        <v>216</v>
      </c>
      <c r="B1" s="394"/>
      <c r="C1" s="394"/>
      <c r="D1" s="394"/>
      <c r="E1" s="394"/>
      <c r="F1" s="394"/>
      <c r="G1" s="394"/>
      <c r="H1" s="394"/>
      <c r="I1" s="394"/>
      <c r="J1" s="394"/>
      <c r="K1" s="394"/>
      <c r="L1" s="394"/>
      <c r="M1" s="394"/>
      <c r="N1" s="394"/>
      <c r="O1" s="394"/>
      <c r="P1" s="394"/>
      <c r="Q1" s="394"/>
      <c r="R1" s="394"/>
      <c r="S1" s="394"/>
      <c r="T1" s="394"/>
    </row>
    <row r="2" spans="1:20" s="106" customFormat="1" ht="18" x14ac:dyDescent="0.3">
      <c r="A2" s="381" t="str">
        <f>'Local SUT'!A2</f>
        <v>CY 2004-2020</v>
      </c>
      <c r="B2" s="381"/>
      <c r="C2" s="381"/>
      <c r="D2" s="381"/>
      <c r="E2" s="381"/>
      <c r="F2" s="381"/>
      <c r="G2" s="381"/>
      <c r="H2" s="381"/>
      <c r="I2" s="381"/>
      <c r="J2" s="381"/>
      <c r="K2" s="381"/>
      <c r="L2" s="381"/>
      <c r="M2" s="381"/>
      <c r="N2" s="381"/>
      <c r="O2" s="381"/>
      <c r="P2" s="381"/>
      <c r="Q2" s="381"/>
      <c r="R2" s="381"/>
    </row>
    <row r="3" spans="1:20" s="106" customFormat="1" ht="18" x14ac:dyDescent="0.3">
      <c r="A3" s="370" t="s">
        <v>166</v>
      </c>
      <c r="B3" s="370"/>
      <c r="C3" s="370"/>
      <c r="D3" s="370"/>
      <c r="E3" s="370"/>
      <c r="F3" s="370"/>
      <c r="G3" s="370"/>
      <c r="H3" s="370"/>
      <c r="I3" s="370"/>
      <c r="J3" s="370"/>
      <c r="K3" s="370"/>
      <c r="L3" s="370"/>
      <c r="M3" s="370"/>
      <c r="N3" s="370"/>
      <c r="O3" s="370"/>
      <c r="P3" s="370"/>
      <c r="Q3" s="370"/>
      <c r="R3" s="370"/>
    </row>
    <row r="4" spans="1:20" s="63" customFormat="1" ht="15.6" x14ac:dyDescent="0.3">
      <c r="A4" s="172" t="s">
        <v>23</v>
      </c>
      <c r="B4" s="91">
        <v>2004</v>
      </c>
      <c r="C4" s="64">
        <v>2005</v>
      </c>
      <c r="D4" s="64">
        <v>2006</v>
      </c>
      <c r="E4" s="64">
        <v>2007</v>
      </c>
      <c r="F4" s="64">
        <v>2008</v>
      </c>
      <c r="G4" s="64">
        <v>2009</v>
      </c>
      <c r="H4" s="64">
        <v>2010</v>
      </c>
      <c r="I4" s="64">
        <v>2011</v>
      </c>
      <c r="J4" s="65">
        <v>2012</v>
      </c>
      <c r="K4" s="65">
        <v>2013</v>
      </c>
      <c r="L4" s="65">
        <v>2014</v>
      </c>
      <c r="M4" s="65">
        <v>2015</v>
      </c>
      <c r="N4" s="65">
        <v>2016</v>
      </c>
      <c r="O4" s="65">
        <v>2017</v>
      </c>
      <c r="P4" s="65">
        <v>2018</v>
      </c>
      <c r="Q4" s="65">
        <v>2019</v>
      </c>
      <c r="R4" s="49">
        <v>2020</v>
      </c>
    </row>
    <row r="5" spans="1:20" s="63" customFormat="1" ht="15.6" x14ac:dyDescent="0.3">
      <c r="A5" s="76" t="s">
        <v>24</v>
      </c>
      <c r="B5" s="86" t="s">
        <v>152</v>
      </c>
      <c r="C5" s="83" t="s">
        <v>152</v>
      </c>
      <c r="D5" s="83" t="s">
        <v>152</v>
      </c>
      <c r="E5" s="83" t="s">
        <v>152</v>
      </c>
      <c r="F5" s="83" t="s">
        <v>152</v>
      </c>
      <c r="G5" s="83" t="s">
        <v>152</v>
      </c>
      <c r="H5" s="83" t="s">
        <v>152</v>
      </c>
      <c r="I5" s="83" t="s">
        <v>152</v>
      </c>
      <c r="J5" s="83" t="s">
        <v>152</v>
      </c>
      <c r="K5" s="83" t="s">
        <v>152</v>
      </c>
      <c r="L5" s="83" t="s">
        <v>152</v>
      </c>
      <c r="M5" s="83" t="s">
        <v>152</v>
      </c>
      <c r="N5" s="83" t="s">
        <v>152</v>
      </c>
      <c r="O5" s="83" t="s">
        <v>152</v>
      </c>
      <c r="P5" s="271">
        <v>0</v>
      </c>
      <c r="Q5" s="271">
        <v>55523</v>
      </c>
      <c r="R5" s="286">
        <v>52729</v>
      </c>
    </row>
    <row r="6" spans="1:20" s="63" customFormat="1" ht="15.6" x14ac:dyDescent="0.3">
      <c r="A6" s="75" t="s">
        <v>25</v>
      </c>
      <c r="B6" s="70" t="s">
        <v>152</v>
      </c>
      <c r="C6" s="66" t="s">
        <v>152</v>
      </c>
      <c r="D6" s="66" t="s">
        <v>152</v>
      </c>
      <c r="E6" s="66" t="s">
        <v>152</v>
      </c>
      <c r="F6" s="66" t="s">
        <v>152</v>
      </c>
      <c r="G6" s="66" t="s">
        <v>152</v>
      </c>
      <c r="H6" s="66" t="s">
        <v>152</v>
      </c>
      <c r="I6" s="66" t="s">
        <v>152</v>
      </c>
      <c r="J6" s="66" t="s">
        <v>152</v>
      </c>
      <c r="K6" s="66" t="s">
        <v>152</v>
      </c>
      <c r="L6" s="66" t="s">
        <v>152</v>
      </c>
      <c r="M6" s="66" t="s">
        <v>152</v>
      </c>
      <c r="N6" s="66" t="s">
        <v>152</v>
      </c>
      <c r="O6" s="66" t="s">
        <v>152</v>
      </c>
      <c r="P6" s="66">
        <v>36932</v>
      </c>
      <c r="Q6" s="66">
        <v>43418</v>
      </c>
      <c r="R6" s="287">
        <v>41676</v>
      </c>
    </row>
    <row r="7" spans="1:20" s="63" customFormat="1" ht="15.6" x14ac:dyDescent="0.3">
      <c r="A7" s="75" t="s">
        <v>26</v>
      </c>
      <c r="B7" s="70" t="s">
        <v>152</v>
      </c>
      <c r="C7" s="66" t="s">
        <v>152</v>
      </c>
      <c r="D7" s="66" t="s">
        <v>152</v>
      </c>
      <c r="E7" s="66" t="s">
        <v>152</v>
      </c>
      <c r="F7" s="66" t="s">
        <v>152</v>
      </c>
      <c r="G7" s="66" t="s">
        <v>152</v>
      </c>
      <c r="H7" s="66" t="s">
        <v>152</v>
      </c>
      <c r="I7" s="66" t="s">
        <v>152</v>
      </c>
      <c r="J7" s="66" t="s">
        <v>152</v>
      </c>
      <c r="K7" s="66" t="s">
        <v>152</v>
      </c>
      <c r="L7" s="66" t="s">
        <v>152</v>
      </c>
      <c r="M7" s="66" t="s">
        <v>152</v>
      </c>
      <c r="N7" s="66" t="s">
        <v>152</v>
      </c>
      <c r="O7" s="66" t="s">
        <v>152</v>
      </c>
      <c r="P7" s="66">
        <v>46313</v>
      </c>
      <c r="Q7" s="66">
        <v>49461</v>
      </c>
      <c r="R7" s="287">
        <v>45983</v>
      </c>
    </row>
    <row r="8" spans="1:20" s="63" customFormat="1" ht="15.6" x14ac:dyDescent="0.3">
      <c r="A8" s="75" t="s">
        <v>27</v>
      </c>
      <c r="B8" s="70" t="s">
        <v>152</v>
      </c>
      <c r="C8" s="66" t="s">
        <v>152</v>
      </c>
      <c r="D8" s="66" t="s">
        <v>152</v>
      </c>
      <c r="E8" s="66" t="s">
        <v>152</v>
      </c>
      <c r="F8" s="66" t="s">
        <v>152</v>
      </c>
      <c r="G8" s="66" t="s">
        <v>152</v>
      </c>
      <c r="H8" s="66" t="s">
        <v>152</v>
      </c>
      <c r="I8" s="66" t="s">
        <v>152</v>
      </c>
      <c r="J8" s="66" t="s">
        <v>152</v>
      </c>
      <c r="K8" s="66" t="s">
        <v>152</v>
      </c>
      <c r="L8" s="66" t="s">
        <v>152</v>
      </c>
      <c r="M8" s="66" t="s">
        <v>152</v>
      </c>
      <c r="N8" s="66" t="s">
        <v>152</v>
      </c>
      <c r="O8" s="66" t="s">
        <v>152</v>
      </c>
      <c r="P8" s="66">
        <v>46167</v>
      </c>
      <c r="Q8" s="66">
        <v>45057</v>
      </c>
      <c r="R8" s="287">
        <v>43621</v>
      </c>
    </row>
    <row r="9" spans="1:20" s="63" customFormat="1" ht="15.6" x14ac:dyDescent="0.3">
      <c r="A9" s="75" t="s">
        <v>28</v>
      </c>
      <c r="B9" s="70" t="s">
        <v>152</v>
      </c>
      <c r="C9" s="66" t="s">
        <v>152</v>
      </c>
      <c r="D9" s="66" t="s">
        <v>152</v>
      </c>
      <c r="E9" s="66" t="s">
        <v>152</v>
      </c>
      <c r="F9" s="66" t="s">
        <v>152</v>
      </c>
      <c r="G9" s="66" t="s">
        <v>152</v>
      </c>
      <c r="H9" s="66" t="s">
        <v>152</v>
      </c>
      <c r="I9" s="66" t="s">
        <v>152</v>
      </c>
      <c r="J9" s="66" t="s">
        <v>152</v>
      </c>
      <c r="K9" s="66" t="s">
        <v>152</v>
      </c>
      <c r="L9" s="66" t="s">
        <v>152</v>
      </c>
      <c r="M9" s="66" t="s">
        <v>152</v>
      </c>
      <c r="N9" s="66" t="s">
        <v>152</v>
      </c>
      <c r="O9" s="66" t="s">
        <v>152</v>
      </c>
      <c r="P9" s="66">
        <v>41348</v>
      </c>
      <c r="Q9" s="66">
        <v>44889</v>
      </c>
      <c r="R9" s="287">
        <v>36263</v>
      </c>
    </row>
    <row r="10" spans="1:20" s="63" customFormat="1" ht="15.6" x14ac:dyDescent="0.3">
      <c r="A10" s="75" t="s">
        <v>29</v>
      </c>
      <c r="B10" s="70" t="s">
        <v>152</v>
      </c>
      <c r="C10" s="66" t="s">
        <v>152</v>
      </c>
      <c r="D10" s="66" t="s">
        <v>152</v>
      </c>
      <c r="E10" s="66" t="s">
        <v>152</v>
      </c>
      <c r="F10" s="66" t="s">
        <v>152</v>
      </c>
      <c r="G10" s="66" t="s">
        <v>152</v>
      </c>
      <c r="H10" s="66" t="s">
        <v>152</v>
      </c>
      <c r="I10" s="66" t="s">
        <v>152</v>
      </c>
      <c r="J10" s="66" t="s">
        <v>152</v>
      </c>
      <c r="K10" s="66" t="s">
        <v>152</v>
      </c>
      <c r="L10" s="66" t="s">
        <v>152</v>
      </c>
      <c r="M10" s="66" t="s">
        <v>152</v>
      </c>
      <c r="N10" s="66" t="s">
        <v>152</v>
      </c>
      <c r="O10" s="66" t="s">
        <v>152</v>
      </c>
      <c r="P10" s="66">
        <v>59534</v>
      </c>
      <c r="Q10" s="66">
        <v>65733</v>
      </c>
      <c r="R10" s="287">
        <v>64688</v>
      </c>
    </row>
    <row r="11" spans="1:20" s="63" customFormat="1" ht="15.6" x14ac:dyDescent="0.3">
      <c r="A11" s="75" t="s">
        <v>30</v>
      </c>
      <c r="B11" s="70" t="s">
        <v>152</v>
      </c>
      <c r="C11" s="66" t="s">
        <v>152</v>
      </c>
      <c r="D11" s="66" t="s">
        <v>152</v>
      </c>
      <c r="E11" s="66" t="s">
        <v>152</v>
      </c>
      <c r="F11" s="66" t="s">
        <v>152</v>
      </c>
      <c r="G11" s="66" t="s">
        <v>152</v>
      </c>
      <c r="H11" s="66" t="s">
        <v>152</v>
      </c>
      <c r="I11" s="66" t="s">
        <v>152</v>
      </c>
      <c r="J11" s="66" t="s">
        <v>152</v>
      </c>
      <c r="K11" s="66" t="s">
        <v>152</v>
      </c>
      <c r="L11" s="66" t="s">
        <v>152</v>
      </c>
      <c r="M11" s="66" t="s">
        <v>152</v>
      </c>
      <c r="N11" s="66" t="s">
        <v>152</v>
      </c>
      <c r="O11" s="66" t="s">
        <v>152</v>
      </c>
      <c r="P11" s="66">
        <v>80479</v>
      </c>
      <c r="Q11" s="66">
        <v>84625</v>
      </c>
      <c r="R11" s="291" t="s">
        <v>152</v>
      </c>
    </row>
    <row r="12" spans="1:20" s="63" customFormat="1" ht="15.6" x14ac:dyDescent="0.3">
      <c r="A12" s="75" t="s">
        <v>31</v>
      </c>
      <c r="B12" s="70" t="s">
        <v>152</v>
      </c>
      <c r="C12" s="66" t="s">
        <v>152</v>
      </c>
      <c r="D12" s="66" t="s">
        <v>152</v>
      </c>
      <c r="E12" s="66" t="s">
        <v>152</v>
      </c>
      <c r="F12" s="66" t="s">
        <v>152</v>
      </c>
      <c r="G12" s="66" t="s">
        <v>152</v>
      </c>
      <c r="H12" s="66" t="s">
        <v>152</v>
      </c>
      <c r="I12" s="66" t="s">
        <v>152</v>
      </c>
      <c r="J12" s="66" t="s">
        <v>152</v>
      </c>
      <c r="K12" s="66" t="s">
        <v>152</v>
      </c>
      <c r="L12" s="66" t="s">
        <v>152</v>
      </c>
      <c r="M12" s="66" t="s">
        <v>152</v>
      </c>
      <c r="N12" s="66" t="s">
        <v>152</v>
      </c>
      <c r="O12" s="66" t="s">
        <v>152</v>
      </c>
      <c r="P12" s="66">
        <v>106206</v>
      </c>
      <c r="Q12" s="66">
        <v>101949</v>
      </c>
      <c r="R12" s="295" t="s">
        <v>152</v>
      </c>
    </row>
    <row r="13" spans="1:20" s="63" customFormat="1" ht="15.6" x14ac:dyDescent="0.3">
      <c r="A13" s="75" t="s">
        <v>32</v>
      </c>
      <c r="B13" s="70" t="s">
        <v>152</v>
      </c>
      <c r="C13" s="66" t="s">
        <v>152</v>
      </c>
      <c r="D13" s="66" t="s">
        <v>152</v>
      </c>
      <c r="E13" s="66" t="s">
        <v>152</v>
      </c>
      <c r="F13" s="66" t="s">
        <v>152</v>
      </c>
      <c r="G13" s="66" t="s">
        <v>152</v>
      </c>
      <c r="H13" s="66" t="s">
        <v>152</v>
      </c>
      <c r="I13" s="66" t="s">
        <v>152</v>
      </c>
      <c r="J13" s="66" t="s">
        <v>152</v>
      </c>
      <c r="K13" s="66" t="s">
        <v>152</v>
      </c>
      <c r="L13" s="66" t="s">
        <v>152</v>
      </c>
      <c r="M13" s="66" t="s">
        <v>152</v>
      </c>
      <c r="N13" s="66" t="s">
        <v>152</v>
      </c>
      <c r="O13" s="66" t="s">
        <v>152</v>
      </c>
      <c r="P13" s="66">
        <v>96206</v>
      </c>
      <c r="Q13" s="66">
        <v>96975</v>
      </c>
      <c r="R13" s="295" t="s">
        <v>152</v>
      </c>
    </row>
    <row r="14" spans="1:20" s="63" customFormat="1" ht="15.6" x14ac:dyDescent="0.3">
      <c r="A14" s="75" t="s">
        <v>33</v>
      </c>
      <c r="B14" s="70" t="s">
        <v>152</v>
      </c>
      <c r="C14" s="66" t="s">
        <v>152</v>
      </c>
      <c r="D14" s="66" t="s">
        <v>152</v>
      </c>
      <c r="E14" s="66" t="s">
        <v>152</v>
      </c>
      <c r="F14" s="66" t="s">
        <v>152</v>
      </c>
      <c r="G14" s="66" t="s">
        <v>152</v>
      </c>
      <c r="H14" s="66" t="s">
        <v>152</v>
      </c>
      <c r="I14" s="66" t="s">
        <v>152</v>
      </c>
      <c r="J14" s="66" t="s">
        <v>152</v>
      </c>
      <c r="K14" s="66" t="s">
        <v>152</v>
      </c>
      <c r="L14" s="66" t="s">
        <v>152</v>
      </c>
      <c r="M14" s="66" t="s">
        <v>152</v>
      </c>
      <c r="N14" s="66" t="s">
        <v>152</v>
      </c>
      <c r="O14" s="66" t="s">
        <v>152</v>
      </c>
      <c r="P14" s="66">
        <v>67186</v>
      </c>
      <c r="Q14" s="66">
        <v>71340</v>
      </c>
      <c r="R14" s="295" t="s">
        <v>152</v>
      </c>
    </row>
    <row r="15" spans="1:20" s="63" customFormat="1" ht="15.6" x14ac:dyDescent="0.3">
      <c r="A15" s="75" t="s">
        <v>34</v>
      </c>
      <c r="B15" s="70" t="s">
        <v>152</v>
      </c>
      <c r="C15" s="66" t="s">
        <v>152</v>
      </c>
      <c r="D15" s="66" t="s">
        <v>152</v>
      </c>
      <c r="E15" s="66" t="s">
        <v>152</v>
      </c>
      <c r="F15" s="68" t="s">
        <v>152</v>
      </c>
      <c r="G15" s="66" t="s">
        <v>152</v>
      </c>
      <c r="H15" s="66" t="s">
        <v>152</v>
      </c>
      <c r="I15" s="66" t="s">
        <v>152</v>
      </c>
      <c r="J15" s="66" t="s">
        <v>152</v>
      </c>
      <c r="K15" s="68" t="s">
        <v>152</v>
      </c>
      <c r="L15" s="66" t="s">
        <v>152</v>
      </c>
      <c r="M15" s="66" t="s">
        <v>152</v>
      </c>
      <c r="N15" s="66" t="s">
        <v>152</v>
      </c>
      <c r="O15" s="68" t="s">
        <v>152</v>
      </c>
      <c r="P15" s="66">
        <v>52369</v>
      </c>
      <c r="Q15" s="66">
        <v>56243</v>
      </c>
      <c r="R15" s="295" t="s">
        <v>152</v>
      </c>
    </row>
    <row r="16" spans="1:20" s="63" customFormat="1" ht="16.2" thickBot="1" x14ac:dyDescent="0.35">
      <c r="A16" s="88" t="s">
        <v>36</v>
      </c>
      <c r="B16" s="104" t="s">
        <v>152</v>
      </c>
      <c r="C16" s="71" t="s">
        <v>152</v>
      </c>
      <c r="D16" s="71" t="s">
        <v>152</v>
      </c>
      <c r="E16" s="71" t="s">
        <v>152</v>
      </c>
      <c r="F16" s="71" t="s">
        <v>152</v>
      </c>
      <c r="G16" s="71" t="s">
        <v>152</v>
      </c>
      <c r="H16" s="71" t="s">
        <v>152</v>
      </c>
      <c r="I16" s="71" t="s">
        <v>152</v>
      </c>
      <c r="J16" s="71" t="s">
        <v>152</v>
      </c>
      <c r="K16" s="71" t="s">
        <v>152</v>
      </c>
      <c r="L16" s="71" t="s">
        <v>152</v>
      </c>
      <c r="M16" s="71" t="s">
        <v>152</v>
      </c>
      <c r="N16" s="71" t="s">
        <v>152</v>
      </c>
      <c r="O16" s="71" t="s">
        <v>152</v>
      </c>
      <c r="P16" s="71">
        <v>48435</v>
      </c>
      <c r="Q16" s="71">
        <v>44530</v>
      </c>
      <c r="R16" s="292" t="s">
        <v>152</v>
      </c>
    </row>
    <row r="17" spans="1:18" s="63" customFormat="1" ht="16.2" thickTop="1" x14ac:dyDescent="0.3">
      <c r="A17" s="171" t="s">
        <v>37</v>
      </c>
      <c r="B17" s="90" t="s">
        <v>152</v>
      </c>
      <c r="C17" s="73" t="s">
        <v>152</v>
      </c>
      <c r="D17" s="73" t="s">
        <v>152</v>
      </c>
      <c r="E17" s="73" t="s">
        <v>152</v>
      </c>
      <c r="F17" s="73" t="s">
        <v>152</v>
      </c>
      <c r="G17" s="73" t="s">
        <v>152</v>
      </c>
      <c r="H17" s="73" t="s">
        <v>152</v>
      </c>
      <c r="I17" s="73" t="s">
        <v>152</v>
      </c>
      <c r="J17" s="73" t="s">
        <v>152</v>
      </c>
      <c r="K17" s="73" t="s">
        <v>152</v>
      </c>
      <c r="L17" s="73" t="s">
        <v>152</v>
      </c>
      <c r="M17" s="73" t="s">
        <v>152</v>
      </c>
      <c r="N17" s="73" t="s">
        <v>152</v>
      </c>
      <c r="O17" s="73" t="s">
        <v>152</v>
      </c>
      <c r="P17" s="273">
        <f t="shared" ref="P17" si="0">SUM(P5:P16)</f>
        <v>681175</v>
      </c>
      <c r="Q17" s="273">
        <f t="shared" ref="Q17" si="1">SUM(Q5:Q16)</f>
        <v>759743</v>
      </c>
      <c r="R17" s="288">
        <f t="shared" ref="R17" si="2">SUM(R5:R16)</f>
        <v>284960</v>
      </c>
    </row>
    <row r="18" spans="1:18" s="113" customFormat="1" ht="6.6" x14ac:dyDescent="0.3">
      <c r="A18" s="371" t="s">
        <v>174</v>
      </c>
      <c r="B18" s="371"/>
      <c r="C18" s="371"/>
      <c r="D18" s="371"/>
      <c r="E18" s="371"/>
      <c r="F18" s="371"/>
      <c r="G18" s="371"/>
      <c r="H18" s="371"/>
      <c r="I18" s="371"/>
      <c r="J18" s="371"/>
      <c r="K18" s="371"/>
      <c r="L18" s="371"/>
      <c r="M18" s="371"/>
      <c r="N18" s="371"/>
      <c r="O18" s="371"/>
      <c r="P18" s="371"/>
      <c r="Q18" s="371"/>
      <c r="R18" s="371"/>
    </row>
    <row r="19" spans="1:18" s="106" customFormat="1" ht="18" x14ac:dyDescent="0.3">
      <c r="A19" s="370" t="s">
        <v>165</v>
      </c>
      <c r="B19" s="370"/>
      <c r="C19" s="370"/>
      <c r="D19" s="370"/>
      <c r="E19" s="370"/>
      <c r="F19" s="370"/>
      <c r="G19" s="370"/>
      <c r="H19" s="370"/>
      <c r="I19" s="370"/>
      <c r="J19" s="370"/>
      <c r="K19" s="370"/>
      <c r="L19" s="370"/>
      <c r="M19" s="370"/>
      <c r="N19" s="370"/>
      <c r="O19" s="370"/>
      <c r="P19" s="370"/>
      <c r="Q19" s="370"/>
      <c r="R19" s="370"/>
    </row>
    <row r="20" spans="1:18" s="63" customFormat="1" ht="15.6" x14ac:dyDescent="0.3">
      <c r="A20" s="172" t="s">
        <v>23</v>
      </c>
      <c r="B20" s="91">
        <v>2004</v>
      </c>
      <c r="C20" s="64">
        <v>2005</v>
      </c>
      <c r="D20" s="64">
        <v>2006</v>
      </c>
      <c r="E20" s="64">
        <v>2007</v>
      </c>
      <c r="F20" s="64">
        <v>2008</v>
      </c>
      <c r="G20" s="64">
        <v>2009</v>
      </c>
      <c r="H20" s="64">
        <v>2010</v>
      </c>
      <c r="I20" s="64">
        <v>2011</v>
      </c>
      <c r="J20" s="65">
        <v>2012</v>
      </c>
      <c r="K20" s="65">
        <v>2013</v>
      </c>
      <c r="L20" s="65">
        <v>2014</v>
      </c>
      <c r="M20" s="65">
        <v>2015</v>
      </c>
      <c r="N20" s="65">
        <v>2016</v>
      </c>
      <c r="O20" s="65">
        <v>2017</v>
      </c>
      <c r="P20" s="65">
        <v>2018</v>
      </c>
      <c r="Q20" s="65">
        <v>2019</v>
      </c>
      <c r="R20" s="49">
        <v>2020</v>
      </c>
    </row>
    <row r="21" spans="1:18" s="63" customFormat="1" ht="15.6" x14ac:dyDescent="0.3">
      <c r="A21" s="76" t="s">
        <v>24</v>
      </c>
      <c r="B21" s="86" t="s">
        <v>152</v>
      </c>
      <c r="C21" s="83" t="s">
        <v>152</v>
      </c>
      <c r="D21" s="83" t="s">
        <v>152</v>
      </c>
      <c r="E21" s="83" t="s">
        <v>152</v>
      </c>
      <c r="F21" s="83" t="s">
        <v>152</v>
      </c>
      <c r="G21" s="83" t="s">
        <v>152</v>
      </c>
      <c r="H21" s="83" t="s">
        <v>152</v>
      </c>
      <c r="I21" s="83" t="s">
        <v>152</v>
      </c>
      <c r="J21" s="83" t="s">
        <v>152</v>
      </c>
      <c r="K21" s="83" t="s">
        <v>152</v>
      </c>
      <c r="L21" s="83" t="s">
        <v>152</v>
      </c>
      <c r="M21" s="83" t="s">
        <v>152</v>
      </c>
      <c r="N21" s="83" t="s">
        <v>152</v>
      </c>
      <c r="O21" s="83" t="s">
        <v>152</v>
      </c>
      <c r="P21" s="271">
        <v>0</v>
      </c>
      <c r="Q21" s="271">
        <v>541</v>
      </c>
      <c r="R21" s="286">
        <v>1272</v>
      </c>
    </row>
    <row r="22" spans="1:18" s="63" customFormat="1" ht="15.6" x14ac:dyDescent="0.3">
      <c r="A22" s="75" t="s">
        <v>25</v>
      </c>
      <c r="B22" s="70" t="s">
        <v>152</v>
      </c>
      <c r="C22" s="66" t="s">
        <v>152</v>
      </c>
      <c r="D22" s="66" t="s">
        <v>152</v>
      </c>
      <c r="E22" s="66" t="s">
        <v>152</v>
      </c>
      <c r="F22" s="66" t="s">
        <v>152</v>
      </c>
      <c r="G22" s="66" t="s">
        <v>152</v>
      </c>
      <c r="H22" s="66" t="s">
        <v>152</v>
      </c>
      <c r="I22" s="66" t="s">
        <v>152</v>
      </c>
      <c r="J22" s="66" t="s">
        <v>152</v>
      </c>
      <c r="K22" s="66" t="s">
        <v>152</v>
      </c>
      <c r="L22" s="66" t="s">
        <v>152</v>
      </c>
      <c r="M22" s="66" t="s">
        <v>152</v>
      </c>
      <c r="N22" s="66" t="s">
        <v>152</v>
      </c>
      <c r="O22" s="66" t="s">
        <v>152</v>
      </c>
      <c r="P22" s="66">
        <v>407</v>
      </c>
      <c r="Q22" s="66">
        <v>1429</v>
      </c>
      <c r="R22" s="287">
        <v>570</v>
      </c>
    </row>
    <row r="23" spans="1:18" s="63" customFormat="1" ht="15.6" x14ac:dyDescent="0.3">
      <c r="A23" s="75" t="s">
        <v>26</v>
      </c>
      <c r="B23" s="70" t="s">
        <v>152</v>
      </c>
      <c r="C23" s="66" t="s">
        <v>152</v>
      </c>
      <c r="D23" s="66" t="s">
        <v>152</v>
      </c>
      <c r="E23" s="66" t="s">
        <v>152</v>
      </c>
      <c r="F23" s="66" t="s">
        <v>152</v>
      </c>
      <c r="G23" s="66" t="s">
        <v>152</v>
      </c>
      <c r="H23" s="66" t="s">
        <v>152</v>
      </c>
      <c r="I23" s="66" t="s">
        <v>152</v>
      </c>
      <c r="J23" s="66" t="s">
        <v>152</v>
      </c>
      <c r="K23" s="66" t="s">
        <v>152</v>
      </c>
      <c r="L23" s="66" t="s">
        <v>152</v>
      </c>
      <c r="M23" s="66" t="s">
        <v>152</v>
      </c>
      <c r="N23" s="66" t="s">
        <v>152</v>
      </c>
      <c r="O23" s="66" t="s">
        <v>152</v>
      </c>
      <c r="P23" s="66">
        <v>492</v>
      </c>
      <c r="Q23" s="66">
        <v>292</v>
      </c>
      <c r="R23" s="287">
        <v>1277</v>
      </c>
    </row>
    <row r="24" spans="1:18" s="63" customFormat="1" ht="15.6" x14ac:dyDescent="0.3">
      <c r="A24" s="75" t="s">
        <v>27</v>
      </c>
      <c r="B24" s="70" t="s">
        <v>152</v>
      </c>
      <c r="C24" s="66" t="s">
        <v>152</v>
      </c>
      <c r="D24" s="66" t="s">
        <v>152</v>
      </c>
      <c r="E24" s="66" t="s">
        <v>152</v>
      </c>
      <c r="F24" s="66" t="s">
        <v>152</v>
      </c>
      <c r="G24" s="66" t="s">
        <v>152</v>
      </c>
      <c r="H24" s="66" t="s">
        <v>152</v>
      </c>
      <c r="I24" s="66" t="s">
        <v>152</v>
      </c>
      <c r="J24" s="66" t="s">
        <v>152</v>
      </c>
      <c r="K24" s="66" t="s">
        <v>152</v>
      </c>
      <c r="L24" s="66" t="s">
        <v>152</v>
      </c>
      <c r="M24" s="66" t="s">
        <v>152</v>
      </c>
      <c r="N24" s="66" t="s">
        <v>152</v>
      </c>
      <c r="O24" s="66" t="s">
        <v>152</v>
      </c>
      <c r="P24" s="66">
        <v>1248</v>
      </c>
      <c r="Q24" s="66">
        <v>1140</v>
      </c>
      <c r="R24" s="287">
        <v>599</v>
      </c>
    </row>
    <row r="25" spans="1:18" s="63" customFormat="1" ht="15.6" x14ac:dyDescent="0.3">
      <c r="A25" s="75" t="s">
        <v>28</v>
      </c>
      <c r="B25" s="70" t="s">
        <v>152</v>
      </c>
      <c r="C25" s="66" t="s">
        <v>152</v>
      </c>
      <c r="D25" s="66" t="s">
        <v>152</v>
      </c>
      <c r="E25" s="66" t="s">
        <v>152</v>
      </c>
      <c r="F25" s="66" t="s">
        <v>152</v>
      </c>
      <c r="G25" s="66" t="s">
        <v>152</v>
      </c>
      <c r="H25" s="66" t="s">
        <v>152</v>
      </c>
      <c r="I25" s="66" t="s">
        <v>152</v>
      </c>
      <c r="J25" s="66" t="s">
        <v>152</v>
      </c>
      <c r="K25" s="66" t="s">
        <v>152</v>
      </c>
      <c r="L25" s="66" t="s">
        <v>152</v>
      </c>
      <c r="M25" s="66" t="s">
        <v>152</v>
      </c>
      <c r="N25" s="66" t="s">
        <v>152</v>
      </c>
      <c r="O25" s="66" t="s">
        <v>152</v>
      </c>
      <c r="P25" s="66">
        <v>296</v>
      </c>
      <c r="Q25" s="66">
        <v>464</v>
      </c>
      <c r="R25" s="287">
        <v>210</v>
      </c>
    </row>
    <row r="26" spans="1:18" s="63" customFormat="1" ht="15.6" x14ac:dyDescent="0.3">
      <c r="A26" s="75" t="s">
        <v>29</v>
      </c>
      <c r="B26" s="70" t="s">
        <v>152</v>
      </c>
      <c r="C26" s="66" t="s">
        <v>152</v>
      </c>
      <c r="D26" s="66" t="s">
        <v>152</v>
      </c>
      <c r="E26" s="66" t="s">
        <v>152</v>
      </c>
      <c r="F26" s="66" t="s">
        <v>152</v>
      </c>
      <c r="G26" s="66" t="s">
        <v>152</v>
      </c>
      <c r="H26" s="66" t="s">
        <v>152</v>
      </c>
      <c r="I26" s="66" t="s">
        <v>152</v>
      </c>
      <c r="J26" s="66" t="s">
        <v>152</v>
      </c>
      <c r="K26" s="66" t="s">
        <v>152</v>
      </c>
      <c r="L26" s="66" t="s">
        <v>152</v>
      </c>
      <c r="M26" s="66" t="s">
        <v>152</v>
      </c>
      <c r="N26" s="66" t="s">
        <v>152</v>
      </c>
      <c r="O26" s="66" t="s">
        <v>152</v>
      </c>
      <c r="P26" s="66">
        <v>577</v>
      </c>
      <c r="Q26" s="66">
        <v>671</v>
      </c>
      <c r="R26" s="287">
        <v>417</v>
      </c>
    </row>
    <row r="27" spans="1:18" s="63" customFormat="1" ht="15.6" x14ac:dyDescent="0.3">
      <c r="A27" s="75" t="s">
        <v>30</v>
      </c>
      <c r="B27" s="70" t="s">
        <v>152</v>
      </c>
      <c r="C27" s="66" t="s">
        <v>152</v>
      </c>
      <c r="D27" s="66" t="s">
        <v>152</v>
      </c>
      <c r="E27" s="66" t="s">
        <v>152</v>
      </c>
      <c r="F27" s="66" t="s">
        <v>152</v>
      </c>
      <c r="G27" s="66" t="s">
        <v>152</v>
      </c>
      <c r="H27" s="66" t="s">
        <v>152</v>
      </c>
      <c r="I27" s="66" t="s">
        <v>152</v>
      </c>
      <c r="J27" s="66" t="s">
        <v>152</v>
      </c>
      <c r="K27" s="66" t="s">
        <v>152</v>
      </c>
      <c r="L27" s="66" t="s">
        <v>152</v>
      </c>
      <c r="M27" s="66" t="s">
        <v>152</v>
      </c>
      <c r="N27" s="66" t="s">
        <v>152</v>
      </c>
      <c r="O27" s="66" t="s">
        <v>152</v>
      </c>
      <c r="P27" s="66">
        <v>730</v>
      </c>
      <c r="Q27" s="66">
        <v>3095</v>
      </c>
      <c r="R27" s="295" t="s">
        <v>152</v>
      </c>
    </row>
    <row r="28" spans="1:18" s="63" customFormat="1" ht="15.6" x14ac:dyDescent="0.3">
      <c r="A28" s="75" t="s">
        <v>31</v>
      </c>
      <c r="B28" s="70" t="s">
        <v>152</v>
      </c>
      <c r="C28" s="66" t="s">
        <v>152</v>
      </c>
      <c r="D28" s="66" t="s">
        <v>152</v>
      </c>
      <c r="E28" s="66" t="s">
        <v>152</v>
      </c>
      <c r="F28" s="66" t="s">
        <v>152</v>
      </c>
      <c r="G28" s="66" t="s">
        <v>152</v>
      </c>
      <c r="H28" s="66" t="s">
        <v>152</v>
      </c>
      <c r="I28" s="66" t="s">
        <v>152</v>
      </c>
      <c r="J28" s="66" t="s">
        <v>152</v>
      </c>
      <c r="K28" s="66" t="s">
        <v>152</v>
      </c>
      <c r="L28" s="66" t="s">
        <v>152</v>
      </c>
      <c r="M28" s="66" t="s">
        <v>152</v>
      </c>
      <c r="N28" s="66" t="s">
        <v>152</v>
      </c>
      <c r="O28" s="66" t="s">
        <v>152</v>
      </c>
      <c r="P28" s="66">
        <v>431</v>
      </c>
      <c r="Q28" s="66">
        <v>722</v>
      </c>
      <c r="R28" s="295" t="s">
        <v>152</v>
      </c>
    </row>
    <row r="29" spans="1:18" s="63" customFormat="1" ht="15.6" x14ac:dyDescent="0.3">
      <c r="A29" s="75" t="s">
        <v>32</v>
      </c>
      <c r="B29" s="70" t="s">
        <v>152</v>
      </c>
      <c r="C29" s="66" t="s">
        <v>152</v>
      </c>
      <c r="D29" s="66" t="s">
        <v>152</v>
      </c>
      <c r="E29" s="66" t="s">
        <v>152</v>
      </c>
      <c r="F29" s="66" t="s">
        <v>152</v>
      </c>
      <c r="G29" s="66" t="s">
        <v>152</v>
      </c>
      <c r="H29" s="66" t="s">
        <v>152</v>
      </c>
      <c r="I29" s="66" t="s">
        <v>152</v>
      </c>
      <c r="J29" s="66" t="s">
        <v>152</v>
      </c>
      <c r="K29" s="66" t="s">
        <v>152</v>
      </c>
      <c r="L29" s="66" t="s">
        <v>152</v>
      </c>
      <c r="M29" s="66" t="s">
        <v>152</v>
      </c>
      <c r="N29" s="66" t="s">
        <v>152</v>
      </c>
      <c r="O29" s="66" t="s">
        <v>152</v>
      </c>
      <c r="P29" s="66">
        <v>1798</v>
      </c>
      <c r="Q29" s="66">
        <v>1273</v>
      </c>
      <c r="R29" s="295" t="s">
        <v>152</v>
      </c>
    </row>
    <row r="30" spans="1:18" s="63" customFormat="1" ht="15.6" x14ac:dyDescent="0.3">
      <c r="A30" s="75" t="s">
        <v>33</v>
      </c>
      <c r="B30" s="70" t="s">
        <v>152</v>
      </c>
      <c r="C30" s="66" t="s">
        <v>152</v>
      </c>
      <c r="D30" s="66" t="s">
        <v>152</v>
      </c>
      <c r="E30" s="66" t="s">
        <v>152</v>
      </c>
      <c r="F30" s="66" t="s">
        <v>152</v>
      </c>
      <c r="G30" s="66" t="s">
        <v>152</v>
      </c>
      <c r="H30" s="66" t="s">
        <v>152</v>
      </c>
      <c r="I30" s="66" t="s">
        <v>152</v>
      </c>
      <c r="J30" s="66" t="s">
        <v>152</v>
      </c>
      <c r="K30" s="66" t="s">
        <v>152</v>
      </c>
      <c r="L30" s="66" t="s">
        <v>152</v>
      </c>
      <c r="M30" s="66" t="s">
        <v>152</v>
      </c>
      <c r="N30" s="66" t="s">
        <v>152</v>
      </c>
      <c r="O30" s="66" t="s">
        <v>152</v>
      </c>
      <c r="P30" s="66">
        <v>1980</v>
      </c>
      <c r="Q30" s="66">
        <v>1688</v>
      </c>
      <c r="R30" s="295" t="s">
        <v>152</v>
      </c>
    </row>
    <row r="31" spans="1:18" s="63" customFormat="1" ht="15.6" x14ac:dyDescent="0.3">
      <c r="A31" s="75" t="s">
        <v>34</v>
      </c>
      <c r="B31" s="70" t="s">
        <v>152</v>
      </c>
      <c r="C31" s="66" t="s">
        <v>152</v>
      </c>
      <c r="D31" s="66" t="s">
        <v>152</v>
      </c>
      <c r="E31" s="66" t="s">
        <v>152</v>
      </c>
      <c r="F31" s="68" t="s">
        <v>152</v>
      </c>
      <c r="G31" s="66" t="s">
        <v>152</v>
      </c>
      <c r="H31" s="66" t="s">
        <v>152</v>
      </c>
      <c r="I31" s="66" t="s">
        <v>152</v>
      </c>
      <c r="J31" s="66" t="s">
        <v>152</v>
      </c>
      <c r="K31" s="66" t="s">
        <v>152</v>
      </c>
      <c r="L31" s="66" t="s">
        <v>152</v>
      </c>
      <c r="M31" s="66" t="s">
        <v>152</v>
      </c>
      <c r="N31" s="66" t="s">
        <v>152</v>
      </c>
      <c r="O31" s="68" t="s">
        <v>152</v>
      </c>
      <c r="P31" s="66">
        <v>1666</v>
      </c>
      <c r="Q31" s="66">
        <v>831</v>
      </c>
      <c r="R31" s="295" t="s">
        <v>152</v>
      </c>
    </row>
    <row r="32" spans="1:18" s="63" customFormat="1" ht="16.2" thickBot="1" x14ac:dyDescent="0.35">
      <c r="A32" s="88" t="s">
        <v>36</v>
      </c>
      <c r="B32" s="104" t="s">
        <v>152</v>
      </c>
      <c r="C32" s="71" t="s">
        <v>152</v>
      </c>
      <c r="D32" s="71" t="s">
        <v>152</v>
      </c>
      <c r="E32" s="71" t="s">
        <v>152</v>
      </c>
      <c r="F32" s="71" t="s">
        <v>152</v>
      </c>
      <c r="G32" s="71" t="s">
        <v>152</v>
      </c>
      <c r="H32" s="71" t="s">
        <v>152</v>
      </c>
      <c r="I32" s="71" t="s">
        <v>152</v>
      </c>
      <c r="J32" s="71" t="s">
        <v>152</v>
      </c>
      <c r="K32" s="71" t="s">
        <v>152</v>
      </c>
      <c r="L32" s="71" t="s">
        <v>152</v>
      </c>
      <c r="M32" s="71" t="s">
        <v>152</v>
      </c>
      <c r="N32" s="71" t="s">
        <v>152</v>
      </c>
      <c r="O32" s="71" t="s">
        <v>152</v>
      </c>
      <c r="P32" s="71">
        <v>1401</v>
      </c>
      <c r="Q32" s="71">
        <v>716</v>
      </c>
      <c r="R32" s="292" t="s">
        <v>152</v>
      </c>
    </row>
    <row r="33" spans="1:18" s="63" customFormat="1" ht="16.2" thickTop="1" x14ac:dyDescent="0.3">
      <c r="A33" s="171" t="s">
        <v>37</v>
      </c>
      <c r="B33" s="90" t="s">
        <v>152</v>
      </c>
      <c r="C33" s="73" t="s">
        <v>152</v>
      </c>
      <c r="D33" s="73" t="s">
        <v>152</v>
      </c>
      <c r="E33" s="73" t="s">
        <v>152</v>
      </c>
      <c r="F33" s="73" t="s">
        <v>152</v>
      </c>
      <c r="G33" s="73" t="s">
        <v>152</v>
      </c>
      <c r="H33" s="73" t="s">
        <v>152</v>
      </c>
      <c r="I33" s="73" t="s">
        <v>152</v>
      </c>
      <c r="J33" s="73" t="s">
        <v>152</v>
      </c>
      <c r="K33" s="73" t="s">
        <v>152</v>
      </c>
      <c r="L33" s="73" t="s">
        <v>152</v>
      </c>
      <c r="M33" s="73" t="s">
        <v>152</v>
      </c>
      <c r="N33" s="73" t="s">
        <v>152</v>
      </c>
      <c r="O33" s="73" t="s">
        <v>152</v>
      </c>
      <c r="P33" s="273">
        <f>SUM(P21:P32)</f>
        <v>11026</v>
      </c>
      <c r="Q33" s="273">
        <f>SUM(Q21:Q32)</f>
        <v>12862</v>
      </c>
      <c r="R33" s="288">
        <f t="shared" ref="R33" si="3">SUM(R21:R32)</f>
        <v>4345</v>
      </c>
    </row>
    <row r="34" spans="1:18" s="113" customFormat="1" ht="6.6" x14ac:dyDescent="0.3">
      <c r="A34" s="371" t="s">
        <v>174</v>
      </c>
      <c r="B34" s="371"/>
      <c r="C34" s="371"/>
      <c r="D34" s="371"/>
      <c r="E34" s="371"/>
      <c r="F34" s="371"/>
      <c r="G34" s="371"/>
      <c r="H34" s="371"/>
      <c r="I34" s="371"/>
      <c r="J34" s="371"/>
      <c r="K34" s="371"/>
      <c r="L34" s="371"/>
      <c r="M34" s="371"/>
      <c r="N34" s="371"/>
      <c r="O34" s="371"/>
      <c r="P34" s="371"/>
      <c r="Q34" s="371"/>
      <c r="R34" s="371"/>
    </row>
    <row r="35" spans="1:18" s="106" customFormat="1" ht="18" x14ac:dyDescent="0.3">
      <c r="A35" s="370" t="s">
        <v>162</v>
      </c>
      <c r="B35" s="370"/>
      <c r="C35" s="370"/>
      <c r="D35" s="370"/>
      <c r="E35" s="370"/>
      <c r="F35" s="370"/>
      <c r="G35" s="370"/>
      <c r="H35" s="370"/>
      <c r="I35" s="370"/>
      <c r="J35" s="370"/>
      <c r="K35" s="370"/>
      <c r="L35" s="370"/>
      <c r="M35" s="370"/>
      <c r="N35" s="370"/>
      <c r="O35" s="370"/>
      <c r="P35" s="370"/>
      <c r="Q35" s="370"/>
      <c r="R35" s="370"/>
    </row>
    <row r="36" spans="1:18" s="63" customFormat="1" ht="15.6" x14ac:dyDescent="0.3">
      <c r="A36" s="172" t="s">
        <v>23</v>
      </c>
      <c r="B36" s="91">
        <v>2004</v>
      </c>
      <c r="C36" s="64">
        <v>2005</v>
      </c>
      <c r="D36" s="64">
        <v>2006</v>
      </c>
      <c r="E36" s="64">
        <v>2007</v>
      </c>
      <c r="F36" s="64">
        <v>2008</v>
      </c>
      <c r="G36" s="64">
        <v>2009</v>
      </c>
      <c r="H36" s="64">
        <v>2010</v>
      </c>
      <c r="I36" s="64">
        <v>2011</v>
      </c>
      <c r="J36" s="65">
        <v>2012</v>
      </c>
      <c r="K36" s="65">
        <v>2013</v>
      </c>
      <c r="L36" s="65">
        <v>2014</v>
      </c>
      <c r="M36" s="65">
        <v>2015</v>
      </c>
      <c r="N36" s="65">
        <v>2016</v>
      </c>
      <c r="O36" s="65">
        <v>2017</v>
      </c>
      <c r="P36" s="65">
        <v>2018</v>
      </c>
      <c r="Q36" s="65">
        <v>2019</v>
      </c>
      <c r="R36" s="49">
        <v>2020</v>
      </c>
    </row>
    <row r="37" spans="1:18" s="63" customFormat="1" ht="15.6" x14ac:dyDescent="0.3">
      <c r="A37" s="76" t="s">
        <v>24</v>
      </c>
      <c r="B37" s="86" t="s">
        <v>152</v>
      </c>
      <c r="C37" s="83" t="s">
        <v>152</v>
      </c>
      <c r="D37" s="83" t="s">
        <v>152</v>
      </c>
      <c r="E37" s="83" t="s">
        <v>152</v>
      </c>
      <c r="F37" s="83" t="s">
        <v>152</v>
      </c>
      <c r="G37" s="83" t="s">
        <v>152</v>
      </c>
      <c r="H37" s="83" t="s">
        <v>152</v>
      </c>
      <c r="I37" s="83" t="s">
        <v>152</v>
      </c>
      <c r="J37" s="83" t="s">
        <v>152</v>
      </c>
      <c r="K37" s="83" t="s">
        <v>152</v>
      </c>
      <c r="L37" s="83" t="s">
        <v>152</v>
      </c>
      <c r="M37" s="83" t="s">
        <v>152</v>
      </c>
      <c r="N37" s="83" t="s">
        <v>152</v>
      </c>
      <c r="O37" s="83" t="s">
        <v>152</v>
      </c>
      <c r="P37" s="271">
        <v>0</v>
      </c>
      <c r="Q37" s="271">
        <v>0</v>
      </c>
      <c r="R37" s="286">
        <v>0</v>
      </c>
    </row>
    <row r="38" spans="1:18" s="63" customFormat="1" ht="15.6" x14ac:dyDescent="0.3">
      <c r="A38" s="75" t="s">
        <v>25</v>
      </c>
      <c r="B38" s="70" t="s">
        <v>152</v>
      </c>
      <c r="C38" s="66" t="s">
        <v>152</v>
      </c>
      <c r="D38" s="66" t="s">
        <v>152</v>
      </c>
      <c r="E38" s="66" t="s">
        <v>152</v>
      </c>
      <c r="F38" s="66" t="s">
        <v>152</v>
      </c>
      <c r="G38" s="66" t="s">
        <v>152</v>
      </c>
      <c r="H38" s="66" t="s">
        <v>152</v>
      </c>
      <c r="I38" s="66" t="s">
        <v>152</v>
      </c>
      <c r="J38" s="66" t="s">
        <v>152</v>
      </c>
      <c r="K38" s="66" t="s">
        <v>152</v>
      </c>
      <c r="L38" s="66" t="s">
        <v>152</v>
      </c>
      <c r="M38" s="66" t="s">
        <v>152</v>
      </c>
      <c r="N38" s="66" t="s">
        <v>152</v>
      </c>
      <c r="O38" s="66" t="s">
        <v>152</v>
      </c>
      <c r="P38" s="66">
        <v>0</v>
      </c>
      <c r="Q38" s="66">
        <v>0</v>
      </c>
      <c r="R38" s="287">
        <v>0</v>
      </c>
    </row>
    <row r="39" spans="1:18" s="63" customFormat="1" ht="15.6" x14ac:dyDescent="0.3">
      <c r="A39" s="75" t="s">
        <v>26</v>
      </c>
      <c r="B39" s="70" t="s">
        <v>152</v>
      </c>
      <c r="C39" s="66" t="s">
        <v>152</v>
      </c>
      <c r="D39" s="66" t="s">
        <v>152</v>
      </c>
      <c r="E39" s="66" t="s">
        <v>152</v>
      </c>
      <c r="F39" s="66" t="s">
        <v>152</v>
      </c>
      <c r="G39" s="66" t="s">
        <v>152</v>
      </c>
      <c r="H39" s="66" t="s">
        <v>152</v>
      </c>
      <c r="I39" s="66" t="s">
        <v>152</v>
      </c>
      <c r="J39" s="66" t="s">
        <v>152</v>
      </c>
      <c r="K39" s="66" t="s">
        <v>152</v>
      </c>
      <c r="L39" s="66" t="s">
        <v>152</v>
      </c>
      <c r="M39" s="66" t="s">
        <v>152</v>
      </c>
      <c r="N39" s="66" t="s">
        <v>152</v>
      </c>
      <c r="O39" s="66" t="s">
        <v>152</v>
      </c>
      <c r="P39" s="66">
        <v>0</v>
      </c>
      <c r="Q39" s="66">
        <v>0</v>
      </c>
      <c r="R39" s="287">
        <v>0</v>
      </c>
    </row>
    <row r="40" spans="1:18" s="63" customFormat="1" ht="15.6" x14ac:dyDescent="0.3">
      <c r="A40" s="75" t="s">
        <v>27</v>
      </c>
      <c r="B40" s="70" t="s">
        <v>152</v>
      </c>
      <c r="C40" s="66" t="s">
        <v>152</v>
      </c>
      <c r="D40" s="66" t="s">
        <v>152</v>
      </c>
      <c r="E40" s="66" t="s">
        <v>152</v>
      </c>
      <c r="F40" s="66" t="s">
        <v>152</v>
      </c>
      <c r="G40" s="66" t="s">
        <v>152</v>
      </c>
      <c r="H40" s="66" t="s">
        <v>152</v>
      </c>
      <c r="I40" s="66" t="s">
        <v>152</v>
      </c>
      <c r="J40" s="66" t="s">
        <v>152</v>
      </c>
      <c r="K40" s="66" t="s">
        <v>152</v>
      </c>
      <c r="L40" s="66" t="s">
        <v>152</v>
      </c>
      <c r="M40" s="66" t="s">
        <v>152</v>
      </c>
      <c r="N40" s="66" t="s">
        <v>152</v>
      </c>
      <c r="O40" s="66" t="s">
        <v>152</v>
      </c>
      <c r="P40" s="66">
        <v>0</v>
      </c>
      <c r="Q40" s="66">
        <v>0</v>
      </c>
      <c r="R40" s="287">
        <v>0</v>
      </c>
    </row>
    <row r="41" spans="1:18" s="63" customFormat="1" ht="15.6" x14ac:dyDescent="0.3">
      <c r="A41" s="75" t="s">
        <v>28</v>
      </c>
      <c r="B41" s="70" t="s">
        <v>152</v>
      </c>
      <c r="C41" s="66" t="s">
        <v>152</v>
      </c>
      <c r="D41" s="66" t="s">
        <v>152</v>
      </c>
      <c r="E41" s="66" t="s">
        <v>152</v>
      </c>
      <c r="F41" s="66" t="s">
        <v>152</v>
      </c>
      <c r="G41" s="66" t="s">
        <v>152</v>
      </c>
      <c r="H41" s="66" t="s">
        <v>152</v>
      </c>
      <c r="I41" s="66" t="s">
        <v>152</v>
      </c>
      <c r="J41" s="66" t="s">
        <v>152</v>
      </c>
      <c r="K41" s="66" t="s">
        <v>152</v>
      </c>
      <c r="L41" s="66" t="s">
        <v>152</v>
      </c>
      <c r="M41" s="66" t="s">
        <v>152</v>
      </c>
      <c r="N41" s="66" t="s">
        <v>152</v>
      </c>
      <c r="O41" s="66" t="s">
        <v>152</v>
      </c>
      <c r="P41" s="66">
        <v>0</v>
      </c>
      <c r="Q41" s="66">
        <v>0</v>
      </c>
      <c r="R41" s="287">
        <v>0</v>
      </c>
    </row>
    <row r="42" spans="1:18" s="63" customFormat="1" ht="15.6" x14ac:dyDescent="0.3">
      <c r="A42" s="75" t="s">
        <v>29</v>
      </c>
      <c r="B42" s="70" t="s">
        <v>152</v>
      </c>
      <c r="C42" s="66" t="s">
        <v>152</v>
      </c>
      <c r="D42" s="66" t="s">
        <v>152</v>
      </c>
      <c r="E42" s="66" t="s">
        <v>152</v>
      </c>
      <c r="F42" s="66" t="s">
        <v>152</v>
      </c>
      <c r="G42" s="66" t="s">
        <v>152</v>
      </c>
      <c r="H42" s="66" t="s">
        <v>152</v>
      </c>
      <c r="I42" s="66" t="s">
        <v>152</v>
      </c>
      <c r="J42" s="66" t="s">
        <v>152</v>
      </c>
      <c r="K42" s="66" t="s">
        <v>152</v>
      </c>
      <c r="L42" s="66" t="s">
        <v>152</v>
      </c>
      <c r="M42" s="66" t="s">
        <v>152</v>
      </c>
      <c r="N42" s="66" t="s">
        <v>152</v>
      </c>
      <c r="O42" s="66" t="s">
        <v>152</v>
      </c>
      <c r="P42" s="66">
        <v>0</v>
      </c>
      <c r="Q42" s="66">
        <v>0</v>
      </c>
      <c r="R42" s="287">
        <v>0</v>
      </c>
    </row>
    <row r="43" spans="1:18" s="63" customFormat="1" ht="15.6" x14ac:dyDescent="0.3">
      <c r="A43" s="75" t="s">
        <v>30</v>
      </c>
      <c r="B43" s="70" t="s">
        <v>152</v>
      </c>
      <c r="C43" s="66" t="s">
        <v>152</v>
      </c>
      <c r="D43" s="66" t="s">
        <v>152</v>
      </c>
      <c r="E43" s="66" t="s">
        <v>152</v>
      </c>
      <c r="F43" s="66" t="s">
        <v>152</v>
      </c>
      <c r="G43" s="66" t="s">
        <v>152</v>
      </c>
      <c r="H43" s="66" t="s">
        <v>152</v>
      </c>
      <c r="I43" s="66" t="s">
        <v>152</v>
      </c>
      <c r="J43" s="66" t="s">
        <v>152</v>
      </c>
      <c r="K43" s="66" t="s">
        <v>152</v>
      </c>
      <c r="L43" s="66" t="s">
        <v>152</v>
      </c>
      <c r="M43" s="66" t="s">
        <v>152</v>
      </c>
      <c r="N43" s="66" t="s">
        <v>152</v>
      </c>
      <c r="O43" s="66" t="s">
        <v>152</v>
      </c>
      <c r="P43" s="66">
        <v>0</v>
      </c>
      <c r="Q43" s="66">
        <v>0</v>
      </c>
      <c r="R43" s="295" t="s">
        <v>152</v>
      </c>
    </row>
    <row r="44" spans="1:18" s="63" customFormat="1" ht="15.6" x14ac:dyDescent="0.3">
      <c r="A44" s="75" t="s">
        <v>31</v>
      </c>
      <c r="B44" s="70" t="s">
        <v>152</v>
      </c>
      <c r="C44" s="66" t="s">
        <v>152</v>
      </c>
      <c r="D44" s="66" t="s">
        <v>152</v>
      </c>
      <c r="E44" s="66" t="s">
        <v>152</v>
      </c>
      <c r="F44" s="66" t="s">
        <v>152</v>
      </c>
      <c r="G44" s="66" t="s">
        <v>152</v>
      </c>
      <c r="H44" s="66" t="s">
        <v>152</v>
      </c>
      <c r="I44" s="66" t="s">
        <v>152</v>
      </c>
      <c r="J44" s="66" t="s">
        <v>152</v>
      </c>
      <c r="K44" s="66" t="s">
        <v>152</v>
      </c>
      <c r="L44" s="66" t="s">
        <v>152</v>
      </c>
      <c r="M44" s="66" t="s">
        <v>152</v>
      </c>
      <c r="N44" s="66" t="s">
        <v>152</v>
      </c>
      <c r="O44" s="66" t="s">
        <v>152</v>
      </c>
      <c r="P44" s="66">
        <v>0</v>
      </c>
      <c r="Q44" s="66">
        <v>-396</v>
      </c>
      <c r="R44" s="295" t="s">
        <v>152</v>
      </c>
    </row>
    <row r="45" spans="1:18" s="63" customFormat="1" ht="15.6" x14ac:dyDescent="0.3">
      <c r="A45" s="75" t="s">
        <v>32</v>
      </c>
      <c r="B45" s="70" t="s">
        <v>152</v>
      </c>
      <c r="C45" s="66" t="s">
        <v>152</v>
      </c>
      <c r="D45" s="66" t="s">
        <v>152</v>
      </c>
      <c r="E45" s="66" t="s">
        <v>152</v>
      </c>
      <c r="F45" s="66" t="s">
        <v>152</v>
      </c>
      <c r="G45" s="66" t="s">
        <v>152</v>
      </c>
      <c r="H45" s="66" t="s">
        <v>152</v>
      </c>
      <c r="I45" s="66" t="s">
        <v>152</v>
      </c>
      <c r="J45" s="66" t="s">
        <v>152</v>
      </c>
      <c r="K45" s="66" t="s">
        <v>152</v>
      </c>
      <c r="L45" s="66" t="s">
        <v>152</v>
      </c>
      <c r="M45" s="66" t="s">
        <v>152</v>
      </c>
      <c r="N45" s="66" t="s">
        <v>152</v>
      </c>
      <c r="O45" s="66" t="s">
        <v>152</v>
      </c>
      <c r="P45" s="66">
        <v>0</v>
      </c>
      <c r="Q45" s="66">
        <v>-130</v>
      </c>
      <c r="R45" s="295" t="s">
        <v>152</v>
      </c>
    </row>
    <row r="46" spans="1:18" s="63" customFormat="1" ht="15.6" x14ac:dyDescent="0.3">
      <c r="A46" s="75" t="s">
        <v>33</v>
      </c>
      <c r="B46" s="70" t="s">
        <v>152</v>
      </c>
      <c r="C46" s="66" t="s">
        <v>152</v>
      </c>
      <c r="D46" s="66" t="s">
        <v>152</v>
      </c>
      <c r="E46" s="66" t="s">
        <v>152</v>
      </c>
      <c r="F46" s="66" t="s">
        <v>152</v>
      </c>
      <c r="G46" s="66" t="s">
        <v>152</v>
      </c>
      <c r="H46" s="66" t="s">
        <v>152</v>
      </c>
      <c r="I46" s="66" t="s">
        <v>152</v>
      </c>
      <c r="J46" s="66" t="s">
        <v>152</v>
      </c>
      <c r="K46" s="66" t="s">
        <v>152</v>
      </c>
      <c r="L46" s="66" t="s">
        <v>152</v>
      </c>
      <c r="M46" s="66" t="s">
        <v>152</v>
      </c>
      <c r="N46" s="66" t="s">
        <v>152</v>
      </c>
      <c r="O46" s="66" t="s">
        <v>152</v>
      </c>
      <c r="P46" s="66">
        <v>0</v>
      </c>
      <c r="Q46" s="66">
        <v>0</v>
      </c>
      <c r="R46" s="295" t="s">
        <v>152</v>
      </c>
    </row>
    <row r="47" spans="1:18" s="63" customFormat="1" ht="15.6" x14ac:dyDescent="0.3">
      <c r="A47" s="75" t="s">
        <v>34</v>
      </c>
      <c r="B47" s="70" t="s">
        <v>152</v>
      </c>
      <c r="C47" s="66" t="s">
        <v>152</v>
      </c>
      <c r="D47" s="66" t="s">
        <v>152</v>
      </c>
      <c r="E47" s="66" t="s">
        <v>152</v>
      </c>
      <c r="F47" s="68" t="s">
        <v>152</v>
      </c>
      <c r="G47" s="66" t="s">
        <v>152</v>
      </c>
      <c r="H47" s="66" t="s">
        <v>152</v>
      </c>
      <c r="I47" s="66" t="s">
        <v>152</v>
      </c>
      <c r="J47" s="66" t="s">
        <v>152</v>
      </c>
      <c r="K47" s="66" t="s">
        <v>152</v>
      </c>
      <c r="L47" s="66" t="s">
        <v>152</v>
      </c>
      <c r="M47" s="66" t="s">
        <v>152</v>
      </c>
      <c r="N47" s="66" t="s">
        <v>152</v>
      </c>
      <c r="O47" s="68" t="s">
        <v>152</v>
      </c>
      <c r="P47" s="66">
        <v>0</v>
      </c>
      <c r="Q47" s="66">
        <v>0</v>
      </c>
      <c r="R47" s="295" t="s">
        <v>152</v>
      </c>
    </row>
    <row r="48" spans="1:18" s="63" customFormat="1" ht="16.2" thickBot="1" x14ac:dyDescent="0.35">
      <c r="A48" s="88" t="s">
        <v>36</v>
      </c>
      <c r="B48" s="104" t="s">
        <v>152</v>
      </c>
      <c r="C48" s="71" t="s">
        <v>152</v>
      </c>
      <c r="D48" s="71" t="s">
        <v>152</v>
      </c>
      <c r="E48" s="71" t="s">
        <v>152</v>
      </c>
      <c r="F48" s="71" t="s">
        <v>152</v>
      </c>
      <c r="G48" s="71" t="s">
        <v>152</v>
      </c>
      <c r="H48" s="71" t="s">
        <v>152</v>
      </c>
      <c r="I48" s="71" t="s">
        <v>152</v>
      </c>
      <c r="J48" s="71" t="s">
        <v>152</v>
      </c>
      <c r="K48" s="71" t="s">
        <v>152</v>
      </c>
      <c r="L48" s="71" t="s">
        <v>152</v>
      </c>
      <c r="M48" s="71" t="s">
        <v>152</v>
      </c>
      <c r="N48" s="71" t="s">
        <v>152</v>
      </c>
      <c r="O48" s="71" t="s">
        <v>152</v>
      </c>
      <c r="P48" s="71">
        <v>0</v>
      </c>
      <c r="Q48" s="71">
        <v>0</v>
      </c>
      <c r="R48" s="292" t="s">
        <v>152</v>
      </c>
    </row>
    <row r="49" spans="1:20" s="63" customFormat="1" ht="16.2" thickTop="1" x14ac:dyDescent="0.3">
      <c r="A49" s="171" t="s">
        <v>37</v>
      </c>
      <c r="B49" s="90" t="s">
        <v>152</v>
      </c>
      <c r="C49" s="73" t="s">
        <v>152</v>
      </c>
      <c r="D49" s="73" t="s">
        <v>152</v>
      </c>
      <c r="E49" s="73" t="s">
        <v>152</v>
      </c>
      <c r="F49" s="73" t="s">
        <v>152</v>
      </c>
      <c r="G49" s="73" t="s">
        <v>152</v>
      </c>
      <c r="H49" s="73" t="s">
        <v>152</v>
      </c>
      <c r="I49" s="73" t="s">
        <v>152</v>
      </c>
      <c r="J49" s="73" t="s">
        <v>152</v>
      </c>
      <c r="K49" s="73" t="s">
        <v>152</v>
      </c>
      <c r="L49" s="73" t="s">
        <v>152</v>
      </c>
      <c r="M49" s="73" t="s">
        <v>152</v>
      </c>
      <c r="N49" s="73" t="s">
        <v>152</v>
      </c>
      <c r="O49" s="73" t="s">
        <v>152</v>
      </c>
      <c r="P49" s="273">
        <f t="shared" ref="P49" si="4">SUM(P37:P48)</f>
        <v>0</v>
      </c>
      <c r="Q49" s="273">
        <f t="shared" ref="Q49" si="5">SUM(Q37:Q48)</f>
        <v>-526</v>
      </c>
      <c r="R49" s="288">
        <f t="shared" ref="R49" si="6">SUM(R37:R48)</f>
        <v>0</v>
      </c>
    </row>
    <row r="50" spans="1:20" s="113" customFormat="1" ht="6.6" x14ac:dyDescent="0.3">
      <c r="A50" s="371" t="s">
        <v>174</v>
      </c>
      <c r="B50" s="371"/>
      <c r="C50" s="371"/>
      <c r="D50" s="371"/>
      <c r="E50" s="371"/>
      <c r="F50" s="371"/>
      <c r="G50" s="371"/>
      <c r="H50" s="371"/>
      <c r="I50" s="371"/>
      <c r="J50" s="371"/>
      <c r="K50" s="371"/>
      <c r="L50" s="371"/>
      <c r="M50" s="371"/>
      <c r="N50" s="371"/>
      <c r="O50" s="371"/>
      <c r="P50" s="371"/>
      <c r="Q50" s="371"/>
      <c r="R50" s="371"/>
    </row>
    <row r="51" spans="1:20" s="111" customFormat="1" ht="13.8" x14ac:dyDescent="0.3">
      <c r="A51" s="373" t="s">
        <v>175</v>
      </c>
      <c r="B51" s="373"/>
      <c r="C51" s="373"/>
      <c r="D51" s="373"/>
      <c r="E51" s="373"/>
      <c r="F51" s="373"/>
      <c r="G51" s="373"/>
      <c r="H51" s="373"/>
      <c r="I51" s="373"/>
      <c r="J51" s="373"/>
      <c r="K51" s="373"/>
      <c r="L51" s="373"/>
      <c r="M51" s="373"/>
      <c r="N51" s="373"/>
      <c r="O51" s="373"/>
      <c r="P51" s="373"/>
      <c r="Q51" s="373"/>
      <c r="R51" s="373"/>
    </row>
    <row r="52" spans="1:20" s="111" customFormat="1" ht="13.8" x14ac:dyDescent="0.3">
      <c r="A52" s="384" t="str">
        <f>'Local SUT'!A60</f>
        <v>Source:  Minnesota Department of Revenue, Tax Research Division, February 2021</v>
      </c>
      <c r="B52" s="384"/>
      <c r="C52" s="384"/>
      <c r="D52" s="384"/>
      <c r="E52" s="384"/>
      <c r="F52" s="384"/>
      <c r="G52" s="384"/>
      <c r="H52" s="384"/>
      <c r="I52" s="384"/>
      <c r="J52" s="384"/>
      <c r="K52" s="384"/>
      <c r="L52" s="384"/>
      <c r="M52" s="384"/>
      <c r="N52" s="384"/>
      <c r="O52" s="384"/>
      <c r="P52" s="384"/>
      <c r="Q52" s="384"/>
      <c r="R52" s="384"/>
      <c r="S52" s="384"/>
      <c r="T52" s="384"/>
    </row>
    <row r="53" spans="1:20" s="111" customFormat="1" ht="13.8" x14ac:dyDescent="0.3">
      <c r="A53" s="379" t="s">
        <v>151</v>
      </c>
      <c r="B53" s="379"/>
      <c r="C53" s="379"/>
      <c r="D53" s="379"/>
      <c r="E53" s="379"/>
      <c r="F53" s="379"/>
      <c r="G53" s="379"/>
      <c r="H53" s="379"/>
      <c r="I53" s="379"/>
      <c r="J53" s="379"/>
      <c r="K53" s="379"/>
      <c r="L53" s="379"/>
      <c r="M53" s="379"/>
      <c r="N53" s="379"/>
      <c r="O53" s="379"/>
      <c r="P53" s="379"/>
      <c r="Q53" s="379"/>
      <c r="R53" s="379"/>
    </row>
    <row r="54" spans="1:20" x14ac:dyDescent="0.3">
      <c r="R54" s="117"/>
    </row>
  </sheetData>
  <mergeCells count="11">
    <mergeCell ref="A35:R35"/>
    <mergeCell ref="A50:R50"/>
    <mergeCell ref="A53:R53"/>
    <mergeCell ref="A51:R51"/>
    <mergeCell ref="A52:T52"/>
    <mergeCell ref="A34:R34"/>
    <mergeCell ref="A1:T1"/>
    <mergeCell ref="A2:R2"/>
    <mergeCell ref="A3:R3"/>
    <mergeCell ref="A18:R18"/>
    <mergeCell ref="A19:R19"/>
  </mergeCells>
  <pageMargins left="0.5" right="0.5" top="0.75" bottom="0.75" header="0.3" footer="0.3"/>
  <pageSetup scale="86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26">
    <pageSetUpPr fitToPage="1"/>
  </sheetPr>
  <dimension ref="A1:R55"/>
  <sheetViews>
    <sheetView showGridLines="0" workbookViewId="0">
      <pane ySplit="1" topLeftCell="A2" activePane="bottomLeft" state="frozen"/>
      <selection pane="bottomLeft" sqref="A1:R1"/>
    </sheetView>
  </sheetViews>
  <sheetFormatPr defaultColWidth="12.5546875" defaultRowHeight="14.4" x14ac:dyDescent="0.3"/>
  <cols>
    <col min="1" max="1" width="12.5546875" style="180"/>
    <col min="2" max="3" width="13.5546875" style="173" hidden="1" customWidth="1"/>
    <col min="4" max="17" width="13.5546875" style="173" customWidth="1"/>
    <col min="18" max="18" width="13.5546875" style="145" customWidth="1"/>
    <col min="19" max="16384" width="12.5546875" style="173"/>
  </cols>
  <sheetData>
    <row r="1" spans="1:18" s="112" customFormat="1" ht="21" x14ac:dyDescent="0.3">
      <c r="A1" s="380" t="s">
        <v>172</v>
      </c>
      <c r="B1" s="380"/>
      <c r="C1" s="380"/>
      <c r="D1" s="380"/>
      <c r="E1" s="380"/>
      <c r="F1" s="380"/>
      <c r="G1" s="380"/>
      <c r="H1" s="380"/>
      <c r="I1" s="380"/>
      <c r="J1" s="380"/>
      <c r="K1" s="380"/>
      <c r="L1" s="380"/>
      <c r="M1" s="380"/>
      <c r="N1" s="380"/>
      <c r="O1" s="380"/>
      <c r="P1" s="380"/>
      <c r="Q1" s="380"/>
      <c r="R1" s="380"/>
    </row>
    <row r="2" spans="1:18" s="106" customFormat="1" ht="18" x14ac:dyDescent="0.3">
      <c r="A2" s="381" t="str">
        <f>'Local SUT'!A2</f>
        <v>CY 2004-2020</v>
      </c>
      <c r="B2" s="381"/>
      <c r="C2" s="381"/>
      <c r="D2" s="381"/>
      <c r="E2" s="381"/>
      <c r="F2" s="381"/>
      <c r="G2" s="381"/>
      <c r="H2" s="381"/>
      <c r="I2" s="381"/>
      <c r="J2" s="381"/>
      <c r="K2" s="381"/>
      <c r="L2" s="381"/>
      <c r="M2" s="381"/>
      <c r="N2" s="381"/>
      <c r="O2" s="381"/>
      <c r="P2" s="381"/>
      <c r="Q2" s="381"/>
      <c r="R2" s="381"/>
    </row>
    <row r="3" spans="1:18" s="106" customFormat="1" ht="18" x14ac:dyDescent="0.3">
      <c r="A3" s="370" t="s">
        <v>91</v>
      </c>
      <c r="B3" s="370"/>
      <c r="C3" s="370"/>
      <c r="D3" s="370"/>
      <c r="E3" s="370"/>
      <c r="F3" s="370"/>
      <c r="G3" s="370"/>
      <c r="H3" s="370"/>
      <c r="I3" s="370"/>
      <c r="J3" s="370"/>
      <c r="K3" s="370"/>
      <c r="L3" s="370"/>
      <c r="M3" s="370"/>
      <c r="N3" s="370"/>
      <c r="O3" s="370"/>
      <c r="P3" s="370"/>
      <c r="Q3" s="370"/>
      <c r="R3" s="370"/>
    </row>
    <row r="4" spans="1:18" s="63" customFormat="1" ht="15.6" x14ac:dyDescent="0.3">
      <c r="A4" s="77" t="s">
        <v>23</v>
      </c>
      <c r="B4" s="91">
        <v>2004</v>
      </c>
      <c r="C4" s="64">
        <v>2005</v>
      </c>
      <c r="D4" s="64">
        <v>2006</v>
      </c>
      <c r="E4" s="64">
        <v>2007</v>
      </c>
      <c r="F4" s="64">
        <v>2008</v>
      </c>
      <c r="G4" s="64">
        <v>2009</v>
      </c>
      <c r="H4" s="64">
        <v>2010</v>
      </c>
      <c r="I4" s="64">
        <v>2011</v>
      </c>
      <c r="J4" s="65">
        <v>2012</v>
      </c>
      <c r="K4" s="65">
        <v>2013</v>
      </c>
      <c r="L4" s="65">
        <v>2014</v>
      </c>
      <c r="M4" s="65">
        <v>2015</v>
      </c>
      <c r="N4" s="65">
        <v>2016</v>
      </c>
      <c r="O4" s="65">
        <v>2017</v>
      </c>
      <c r="P4" s="65">
        <v>2018</v>
      </c>
      <c r="Q4" s="65">
        <v>2019</v>
      </c>
      <c r="R4" s="49">
        <v>2020</v>
      </c>
    </row>
    <row r="5" spans="1:18" s="63" customFormat="1" ht="15.6" x14ac:dyDescent="0.3">
      <c r="A5" s="76" t="s">
        <v>24</v>
      </c>
      <c r="B5" s="108" t="s">
        <v>152</v>
      </c>
      <c r="C5" s="107" t="s">
        <v>152</v>
      </c>
      <c r="D5" s="271">
        <v>4</v>
      </c>
      <c r="E5" s="271">
        <v>164796.78</v>
      </c>
      <c r="F5" s="271">
        <v>172824.39</v>
      </c>
      <c r="G5" s="271">
        <v>197747</v>
      </c>
      <c r="H5" s="271">
        <v>179521</v>
      </c>
      <c r="I5" s="271">
        <v>163456</v>
      </c>
      <c r="J5" s="271">
        <v>213079</v>
      </c>
      <c r="K5" s="271">
        <v>191501</v>
      </c>
      <c r="L5" s="271">
        <v>4854</v>
      </c>
      <c r="M5" s="271">
        <v>1811</v>
      </c>
      <c r="N5" s="271">
        <v>0</v>
      </c>
      <c r="O5" s="271">
        <v>0</v>
      </c>
      <c r="P5" s="271">
        <v>0</v>
      </c>
      <c r="Q5" s="271">
        <v>0</v>
      </c>
      <c r="R5" s="286">
        <v>175515</v>
      </c>
    </row>
    <row r="6" spans="1:18" s="63" customFormat="1" ht="15.6" x14ac:dyDescent="0.3">
      <c r="A6" s="75" t="s">
        <v>25</v>
      </c>
      <c r="B6" s="170" t="s">
        <v>152</v>
      </c>
      <c r="C6" s="67" t="s">
        <v>152</v>
      </c>
      <c r="D6" s="66">
        <v>86026</v>
      </c>
      <c r="E6" s="66">
        <v>119245.09</v>
      </c>
      <c r="F6" s="66">
        <v>124451.98</v>
      </c>
      <c r="G6" s="67">
        <v>157304</v>
      </c>
      <c r="H6" s="66">
        <v>118179</v>
      </c>
      <c r="I6" s="66">
        <v>122814</v>
      </c>
      <c r="J6" s="66">
        <v>142441</v>
      </c>
      <c r="K6" s="66">
        <v>5873</v>
      </c>
      <c r="L6" s="66">
        <v>1018</v>
      </c>
      <c r="M6" s="66">
        <v>730</v>
      </c>
      <c r="N6" s="66">
        <v>0</v>
      </c>
      <c r="O6" s="66">
        <v>0</v>
      </c>
      <c r="P6" s="66">
        <v>0</v>
      </c>
      <c r="Q6" s="66">
        <v>0</v>
      </c>
      <c r="R6" s="287">
        <v>132576</v>
      </c>
    </row>
    <row r="7" spans="1:18" s="63" customFormat="1" ht="15.6" x14ac:dyDescent="0.3">
      <c r="A7" s="75" t="s">
        <v>26</v>
      </c>
      <c r="B7" s="170" t="s">
        <v>152</v>
      </c>
      <c r="C7" s="67" t="s">
        <v>152</v>
      </c>
      <c r="D7" s="66">
        <v>106519</v>
      </c>
      <c r="E7" s="66">
        <v>107330.42</v>
      </c>
      <c r="F7" s="66">
        <v>125285.1</v>
      </c>
      <c r="G7" s="67">
        <v>118569</v>
      </c>
      <c r="H7" s="66">
        <v>120083</v>
      </c>
      <c r="I7" s="66">
        <v>130198</v>
      </c>
      <c r="J7" s="66">
        <v>145460</v>
      </c>
      <c r="K7" s="66">
        <v>1157</v>
      </c>
      <c r="L7" s="66">
        <v>-15</v>
      </c>
      <c r="M7" s="66">
        <v>1448</v>
      </c>
      <c r="N7" s="66">
        <v>0</v>
      </c>
      <c r="O7" s="66">
        <v>475</v>
      </c>
      <c r="P7" s="66">
        <v>0</v>
      </c>
      <c r="Q7" s="66">
        <v>0</v>
      </c>
      <c r="R7" s="287">
        <v>140315</v>
      </c>
    </row>
    <row r="8" spans="1:18" s="63" customFormat="1" ht="15.6" x14ac:dyDescent="0.3">
      <c r="A8" s="75" t="s">
        <v>27</v>
      </c>
      <c r="B8" s="170" t="s">
        <v>152</v>
      </c>
      <c r="C8" s="67" t="s">
        <v>152</v>
      </c>
      <c r="D8" s="66">
        <v>117280</v>
      </c>
      <c r="E8" s="66">
        <v>132583.51999999999</v>
      </c>
      <c r="F8" s="66">
        <v>131835.25</v>
      </c>
      <c r="G8" s="67">
        <v>130003</v>
      </c>
      <c r="H8" s="66">
        <v>135773</v>
      </c>
      <c r="I8" s="66">
        <v>124321</v>
      </c>
      <c r="J8" s="66">
        <v>156824</v>
      </c>
      <c r="K8" s="66">
        <v>1644</v>
      </c>
      <c r="L8" s="66">
        <v>90</v>
      </c>
      <c r="M8" s="66">
        <v>5</v>
      </c>
      <c r="N8" s="66">
        <v>95</v>
      </c>
      <c r="O8" s="66">
        <v>0</v>
      </c>
      <c r="P8" s="66">
        <v>0</v>
      </c>
      <c r="Q8" s="66">
        <v>0</v>
      </c>
      <c r="R8" s="287">
        <v>147192</v>
      </c>
    </row>
    <row r="9" spans="1:18" s="63" customFormat="1" ht="15.6" x14ac:dyDescent="0.3">
      <c r="A9" s="75" t="s">
        <v>28</v>
      </c>
      <c r="B9" s="170" t="s">
        <v>152</v>
      </c>
      <c r="C9" s="67" t="s">
        <v>152</v>
      </c>
      <c r="D9" s="66">
        <v>117174</v>
      </c>
      <c r="E9" s="66">
        <v>129804.35</v>
      </c>
      <c r="F9" s="66">
        <v>137727.69</v>
      </c>
      <c r="G9" s="67">
        <v>137639</v>
      </c>
      <c r="H9" s="66">
        <v>134768</v>
      </c>
      <c r="I9" s="66">
        <v>158871</v>
      </c>
      <c r="J9" s="66">
        <v>150908</v>
      </c>
      <c r="K9" s="66">
        <v>781</v>
      </c>
      <c r="L9" s="66">
        <v>269</v>
      </c>
      <c r="M9" s="66">
        <v>3</v>
      </c>
      <c r="N9" s="66">
        <v>0</v>
      </c>
      <c r="O9" s="66">
        <v>0</v>
      </c>
      <c r="P9" s="66">
        <v>358</v>
      </c>
      <c r="Q9" s="66">
        <v>0</v>
      </c>
      <c r="R9" s="287">
        <v>151839</v>
      </c>
    </row>
    <row r="10" spans="1:18" s="63" customFormat="1" ht="15.6" x14ac:dyDescent="0.3">
      <c r="A10" s="75" t="s">
        <v>29</v>
      </c>
      <c r="B10" s="170" t="s">
        <v>152</v>
      </c>
      <c r="C10" s="67" t="s">
        <v>152</v>
      </c>
      <c r="D10" s="66">
        <v>131004</v>
      </c>
      <c r="E10" s="66">
        <v>143098.01</v>
      </c>
      <c r="F10" s="66">
        <v>154110.57</v>
      </c>
      <c r="G10" s="67">
        <v>140328</v>
      </c>
      <c r="H10" s="66">
        <v>144165</v>
      </c>
      <c r="I10" s="66">
        <v>143486</v>
      </c>
      <c r="J10" s="66">
        <v>143475</v>
      </c>
      <c r="K10" s="66">
        <v>1536</v>
      </c>
      <c r="L10" s="66">
        <v>36</v>
      </c>
      <c r="M10" s="66">
        <v>-236</v>
      </c>
      <c r="N10" s="66">
        <v>463</v>
      </c>
      <c r="O10" s="66">
        <v>56</v>
      </c>
      <c r="P10" s="66">
        <v>0</v>
      </c>
      <c r="Q10" s="66">
        <v>0</v>
      </c>
      <c r="R10" s="287">
        <v>177452</v>
      </c>
    </row>
    <row r="11" spans="1:18" s="63" customFormat="1" ht="15.6" x14ac:dyDescent="0.3">
      <c r="A11" s="75" t="s">
        <v>30</v>
      </c>
      <c r="B11" s="170" t="s">
        <v>152</v>
      </c>
      <c r="C11" s="67" t="s">
        <v>152</v>
      </c>
      <c r="D11" s="66">
        <v>123351</v>
      </c>
      <c r="E11" s="66">
        <v>130903.75</v>
      </c>
      <c r="F11" s="66">
        <v>134095.71</v>
      </c>
      <c r="G11" s="67">
        <v>117349</v>
      </c>
      <c r="H11" s="66">
        <v>139881</v>
      </c>
      <c r="I11" s="66">
        <v>143709</v>
      </c>
      <c r="J11" s="66">
        <v>161623</v>
      </c>
      <c r="K11" s="66">
        <v>1683</v>
      </c>
      <c r="L11" s="66">
        <v>2442</v>
      </c>
      <c r="M11" s="66">
        <v>-328</v>
      </c>
      <c r="N11" s="66">
        <v>2</v>
      </c>
      <c r="O11" s="66">
        <v>0</v>
      </c>
      <c r="P11" s="66">
        <v>0</v>
      </c>
      <c r="Q11" s="66">
        <v>0</v>
      </c>
      <c r="R11" s="291" t="s">
        <v>152</v>
      </c>
    </row>
    <row r="12" spans="1:18" s="63" customFormat="1" ht="15.6" x14ac:dyDescent="0.3">
      <c r="A12" s="75" t="s">
        <v>31</v>
      </c>
      <c r="B12" s="170" t="s">
        <v>152</v>
      </c>
      <c r="C12" s="67" t="s">
        <v>152</v>
      </c>
      <c r="D12" s="66">
        <v>139429</v>
      </c>
      <c r="E12" s="66">
        <v>157258</v>
      </c>
      <c r="F12" s="66">
        <v>160996.51999999999</v>
      </c>
      <c r="G12" s="67">
        <v>173976</v>
      </c>
      <c r="H12" s="66">
        <v>152817</v>
      </c>
      <c r="I12" s="66">
        <v>148326</v>
      </c>
      <c r="J12" s="66">
        <v>188726</v>
      </c>
      <c r="K12" s="66">
        <v>21070</v>
      </c>
      <c r="L12" s="66">
        <v>2770</v>
      </c>
      <c r="M12" s="66">
        <v>2459</v>
      </c>
      <c r="N12" s="66">
        <v>-30</v>
      </c>
      <c r="O12" s="66">
        <v>9</v>
      </c>
      <c r="P12" s="66">
        <v>0</v>
      </c>
      <c r="Q12" s="66">
        <v>0</v>
      </c>
      <c r="R12" s="295" t="s">
        <v>152</v>
      </c>
    </row>
    <row r="13" spans="1:18" s="63" customFormat="1" ht="15.6" x14ac:dyDescent="0.3">
      <c r="A13" s="75" t="s">
        <v>32</v>
      </c>
      <c r="B13" s="170" t="s">
        <v>152</v>
      </c>
      <c r="C13" s="67" t="s">
        <v>152</v>
      </c>
      <c r="D13" s="66">
        <v>121051.05</v>
      </c>
      <c r="E13" s="66">
        <v>135381.95000000001</v>
      </c>
      <c r="F13" s="66">
        <v>141342.44</v>
      </c>
      <c r="G13" s="67">
        <v>126668</v>
      </c>
      <c r="H13" s="66">
        <v>139653</v>
      </c>
      <c r="I13" s="66">
        <v>156374</v>
      </c>
      <c r="J13" s="66">
        <v>172562</v>
      </c>
      <c r="K13" s="66">
        <v>4264</v>
      </c>
      <c r="L13" s="66">
        <v>0</v>
      </c>
      <c r="M13" s="66">
        <v>-133</v>
      </c>
      <c r="N13" s="66">
        <v>14</v>
      </c>
      <c r="O13" s="66">
        <v>0</v>
      </c>
      <c r="P13" s="66">
        <v>0</v>
      </c>
      <c r="Q13" s="66">
        <v>0</v>
      </c>
      <c r="R13" s="295" t="s">
        <v>152</v>
      </c>
    </row>
    <row r="14" spans="1:18" s="63" customFormat="1" ht="15.6" x14ac:dyDescent="0.3">
      <c r="A14" s="75" t="s">
        <v>33</v>
      </c>
      <c r="B14" s="170" t="s">
        <v>152</v>
      </c>
      <c r="C14" s="67" t="s">
        <v>152</v>
      </c>
      <c r="D14" s="66">
        <v>128717.63</v>
      </c>
      <c r="E14" s="66">
        <v>139527.59</v>
      </c>
      <c r="F14" s="66">
        <v>145516.60999999999</v>
      </c>
      <c r="G14" s="67">
        <v>159379</v>
      </c>
      <c r="H14" s="66">
        <v>147505</v>
      </c>
      <c r="I14" s="66">
        <v>166025</v>
      </c>
      <c r="J14" s="66">
        <v>159900</v>
      </c>
      <c r="K14" s="66">
        <v>1922</v>
      </c>
      <c r="L14" s="66">
        <v>-44</v>
      </c>
      <c r="M14" s="66">
        <v>0</v>
      </c>
      <c r="N14" s="66">
        <v>5</v>
      </c>
      <c r="O14" s="66">
        <v>0</v>
      </c>
      <c r="P14" s="66">
        <v>0</v>
      </c>
      <c r="Q14" s="66">
        <v>12</v>
      </c>
      <c r="R14" s="295" t="s">
        <v>152</v>
      </c>
    </row>
    <row r="15" spans="1:18" s="63" customFormat="1" ht="15.6" x14ac:dyDescent="0.3">
      <c r="A15" s="75" t="s">
        <v>34</v>
      </c>
      <c r="B15" s="170" t="s">
        <v>152</v>
      </c>
      <c r="C15" s="67" t="s">
        <v>152</v>
      </c>
      <c r="D15" s="66">
        <v>125121.38</v>
      </c>
      <c r="E15" s="66">
        <v>131306.93</v>
      </c>
      <c r="F15" s="66" t="s">
        <v>35</v>
      </c>
      <c r="G15" s="67">
        <v>132284</v>
      </c>
      <c r="H15" s="66">
        <v>134873</v>
      </c>
      <c r="I15" s="66">
        <v>157192</v>
      </c>
      <c r="J15" s="66">
        <v>149283</v>
      </c>
      <c r="K15" s="66">
        <v>2128</v>
      </c>
      <c r="L15" s="66">
        <v>97</v>
      </c>
      <c r="M15" s="66">
        <v>-1523</v>
      </c>
      <c r="N15" s="66">
        <v>0</v>
      </c>
      <c r="O15" s="66">
        <v>0</v>
      </c>
      <c r="P15" s="66">
        <v>0</v>
      </c>
      <c r="Q15" s="66">
        <v>142848</v>
      </c>
      <c r="R15" s="295" t="s">
        <v>152</v>
      </c>
    </row>
    <row r="16" spans="1:18" s="63" customFormat="1" ht="16.2" thickBot="1" x14ac:dyDescent="0.35">
      <c r="A16" s="88" t="s">
        <v>36</v>
      </c>
      <c r="B16" s="87" t="s">
        <v>152</v>
      </c>
      <c r="C16" s="72" t="s">
        <v>152</v>
      </c>
      <c r="D16" s="72">
        <v>129094.99</v>
      </c>
      <c r="E16" s="72">
        <v>138741.04999999999</v>
      </c>
      <c r="F16" s="72">
        <v>219822</v>
      </c>
      <c r="G16" s="72">
        <v>138524</v>
      </c>
      <c r="H16" s="71">
        <v>145807</v>
      </c>
      <c r="I16" s="71">
        <v>164067</v>
      </c>
      <c r="J16" s="71">
        <v>161711</v>
      </c>
      <c r="K16" s="71">
        <v>2094</v>
      </c>
      <c r="L16" s="71">
        <v>12209</v>
      </c>
      <c r="M16" s="71">
        <v>147</v>
      </c>
      <c r="N16" s="71">
        <v>587</v>
      </c>
      <c r="O16" s="71">
        <v>-6452</v>
      </c>
      <c r="P16" s="71">
        <v>-48</v>
      </c>
      <c r="Q16" s="71">
        <v>166928</v>
      </c>
      <c r="R16" s="292" t="s">
        <v>152</v>
      </c>
    </row>
    <row r="17" spans="1:18" s="63" customFormat="1" ht="16.2" thickTop="1" x14ac:dyDescent="0.3">
      <c r="A17" s="89" t="s">
        <v>37</v>
      </c>
      <c r="B17" s="197" t="s">
        <v>152</v>
      </c>
      <c r="C17" s="198" t="s">
        <v>152</v>
      </c>
      <c r="D17" s="273">
        <f t="shared" ref="D17:I17" si="0">SUM(D5:D16)</f>
        <v>1324772.05</v>
      </c>
      <c r="E17" s="273">
        <f t="shared" si="0"/>
        <v>1629977.44</v>
      </c>
      <c r="F17" s="273">
        <f t="shared" si="0"/>
        <v>1648008.2599999998</v>
      </c>
      <c r="G17" s="273">
        <f t="shared" si="0"/>
        <v>1729770</v>
      </c>
      <c r="H17" s="273">
        <f t="shared" si="0"/>
        <v>1693025</v>
      </c>
      <c r="I17" s="273">
        <f t="shared" si="0"/>
        <v>1778839</v>
      </c>
      <c r="J17" s="273">
        <f t="shared" ref="J17:P17" si="1">SUM(J5:J16)</f>
        <v>1945992</v>
      </c>
      <c r="K17" s="273">
        <f t="shared" si="1"/>
        <v>235653</v>
      </c>
      <c r="L17" s="273">
        <f t="shared" si="1"/>
        <v>23726</v>
      </c>
      <c r="M17" s="273">
        <f t="shared" si="1"/>
        <v>4383</v>
      </c>
      <c r="N17" s="273">
        <f t="shared" si="1"/>
        <v>1136</v>
      </c>
      <c r="O17" s="273">
        <f t="shared" si="1"/>
        <v>-5912</v>
      </c>
      <c r="P17" s="273">
        <f t="shared" si="1"/>
        <v>310</v>
      </c>
      <c r="Q17" s="273">
        <f t="shared" ref="Q17" si="2">SUM(Q5:Q16)</f>
        <v>309788</v>
      </c>
      <c r="R17" s="288">
        <f t="shared" ref="R17" si="3">SUM(R5:R16)</f>
        <v>924889</v>
      </c>
    </row>
    <row r="18" spans="1:18" s="113" customFormat="1" ht="6.6" x14ac:dyDescent="0.3">
      <c r="A18" s="371" t="s">
        <v>174</v>
      </c>
      <c r="B18" s="371"/>
      <c r="C18" s="371"/>
      <c r="D18" s="371"/>
      <c r="E18" s="371"/>
      <c r="F18" s="371"/>
      <c r="G18" s="371"/>
      <c r="H18" s="371"/>
      <c r="I18" s="371"/>
      <c r="J18" s="371"/>
      <c r="K18" s="371"/>
      <c r="L18" s="371"/>
      <c r="M18" s="371"/>
      <c r="N18" s="371"/>
      <c r="O18" s="371"/>
      <c r="P18" s="371"/>
      <c r="Q18" s="371"/>
      <c r="R18" s="371"/>
    </row>
    <row r="19" spans="1:18" s="106" customFormat="1" ht="18" x14ac:dyDescent="0.3">
      <c r="A19" s="370" t="s">
        <v>92</v>
      </c>
      <c r="B19" s="370"/>
      <c r="C19" s="370"/>
      <c r="D19" s="370"/>
      <c r="E19" s="370"/>
      <c r="F19" s="370"/>
      <c r="G19" s="370"/>
      <c r="H19" s="370"/>
      <c r="I19" s="370"/>
      <c r="J19" s="370"/>
      <c r="K19" s="370"/>
      <c r="L19" s="370"/>
      <c r="M19" s="370"/>
      <c r="N19" s="370"/>
      <c r="O19" s="370"/>
      <c r="P19" s="370"/>
      <c r="Q19" s="370"/>
      <c r="R19" s="370"/>
    </row>
    <row r="20" spans="1:18" s="63" customFormat="1" ht="15.6" x14ac:dyDescent="0.3">
      <c r="A20" s="77" t="s">
        <v>23</v>
      </c>
      <c r="B20" s="91">
        <v>2004</v>
      </c>
      <c r="C20" s="64">
        <v>2005</v>
      </c>
      <c r="D20" s="64">
        <v>2006</v>
      </c>
      <c r="E20" s="64">
        <v>2007</v>
      </c>
      <c r="F20" s="64">
        <v>2008</v>
      </c>
      <c r="G20" s="64">
        <v>2009</v>
      </c>
      <c r="H20" s="64">
        <v>2010</v>
      </c>
      <c r="I20" s="64">
        <v>2011</v>
      </c>
      <c r="J20" s="65">
        <v>2012</v>
      </c>
      <c r="K20" s="65">
        <v>2013</v>
      </c>
      <c r="L20" s="65">
        <v>2014</v>
      </c>
      <c r="M20" s="65">
        <v>2015</v>
      </c>
      <c r="N20" s="65">
        <v>2016</v>
      </c>
      <c r="O20" s="65">
        <v>2017</v>
      </c>
      <c r="P20" s="65">
        <v>2018</v>
      </c>
      <c r="Q20" s="65">
        <v>2019</v>
      </c>
      <c r="R20" s="49">
        <v>2020</v>
      </c>
    </row>
    <row r="21" spans="1:18" s="63" customFormat="1" ht="15.6" x14ac:dyDescent="0.3">
      <c r="A21" s="76" t="s">
        <v>24</v>
      </c>
      <c r="B21" s="108" t="s">
        <v>152</v>
      </c>
      <c r="C21" s="107" t="s">
        <v>152</v>
      </c>
      <c r="D21" s="272">
        <v>0</v>
      </c>
      <c r="E21" s="272">
        <v>17693</v>
      </c>
      <c r="F21" s="281">
        <v>13351</v>
      </c>
      <c r="G21" s="272">
        <v>8725</v>
      </c>
      <c r="H21" s="271">
        <v>10684</v>
      </c>
      <c r="I21" s="271">
        <v>11818</v>
      </c>
      <c r="J21" s="271">
        <v>13080</v>
      </c>
      <c r="K21" s="271">
        <v>172371</v>
      </c>
      <c r="L21" s="271">
        <v>1331</v>
      </c>
      <c r="M21" s="271">
        <v>7</v>
      </c>
      <c r="N21" s="271">
        <v>0</v>
      </c>
      <c r="O21" s="271">
        <v>0</v>
      </c>
      <c r="P21" s="271">
        <v>0</v>
      </c>
      <c r="Q21" s="271">
        <v>0</v>
      </c>
      <c r="R21" s="286">
        <v>13259</v>
      </c>
    </row>
    <row r="22" spans="1:18" s="63" customFormat="1" ht="15.6" x14ac:dyDescent="0.3">
      <c r="A22" s="75" t="s">
        <v>25</v>
      </c>
      <c r="B22" s="170" t="s">
        <v>152</v>
      </c>
      <c r="C22" s="67" t="s">
        <v>152</v>
      </c>
      <c r="D22" s="66">
        <v>10009</v>
      </c>
      <c r="E22" s="66">
        <v>11225</v>
      </c>
      <c r="F22" s="200">
        <v>6332</v>
      </c>
      <c r="G22" s="67">
        <v>6697</v>
      </c>
      <c r="H22" s="66">
        <v>5642</v>
      </c>
      <c r="I22" s="66">
        <v>4719</v>
      </c>
      <c r="J22" s="66">
        <v>7282</v>
      </c>
      <c r="K22" s="66">
        <v>681</v>
      </c>
      <c r="L22" s="66">
        <v>155</v>
      </c>
      <c r="M22" s="66">
        <v>-8</v>
      </c>
      <c r="N22" s="66">
        <v>0</v>
      </c>
      <c r="O22" s="66">
        <v>0</v>
      </c>
      <c r="P22" s="66">
        <v>0</v>
      </c>
      <c r="Q22" s="66">
        <v>0</v>
      </c>
      <c r="R22" s="287">
        <v>14949</v>
      </c>
    </row>
    <row r="23" spans="1:18" s="63" customFormat="1" ht="15.6" x14ac:dyDescent="0.3">
      <c r="A23" s="75" t="s">
        <v>26</v>
      </c>
      <c r="B23" s="170" t="s">
        <v>152</v>
      </c>
      <c r="C23" s="67" t="s">
        <v>152</v>
      </c>
      <c r="D23" s="66">
        <v>11059</v>
      </c>
      <c r="E23" s="66">
        <v>11387</v>
      </c>
      <c r="F23" s="200">
        <v>7479.18</v>
      </c>
      <c r="G23" s="67">
        <v>4776</v>
      </c>
      <c r="H23" s="66">
        <v>5350</v>
      </c>
      <c r="I23" s="66">
        <v>4186</v>
      </c>
      <c r="J23" s="66">
        <v>8642</v>
      </c>
      <c r="K23" s="66">
        <v>2394</v>
      </c>
      <c r="L23" s="66">
        <v>17013</v>
      </c>
      <c r="M23" s="66">
        <v>9272</v>
      </c>
      <c r="N23" s="66">
        <v>0</v>
      </c>
      <c r="O23" s="66">
        <v>0</v>
      </c>
      <c r="P23" s="66">
        <v>0</v>
      </c>
      <c r="Q23" s="66">
        <v>0</v>
      </c>
      <c r="R23" s="287">
        <v>7888</v>
      </c>
    </row>
    <row r="24" spans="1:18" s="63" customFormat="1" ht="15.6" x14ac:dyDescent="0.3">
      <c r="A24" s="75" t="s">
        <v>27</v>
      </c>
      <c r="B24" s="170" t="s">
        <v>152</v>
      </c>
      <c r="C24" s="67" t="s">
        <v>152</v>
      </c>
      <c r="D24" s="66">
        <v>12978</v>
      </c>
      <c r="E24" s="66">
        <v>22875.200000000001</v>
      </c>
      <c r="F24" s="200">
        <v>7283</v>
      </c>
      <c r="G24" s="67">
        <v>9199</v>
      </c>
      <c r="H24" s="66">
        <v>10012</v>
      </c>
      <c r="I24" s="66">
        <v>7310</v>
      </c>
      <c r="J24" s="66">
        <v>5376</v>
      </c>
      <c r="K24" s="66">
        <v>1074</v>
      </c>
      <c r="L24" s="66">
        <v>693</v>
      </c>
      <c r="M24" s="66">
        <v>0</v>
      </c>
      <c r="N24" s="66">
        <v>0</v>
      </c>
      <c r="O24" s="66">
        <v>0</v>
      </c>
      <c r="P24" s="66">
        <v>0</v>
      </c>
      <c r="Q24" s="66">
        <v>0</v>
      </c>
      <c r="R24" s="287">
        <v>12895</v>
      </c>
    </row>
    <row r="25" spans="1:18" s="63" customFormat="1" ht="15.6" x14ac:dyDescent="0.3">
      <c r="A25" s="75" t="s">
        <v>28</v>
      </c>
      <c r="B25" s="170" t="s">
        <v>152</v>
      </c>
      <c r="C25" s="67" t="s">
        <v>152</v>
      </c>
      <c r="D25" s="66">
        <v>12191</v>
      </c>
      <c r="E25" s="66">
        <v>14146</v>
      </c>
      <c r="F25" s="200">
        <v>8655.0300000000007</v>
      </c>
      <c r="G25" s="67">
        <v>7981</v>
      </c>
      <c r="H25" s="66">
        <v>5377</v>
      </c>
      <c r="I25" s="66">
        <v>7735</v>
      </c>
      <c r="J25" s="66">
        <v>7627</v>
      </c>
      <c r="K25" s="66">
        <v>1102</v>
      </c>
      <c r="L25" s="66">
        <v>2160</v>
      </c>
      <c r="M25" s="66">
        <v>0</v>
      </c>
      <c r="N25" s="66">
        <v>0</v>
      </c>
      <c r="O25" s="66">
        <v>0</v>
      </c>
      <c r="P25" s="66">
        <v>2</v>
      </c>
      <c r="Q25" s="66">
        <v>0</v>
      </c>
      <c r="R25" s="287">
        <v>5962</v>
      </c>
    </row>
    <row r="26" spans="1:18" s="63" customFormat="1" ht="15.6" x14ac:dyDescent="0.3">
      <c r="A26" s="75" t="s">
        <v>29</v>
      </c>
      <c r="B26" s="170" t="s">
        <v>152</v>
      </c>
      <c r="C26" s="67" t="s">
        <v>152</v>
      </c>
      <c r="D26" s="66">
        <v>14498</v>
      </c>
      <c r="E26" s="66">
        <v>14208</v>
      </c>
      <c r="F26" s="200">
        <v>10078</v>
      </c>
      <c r="G26" s="67">
        <v>6302</v>
      </c>
      <c r="H26" s="66">
        <v>3099</v>
      </c>
      <c r="I26" s="66">
        <v>8037</v>
      </c>
      <c r="J26" s="66">
        <v>9058</v>
      </c>
      <c r="K26" s="66">
        <v>1321</v>
      </c>
      <c r="L26" s="66">
        <v>104</v>
      </c>
      <c r="M26" s="66">
        <v>-158746</v>
      </c>
      <c r="N26" s="66">
        <v>0</v>
      </c>
      <c r="O26" s="66">
        <v>0</v>
      </c>
      <c r="P26" s="66">
        <v>0</v>
      </c>
      <c r="Q26" s="66">
        <v>0</v>
      </c>
      <c r="R26" s="287">
        <v>6088</v>
      </c>
    </row>
    <row r="27" spans="1:18" s="63" customFormat="1" ht="15.6" x14ac:dyDescent="0.3">
      <c r="A27" s="75" t="s">
        <v>30</v>
      </c>
      <c r="B27" s="170" t="s">
        <v>152</v>
      </c>
      <c r="C27" s="67" t="s">
        <v>152</v>
      </c>
      <c r="D27" s="66">
        <v>11249</v>
      </c>
      <c r="E27" s="66">
        <v>11185</v>
      </c>
      <c r="F27" s="200">
        <v>5585.9</v>
      </c>
      <c r="G27" s="67">
        <v>12590</v>
      </c>
      <c r="H27" s="66">
        <v>4903</v>
      </c>
      <c r="I27" s="66">
        <v>6979</v>
      </c>
      <c r="J27" s="66">
        <v>8888</v>
      </c>
      <c r="K27" s="66">
        <v>2067</v>
      </c>
      <c r="L27" s="66">
        <v>295</v>
      </c>
      <c r="M27" s="66">
        <v>-641</v>
      </c>
      <c r="N27" s="66">
        <v>0</v>
      </c>
      <c r="O27" s="66">
        <v>0</v>
      </c>
      <c r="P27" s="66">
        <v>0</v>
      </c>
      <c r="Q27" s="66">
        <v>0</v>
      </c>
      <c r="R27" s="295" t="s">
        <v>152</v>
      </c>
    </row>
    <row r="28" spans="1:18" s="63" customFormat="1" ht="15.6" x14ac:dyDescent="0.3">
      <c r="A28" s="75" t="s">
        <v>31</v>
      </c>
      <c r="B28" s="170" t="s">
        <v>152</v>
      </c>
      <c r="C28" s="67" t="s">
        <v>152</v>
      </c>
      <c r="D28" s="66">
        <v>18954</v>
      </c>
      <c r="E28" s="66">
        <v>15128</v>
      </c>
      <c r="F28" s="200">
        <v>10291.780000000001</v>
      </c>
      <c r="G28" s="67">
        <v>-83525</v>
      </c>
      <c r="H28" s="66">
        <v>4572</v>
      </c>
      <c r="I28" s="66">
        <v>9238</v>
      </c>
      <c r="J28" s="66">
        <v>16709</v>
      </c>
      <c r="K28" s="66">
        <v>1426</v>
      </c>
      <c r="L28" s="66">
        <v>-1336</v>
      </c>
      <c r="M28" s="66">
        <v>648</v>
      </c>
      <c r="N28" s="66">
        <v>0</v>
      </c>
      <c r="O28" s="66">
        <v>0</v>
      </c>
      <c r="P28" s="66">
        <v>0</v>
      </c>
      <c r="Q28" s="66">
        <v>0</v>
      </c>
      <c r="R28" s="295" t="s">
        <v>152</v>
      </c>
    </row>
    <row r="29" spans="1:18" s="63" customFormat="1" ht="15.6" x14ac:dyDescent="0.3">
      <c r="A29" s="75" t="s">
        <v>32</v>
      </c>
      <c r="B29" s="170" t="s">
        <v>152</v>
      </c>
      <c r="C29" s="67" t="s">
        <v>152</v>
      </c>
      <c r="D29" s="66">
        <v>16904</v>
      </c>
      <c r="E29" s="66">
        <v>17216</v>
      </c>
      <c r="F29" s="200">
        <v>7131.85</v>
      </c>
      <c r="G29" s="67">
        <v>8744</v>
      </c>
      <c r="H29" s="66">
        <v>-1972</v>
      </c>
      <c r="I29" s="66">
        <v>9057</v>
      </c>
      <c r="J29" s="66">
        <v>18394</v>
      </c>
      <c r="K29" s="66">
        <v>3424</v>
      </c>
      <c r="L29" s="66">
        <v>0</v>
      </c>
      <c r="M29" s="66">
        <v>-522</v>
      </c>
      <c r="N29" s="66">
        <v>0</v>
      </c>
      <c r="O29" s="66">
        <v>0</v>
      </c>
      <c r="P29" s="66">
        <v>0</v>
      </c>
      <c r="Q29" s="66">
        <v>0</v>
      </c>
      <c r="R29" s="295" t="s">
        <v>152</v>
      </c>
    </row>
    <row r="30" spans="1:18" s="63" customFormat="1" ht="15.6" x14ac:dyDescent="0.3">
      <c r="A30" s="75" t="s">
        <v>33</v>
      </c>
      <c r="B30" s="170" t="s">
        <v>152</v>
      </c>
      <c r="C30" s="67" t="s">
        <v>152</v>
      </c>
      <c r="D30" s="66">
        <v>15068</v>
      </c>
      <c r="E30" s="66">
        <v>16349.32</v>
      </c>
      <c r="F30" s="200">
        <v>7701</v>
      </c>
      <c r="G30" s="67">
        <v>9051</v>
      </c>
      <c r="H30" s="66">
        <v>4369</v>
      </c>
      <c r="I30" s="66">
        <v>7371</v>
      </c>
      <c r="J30" s="66">
        <v>8546</v>
      </c>
      <c r="K30" s="66">
        <v>4005</v>
      </c>
      <c r="L30" s="66">
        <v>-15</v>
      </c>
      <c r="M30" s="66">
        <v>-284</v>
      </c>
      <c r="N30" s="66">
        <v>-41</v>
      </c>
      <c r="O30" s="66">
        <v>0</v>
      </c>
      <c r="P30" s="66">
        <v>0</v>
      </c>
      <c r="Q30" s="66">
        <v>0</v>
      </c>
      <c r="R30" s="295" t="s">
        <v>152</v>
      </c>
    </row>
    <row r="31" spans="1:18" s="63" customFormat="1" ht="15.6" x14ac:dyDescent="0.3">
      <c r="A31" s="75" t="s">
        <v>34</v>
      </c>
      <c r="B31" s="170" t="s">
        <v>152</v>
      </c>
      <c r="C31" s="67" t="s">
        <v>152</v>
      </c>
      <c r="D31" s="66">
        <v>16953</v>
      </c>
      <c r="E31" s="66">
        <v>7465</v>
      </c>
      <c r="F31" s="200">
        <v>5964</v>
      </c>
      <c r="G31" s="67">
        <v>6323</v>
      </c>
      <c r="H31" s="66">
        <v>4210</v>
      </c>
      <c r="I31" s="66">
        <v>9200</v>
      </c>
      <c r="J31" s="66">
        <v>7501</v>
      </c>
      <c r="K31" s="66">
        <v>2074</v>
      </c>
      <c r="L31" s="66">
        <v>0</v>
      </c>
      <c r="M31" s="66">
        <v>-44</v>
      </c>
      <c r="N31" s="66">
        <v>0</v>
      </c>
      <c r="O31" s="66">
        <v>0</v>
      </c>
      <c r="P31" s="66">
        <v>0</v>
      </c>
      <c r="Q31" s="66">
        <v>13793</v>
      </c>
      <c r="R31" s="295" t="s">
        <v>152</v>
      </c>
    </row>
    <row r="32" spans="1:18" s="63" customFormat="1" ht="16.2" thickBot="1" x14ac:dyDescent="0.35">
      <c r="A32" s="88" t="s">
        <v>36</v>
      </c>
      <c r="B32" s="87" t="s">
        <v>152</v>
      </c>
      <c r="C32" s="72" t="s">
        <v>152</v>
      </c>
      <c r="D32" s="72">
        <v>10999</v>
      </c>
      <c r="E32" s="72">
        <v>5564.16</v>
      </c>
      <c r="F32" s="203">
        <v>13702</v>
      </c>
      <c r="G32" s="72">
        <v>7154</v>
      </c>
      <c r="H32" s="71">
        <v>4215</v>
      </c>
      <c r="I32" s="71">
        <v>6310</v>
      </c>
      <c r="J32" s="71">
        <v>7829</v>
      </c>
      <c r="K32" s="71">
        <v>1584</v>
      </c>
      <c r="L32" s="71">
        <v>129</v>
      </c>
      <c r="M32" s="71">
        <v>0</v>
      </c>
      <c r="N32" s="71">
        <v>0</v>
      </c>
      <c r="O32" s="71">
        <v>48</v>
      </c>
      <c r="P32" s="71">
        <v>0</v>
      </c>
      <c r="Q32" s="71">
        <v>7492</v>
      </c>
      <c r="R32" s="292" t="s">
        <v>152</v>
      </c>
    </row>
    <row r="33" spans="1:18" s="63" customFormat="1" ht="16.2" thickTop="1" x14ac:dyDescent="0.3">
      <c r="A33" s="89" t="s">
        <v>37</v>
      </c>
      <c r="B33" s="197" t="s">
        <v>152</v>
      </c>
      <c r="C33" s="198" t="s">
        <v>152</v>
      </c>
      <c r="D33" s="273">
        <f t="shared" ref="D33:I33" si="4">SUM(D21:D32)</f>
        <v>150862</v>
      </c>
      <c r="E33" s="273">
        <f t="shared" si="4"/>
        <v>164441.68000000002</v>
      </c>
      <c r="F33" s="273">
        <f t="shared" si="4"/>
        <v>103554.74</v>
      </c>
      <c r="G33" s="273">
        <f t="shared" si="4"/>
        <v>4017</v>
      </c>
      <c r="H33" s="273">
        <f t="shared" si="4"/>
        <v>60461</v>
      </c>
      <c r="I33" s="273">
        <f t="shared" si="4"/>
        <v>91960</v>
      </c>
      <c r="J33" s="273">
        <f t="shared" ref="J33:P33" si="5">SUM(J21:J32)</f>
        <v>118932</v>
      </c>
      <c r="K33" s="273">
        <f t="shared" si="5"/>
        <v>193523</v>
      </c>
      <c r="L33" s="273">
        <f t="shared" si="5"/>
        <v>20529</v>
      </c>
      <c r="M33" s="273">
        <f t="shared" si="5"/>
        <v>-150318</v>
      </c>
      <c r="N33" s="273">
        <f t="shared" si="5"/>
        <v>-41</v>
      </c>
      <c r="O33" s="273">
        <f t="shared" si="5"/>
        <v>48</v>
      </c>
      <c r="P33" s="273">
        <f t="shared" si="5"/>
        <v>2</v>
      </c>
      <c r="Q33" s="273">
        <f t="shared" ref="Q33" si="6">SUM(Q21:Q32)</f>
        <v>21285</v>
      </c>
      <c r="R33" s="288">
        <f t="shared" ref="R33" si="7">SUM(R21:R32)</f>
        <v>61041</v>
      </c>
    </row>
    <row r="34" spans="1:18" s="113" customFormat="1" ht="6.6" x14ac:dyDescent="0.3">
      <c r="A34" s="371" t="s">
        <v>174</v>
      </c>
      <c r="B34" s="371"/>
      <c r="C34" s="371"/>
      <c r="D34" s="371"/>
      <c r="E34" s="371"/>
      <c r="F34" s="371"/>
      <c r="G34" s="371"/>
      <c r="H34" s="371"/>
      <c r="I34" s="371"/>
      <c r="J34" s="371"/>
      <c r="K34" s="371"/>
      <c r="L34" s="371"/>
      <c r="M34" s="371"/>
      <c r="N34" s="371"/>
      <c r="O34" s="371"/>
      <c r="P34" s="371"/>
      <c r="Q34" s="371"/>
      <c r="R34" s="371"/>
    </row>
    <row r="35" spans="1:18" s="106" customFormat="1" ht="18" x14ac:dyDescent="0.3">
      <c r="A35" s="370" t="s">
        <v>130</v>
      </c>
      <c r="B35" s="370"/>
      <c r="C35" s="370"/>
      <c r="D35" s="370"/>
      <c r="E35" s="370"/>
      <c r="F35" s="370"/>
      <c r="G35" s="370"/>
      <c r="H35" s="370"/>
      <c r="I35" s="370"/>
      <c r="J35" s="370"/>
      <c r="K35" s="370"/>
      <c r="L35" s="370"/>
      <c r="M35" s="370"/>
      <c r="N35" s="370"/>
      <c r="O35" s="370"/>
      <c r="P35" s="370"/>
      <c r="Q35" s="370"/>
      <c r="R35" s="370"/>
    </row>
    <row r="36" spans="1:18" s="63" customFormat="1" ht="15.6" x14ac:dyDescent="0.3">
      <c r="A36" s="77" t="s">
        <v>23</v>
      </c>
      <c r="B36" s="91">
        <v>2004</v>
      </c>
      <c r="C36" s="64">
        <v>2005</v>
      </c>
      <c r="D36" s="64">
        <v>2006</v>
      </c>
      <c r="E36" s="64">
        <v>2007</v>
      </c>
      <c r="F36" s="64">
        <v>2008</v>
      </c>
      <c r="G36" s="64">
        <v>2009</v>
      </c>
      <c r="H36" s="64">
        <v>2010</v>
      </c>
      <c r="I36" s="64">
        <v>2011</v>
      </c>
      <c r="J36" s="65">
        <v>2012</v>
      </c>
      <c r="K36" s="65">
        <v>2013</v>
      </c>
      <c r="L36" s="65">
        <v>2014</v>
      </c>
      <c r="M36" s="65">
        <v>2015</v>
      </c>
      <c r="N36" s="65">
        <v>2016</v>
      </c>
      <c r="O36" s="65">
        <v>2017</v>
      </c>
      <c r="P36" s="65">
        <v>2018</v>
      </c>
      <c r="Q36" s="65">
        <v>2019</v>
      </c>
      <c r="R36" s="49">
        <v>2020</v>
      </c>
    </row>
    <row r="37" spans="1:18" s="63" customFormat="1" ht="15.6" x14ac:dyDescent="0.3">
      <c r="A37" s="76" t="s">
        <v>24</v>
      </c>
      <c r="B37" s="108" t="s">
        <v>152</v>
      </c>
      <c r="C37" s="107" t="s">
        <v>152</v>
      </c>
      <c r="D37" s="107" t="s">
        <v>152</v>
      </c>
      <c r="E37" s="107" t="s">
        <v>152</v>
      </c>
      <c r="F37" s="202" t="s">
        <v>152</v>
      </c>
      <c r="G37" s="272">
        <v>-499</v>
      </c>
      <c r="H37" s="271">
        <v>-31945</v>
      </c>
      <c r="I37" s="271">
        <v>-152</v>
      </c>
      <c r="J37" s="271">
        <v>-202</v>
      </c>
      <c r="K37" s="271">
        <v>-601</v>
      </c>
      <c r="L37" s="271">
        <v>-608</v>
      </c>
      <c r="M37" s="271">
        <v>0</v>
      </c>
      <c r="N37" s="271">
        <v>-10745</v>
      </c>
      <c r="O37" s="271">
        <v>0</v>
      </c>
      <c r="P37" s="271">
        <v>0</v>
      </c>
      <c r="Q37" s="271">
        <v>0</v>
      </c>
      <c r="R37" s="286">
        <v>0</v>
      </c>
    </row>
    <row r="38" spans="1:18" s="63" customFormat="1" ht="15.6" x14ac:dyDescent="0.3">
      <c r="A38" s="75" t="s">
        <v>25</v>
      </c>
      <c r="B38" s="170" t="s">
        <v>152</v>
      </c>
      <c r="C38" s="67" t="s">
        <v>152</v>
      </c>
      <c r="D38" s="66" t="s">
        <v>152</v>
      </c>
      <c r="E38" s="66" t="s">
        <v>152</v>
      </c>
      <c r="F38" s="200" t="s">
        <v>152</v>
      </c>
      <c r="G38" s="67">
        <v>0</v>
      </c>
      <c r="H38" s="66">
        <v>-38</v>
      </c>
      <c r="I38" s="66">
        <v>-6760</v>
      </c>
      <c r="J38" s="66">
        <v>-471</v>
      </c>
      <c r="K38" s="66">
        <v>0</v>
      </c>
      <c r="L38" s="66">
        <v>-161</v>
      </c>
      <c r="M38" s="66">
        <v>-491</v>
      </c>
      <c r="N38" s="66">
        <v>0</v>
      </c>
      <c r="O38" s="66">
        <v>0</v>
      </c>
      <c r="P38" s="66">
        <v>0</v>
      </c>
      <c r="Q38" s="66">
        <v>0</v>
      </c>
      <c r="R38" s="287">
        <v>0</v>
      </c>
    </row>
    <row r="39" spans="1:18" s="63" customFormat="1" ht="15.6" x14ac:dyDescent="0.3">
      <c r="A39" s="75" t="s">
        <v>26</v>
      </c>
      <c r="B39" s="170" t="s">
        <v>152</v>
      </c>
      <c r="C39" s="67" t="s">
        <v>152</v>
      </c>
      <c r="D39" s="66" t="s">
        <v>152</v>
      </c>
      <c r="E39" s="66" t="s">
        <v>152</v>
      </c>
      <c r="F39" s="200" t="s">
        <v>152</v>
      </c>
      <c r="G39" s="67">
        <v>-144</v>
      </c>
      <c r="H39" s="66">
        <v>-409</v>
      </c>
      <c r="I39" s="66">
        <v>-2807</v>
      </c>
      <c r="J39" s="66">
        <v>-2</v>
      </c>
      <c r="K39" s="66">
        <v>-1176</v>
      </c>
      <c r="L39" s="66">
        <v>-496</v>
      </c>
      <c r="M39" s="66">
        <v>-178</v>
      </c>
      <c r="N39" s="66">
        <v>0</v>
      </c>
      <c r="O39" s="66">
        <v>0</v>
      </c>
      <c r="P39" s="66">
        <v>0</v>
      </c>
      <c r="Q39" s="66">
        <v>0</v>
      </c>
      <c r="R39" s="287">
        <v>0</v>
      </c>
    </row>
    <row r="40" spans="1:18" s="63" customFormat="1" ht="15.6" x14ac:dyDescent="0.3">
      <c r="A40" s="75" t="s">
        <v>27</v>
      </c>
      <c r="B40" s="170" t="s">
        <v>152</v>
      </c>
      <c r="C40" s="67" t="s">
        <v>152</v>
      </c>
      <c r="D40" s="66" t="s">
        <v>152</v>
      </c>
      <c r="E40" s="66" t="s">
        <v>152</v>
      </c>
      <c r="F40" s="200" t="s">
        <v>152</v>
      </c>
      <c r="G40" s="67">
        <v>-134</v>
      </c>
      <c r="H40" s="66">
        <v>-303</v>
      </c>
      <c r="I40" s="66">
        <v>-275</v>
      </c>
      <c r="J40" s="66">
        <v>-2255</v>
      </c>
      <c r="K40" s="66">
        <v>-26</v>
      </c>
      <c r="L40" s="66">
        <v>0</v>
      </c>
      <c r="M40" s="66">
        <v>-72</v>
      </c>
      <c r="N40" s="66">
        <v>0</v>
      </c>
      <c r="O40" s="66">
        <v>0</v>
      </c>
      <c r="P40" s="66">
        <v>0</v>
      </c>
      <c r="Q40" s="66">
        <v>0</v>
      </c>
      <c r="R40" s="287">
        <v>0</v>
      </c>
    </row>
    <row r="41" spans="1:18" s="63" customFormat="1" ht="15.6" x14ac:dyDescent="0.3">
      <c r="A41" s="75" t="s">
        <v>28</v>
      </c>
      <c r="B41" s="170" t="s">
        <v>152</v>
      </c>
      <c r="C41" s="67" t="s">
        <v>152</v>
      </c>
      <c r="D41" s="66" t="s">
        <v>152</v>
      </c>
      <c r="E41" s="66" t="s">
        <v>152</v>
      </c>
      <c r="F41" s="200" t="s">
        <v>152</v>
      </c>
      <c r="G41" s="67">
        <v>-188</v>
      </c>
      <c r="H41" s="66">
        <v>0</v>
      </c>
      <c r="I41" s="66">
        <v>-21</v>
      </c>
      <c r="J41" s="66">
        <v>-38074</v>
      </c>
      <c r="K41" s="66">
        <v>-4</v>
      </c>
      <c r="L41" s="66">
        <v>-5</v>
      </c>
      <c r="M41" s="66">
        <v>0</v>
      </c>
      <c r="N41" s="66">
        <v>0</v>
      </c>
      <c r="O41" s="66">
        <v>0</v>
      </c>
      <c r="P41" s="66">
        <v>0</v>
      </c>
      <c r="Q41" s="66">
        <v>0</v>
      </c>
      <c r="R41" s="287">
        <v>0</v>
      </c>
    </row>
    <row r="42" spans="1:18" s="63" customFormat="1" ht="15.6" x14ac:dyDescent="0.3">
      <c r="A42" s="75" t="s">
        <v>29</v>
      </c>
      <c r="B42" s="170" t="s">
        <v>152</v>
      </c>
      <c r="C42" s="67" t="s">
        <v>152</v>
      </c>
      <c r="D42" s="66" t="s">
        <v>152</v>
      </c>
      <c r="E42" s="66" t="s">
        <v>152</v>
      </c>
      <c r="F42" s="200" t="s">
        <v>152</v>
      </c>
      <c r="G42" s="67">
        <v>0</v>
      </c>
      <c r="H42" s="66">
        <v>0</v>
      </c>
      <c r="I42" s="66">
        <v>0</v>
      </c>
      <c r="J42" s="66">
        <v>0</v>
      </c>
      <c r="K42" s="66">
        <v>-212</v>
      </c>
      <c r="L42" s="66">
        <v>-1149</v>
      </c>
      <c r="M42" s="66">
        <v>-70</v>
      </c>
      <c r="N42" s="66">
        <v>0</v>
      </c>
      <c r="O42" s="66">
        <v>0</v>
      </c>
      <c r="P42" s="66">
        <v>0</v>
      </c>
      <c r="Q42" s="66">
        <v>0</v>
      </c>
      <c r="R42" s="287">
        <v>0</v>
      </c>
    </row>
    <row r="43" spans="1:18" s="63" customFormat="1" ht="15.6" x14ac:dyDescent="0.3">
      <c r="A43" s="75" t="s">
        <v>30</v>
      </c>
      <c r="B43" s="170" t="s">
        <v>152</v>
      </c>
      <c r="C43" s="67" t="s">
        <v>152</v>
      </c>
      <c r="D43" s="66" t="s">
        <v>152</v>
      </c>
      <c r="E43" s="66" t="s">
        <v>152</v>
      </c>
      <c r="F43" s="200" t="s">
        <v>152</v>
      </c>
      <c r="G43" s="67">
        <v>-421</v>
      </c>
      <c r="H43" s="66">
        <v>0</v>
      </c>
      <c r="I43" s="66">
        <v>-150</v>
      </c>
      <c r="J43" s="66">
        <v>-5279</v>
      </c>
      <c r="K43" s="66">
        <v>-83</v>
      </c>
      <c r="L43" s="66">
        <v>-604</v>
      </c>
      <c r="M43" s="66">
        <v>-24063</v>
      </c>
      <c r="N43" s="66">
        <v>0</v>
      </c>
      <c r="O43" s="66">
        <v>0</v>
      </c>
      <c r="P43" s="66">
        <v>-134</v>
      </c>
      <c r="Q43" s="66">
        <v>0</v>
      </c>
      <c r="R43" s="295" t="s">
        <v>152</v>
      </c>
    </row>
    <row r="44" spans="1:18" s="63" customFormat="1" ht="15.6" x14ac:dyDescent="0.3">
      <c r="A44" s="75" t="s">
        <v>31</v>
      </c>
      <c r="B44" s="170" t="s">
        <v>152</v>
      </c>
      <c r="C44" s="201" t="s">
        <v>152</v>
      </c>
      <c r="D44" s="66" t="s">
        <v>152</v>
      </c>
      <c r="E44" s="66" t="s">
        <v>152</v>
      </c>
      <c r="F44" s="200" t="s">
        <v>152</v>
      </c>
      <c r="G44" s="67">
        <v>-363</v>
      </c>
      <c r="H44" s="66">
        <v>-1081</v>
      </c>
      <c r="I44" s="66">
        <v>-148</v>
      </c>
      <c r="J44" s="66">
        <v>-99</v>
      </c>
      <c r="K44" s="66">
        <v>-1411</v>
      </c>
      <c r="L44" s="66">
        <v>-4153</v>
      </c>
      <c r="M44" s="66">
        <v>0</v>
      </c>
      <c r="N44" s="66">
        <v>0</v>
      </c>
      <c r="O44" s="66">
        <v>0</v>
      </c>
      <c r="P44" s="66">
        <v>0</v>
      </c>
      <c r="Q44" s="66">
        <v>0</v>
      </c>
      <c r="R44" s="295" t="s">
        <v>152</v>
      </c>
    </row>
    <row r="45" spans="1:18" s="63" customFormat="1" ht="15.6" x14ac:dyDescent="0.3">
      <c r="A45" s="75" t="s">
        <v>32</v>
      </c>
      <c r="B45" s="170" t="s">
        <v>152</v>
      </c>
      <c r="C45" s="67" t="s">
        <v>152</v>
      </c>
      <c r="D45" s="66" t="s">
        <v>152</v>
      </c>
      <c r="E45" s="66" t="s">
        <v>152</v>
      </c>
      <c r="F45" s="200" t="s">
        <v>152</v>
      </c>
      <c r="G45" s="67">
        <v>-1019</v>
      </c>
      <c r="H45" s="66">
        <v>0</v>
      </c>
      <c r="I45" s="66">
        <v>-1116</v>
      </c>
      <c r="J45" s="66">
        <v>-10549</v>
      </c>
      <c r="K45" s="66">
        <v>-150</v>
      </c>
      <c r="L45" s="66">
        <v>0</v>
      </c>
      <c r="M45" s="66">
        <v>0</v>
      </c>
      <c r="N45" s="66">
        <v>0</v>
      </c>
      <c r="O45" s="66">
        <v>0</v>
      </c>
      <c r="P45" s="66">
        <v>0</v>
      </c>
      <c r="Q45" s="66">
        <v>0</v>
      </c>
      <c r="R45" s="295" t="s">
        <v>152</v>
      </c>
    </row>
    <row r="46" spans="1:18" s="63" customFormat="1" ht="15.6" x14ac:dyDescent="0.3">
      <c r="A46" s="75" t="s">
        <v>33</v>
      </c>
      <c r="B46" s="170" t="s">
        <v>152</v>
      </c>
      <c r="C46" s="67" t="s">
        <v>152</v>
      </c>
      <c r="D46" s="66" t="s">
        <v>152</v>
      </c>
      <c r="E46" s="66" t="s">
        <v>152</v>
      </c>
      <c r="F46" s="200" t="s">
        <v>152</v>
      </c>
      <c r="G46" s="67">
        <v>-12421</v>
      </c>
      <c r="H46" s="66">
        <v>0</v>
      </c>
      <c r="I46" s="66">
        <v>-2250</v>
      </c>
      <c r="J46" s="66">
        <v>-270</v>
      </c>
      <c r="K46" s="66">
        <v>-1530</v>
      </c>
      <c r="L46" s="66">
        <v>0</v>
      </c>
      <c r="M46" s="66">
        <v>0</v>
      </c>
      <c r="N46" s="66">
        <v>-312</v>
      </c>
      <c r="O46" s="66">
        <v>0</v>
      </c>
      <c r="P46" s="66">
        <v>0</v>
      </c>
      <c r="Q46" s="66">
        <v>0</v>
      </c>
      <c r="R46" s="295" t="s">
        <v>152</v>
      </c>
    </row>
    <row r="47" spans="1:18" s="63" customFormat="1" ht="15.6" x14ac:dyDescent="0.3">
      <c r="A47" s="75" t="s">
        <v>34</v>
      </c>
      <c r="B47" s="170" t="s">
        <v>152</v>
      </c>
      <c r="C47" s="67" t="s">
        <v>152</v>
      </c>
      <c r="D47" s="66" t="s">
        <v>152</v>
      </c>
      <c r="E47" s="66" t="s">
        <v>152</v>
      </c>
      <c r="F47" s="200" t="s">
        <v>152</v>
      </c>
      <c r="G47" s="67">
        <v>-529</v>
      </c>
      <c r="H47" s="66">
        <v>-3468</v>
      </c>
      <c r="I47" s="66">
        <v>-160</v>
      </c>
      <c r="J47" s="66">
        <v>-1034</v>
      </c>
      <c r="K47" s="66">
        <v>-697</v>
      </c>
      <c r="L47" s="66">
        <v>0</v>
      </c>
      <c r="M47" s="66">
        <v>0</v>
      </c>
      <c r="N47" s="66">
        <v>0</v>
      </c>
      <c r="O47" s="66">
        <v>0</v>
      </c>
      <c r="P47" s="66">
        <v>0</v>
      </c>
      <c r="Q47" s="66">
        <v>0</v>
      </c>
      <c r="R47" s="295" t="s">
        <v>152</v>
      </c>
    </row>
    <row r="48" spans="1:18" s="63" customFormat="1" ht="16.2" thickBot="1" x14ac:dyDescent="0.35">
      <c r="A48" s="88" t="s">
        <v>36</v>
      </c>
      <c r="B48" s="87" t="s">
        <v>152</v>
      </c>
      <c r="C48" s="72" t="s">
        <v>152</v>
      </c>
      <c r="D48" s="72" t="s">
        <v>152</v>
      </c>
      <c r="E48" s="72" t="s">
        <v>152</v>
      </c>
      <c r="F48" s="282">
        <v>-209</v>
      </c>
      <c r="G48" s="72">
        <v>0</v>
      </c>
      <c r="H48" s="71">
        <v>-16</v>
      </c>
      <c r="I48" s="71">
        <v>-53</v>
      </c>
      <c r="J48" s="71">
        <v>-12</v>
      </c>
      <c r="K48" s="71">
        <v>-79</v>
      </c>
      <c r="L48" s="71">
        <v>-57159</v>
      </c>
      <c r="M48" s="71">
        <v>0</v>
      </c>
      <c r="N48" s="71">
        <v>0</v>
      </c>
      <c r="O48" s="71">
        <v>0</v>
      </c>
      <c r="P48" s="71">
        <v>0</v>
      </c>
      <c r="Q48" s="71">
        <v>0</v>
      </c>
      <c r="R48" s="292" t="s">
        <v>152</v>
      </c>
    </row>
    <row r="49" spans="1:18" s="63" customFormat="1" ht="16.2" thickTop="1" x14ac:dyDescent="0.3">
      <c r="A49" s="89" t="s">
        <v>37</v>
      </c>
      <c r="B49" s="197" t="s">
        <v>152</v>
      </c>
      <c r="C49" s="198" t="s">
        <v>152</v>
      </c>
      <c r="D49" s="73" t="s">
        <v>152</v>
      </c>
      <c r="E49" s="73" t="s">
        <v>152</v>
      </c>
      <c r="F49" s="273">
        <f t="shared" ref="F49:I49" si="8">SUM(F37:F48)</f>
        <v>-209</v>
      </c>
      <c r="G49" s="273">
        <f t="shared" si="8"/>
        <v>-15718</v>
      </c>
      <c r="H49" s="273">
        <f t="shared" si="8"/>
        <v>-37260</v>
      </c>
      <c r="I49" s="273">
        <f t="shared" si="8"/>
        <v>-13892</v>
      </c>
      <c r="J49" s="273">
        <f t="shared" ref="J49:P49" si="9">SUM(J37:J48)</f>
        <v>-58247</v>
      </c>
      <c r="K49" s="273">
        <f t="shared" si="9"/>
        <v>-5969</v>
      </c>
      <c r="L49" s="273">
        <f t="shared" si="9"/>
        <v>-64335</v>
      </c>
      <c r="M49" s="273">
        <f t="shared" si="9"/>
        <v>-24874</v>
      </c>
      <c r="N49" s="273">
        <f t="shared" si="9"/>
        <v>-11057</v>
      </c>
      <c r="O49" s="273">
        <f t="shared" si="9"/>
        <v>0</v>
      </c>
      <c r="P49" s="273">
        <f t="shared" si="9"/>
        <v>-134</v>
      </c>
      <c r="Q49" s="273">
        <f t="shared" ref="Q49" si="10">SUM(Q37:Q48)</f>
        <v>0</v>
      </c>
      <c r="R49" s="288">
        <f t="shared" ref="R49" si="11">SUM(R37:R48)</f>
        <v>0</v>
      </c>
    </row>
    <row r="50" spans="1:18" s="113" customFormat="1" ht="6.6" x14ac:dyDescent="0.3">
      <c r="A50" s="371" t="s">
        <v>174</v>
      </c>
      <c r="B50" s="371"/>
      <c r="C50" s="371"/>
      <c r="D50" s="371"/>
      <c r="E50" s="371"/>
      <c r="F50" s="371"/>
      <c r="G50" s="371"/>
      <c r="H50" s="371"/>
      <c r="I50" s="371"/>
      <c r="J50" s="371"/>
      <c r="K50" s="371"/>
      <c r="L50" s="371"/>
      <c r="M50" s="371"/>
      <c r="N50" s="371"/>
      <c r="O50" s="371"/>
      <c r="P50" s="371"/>
      <c r="Q50" s="371"/>
      <c r="R50" s="371"/>
    </row>
    <row r="51" spans="1:18" s="111" customFormat="1" ht="13.8" x14ac:dyDescent="0.3">
      <c r="A51" s="373" t="s">
        <v>173</v>
      </c>
      <c r="B51" s="373"/>
      <c r="C51" s="373"/>
      <c r="D51" s="373"/>
      <c r="E51" s="373"/>
      <c r="F51" s="373"/>
      <c r="G51" s="373"/>
      <c r="H51" s="373"/>
      <c r="I51" s="373"/>
      <c r="J51" s="373"/>
      <c r="K51" s="373"/>
      <c r="L51" s="373"/>
      <c r="M51" s="373"/>
      <c r="N51" s="373"/>
      <c r="O51" s="373"/>
      <c r="P51" s="373"/>
      <c r="Q51" s="373"/>
      <c r="R51" s="373"/>
    </row>
    <row r="52" spans="1:18" s="111" customFormat="1" ht="13.8" x14ac:dyDescent="0.3">
      <c r="A52" s="388" t="s">
        <v>80</v>
      </c>
      <c r="B52" s="388"/>
      <c r="C52" s="388"/>
      <c r="D52" s="388"/>
      <c r="E52" s="388"/>
      <c r="F52" s="388"/>
      <c r="G52" s="388"/>
      <c r="H52" s="388"/>
      <c r="I52" s="388"/>
      <c r="J52" s="388"/>
      <c r="K52" s="388"/>
      <c r="L52" s="388"/>
      <c r="M52" s="388"/>
      <c r="N52" s="388"/>
      <c r="O52" s="388"/>
      <c r="P52" s="388"/>
      <c r="Q52" s="388"/>
      <c r="R52" s="388"/>
    </row>
    <row r="53" spans="1:18" s="111" customFormat="1" ht="13.8" x14ac:dyDescent="0.3">
      <c r="A53" s="384" t="s">
        <v>182</v>
      </c>
      <c r="B53" s="384"/>
      <c r="C53" s="384"/>
      <c r="D53" s="384"/>
      <c r="E53" s="384"/>
      <c r="F53" s="384"/>
      <c r="G53" s="384"/>
      <c r="H53" s="384"/>
      <c r="I53" s="384"/>
      <c r="J53" s="384"/>
      <c r="K53" s="384"/>
      <c r="L53" s="384"/>
      <c r="M53" s="384"/>
      <c r="N53" s="384"/>
      <c r="O53" s="384"/>
      <c r="P53" s="384"/>
      <c r="Q53" s="384"/>
      <c r="R53" s="384"/>
    </row>
    <row r="54" spans="1:18" s="111" customFormat="1" ht="13.8" x14ac:dyDescent="0.3">
      <c r="A54" s="384" t="str">
        <f>'Local SUT'!A60</f>
        <v>Source:  Minnesota Department of Revenue, Tax Research Division, February 2021</v>
      </c>
      <c r="B54" s="384"/>
      <c r="C54" s="384"/>
      <c r="D54" s="384"/>
      <c r="E54" s="384"/>
      <c r="F54" s="384"/>
      <c r="G54" s="384"/>
      <c r="H54" s="384"/>
      <c r="I54" s="384"/>
      <c r="J54" s="384"/>
      <c r="K54" s="384"/>
      <c r="L54" s="384"/>
      <c r="M54" s="384"/>
      <c r="N54" s="384"/>
      <c r="O54" s="384"/>
      <c r="P54" s="384"/>
      <c r="Q54" s="384"/>
      <c r="R54" s="384"/>
    </row>
    <row r="55" spans="1:18" s="111" customFormat="1" ht="14.4" customHeight="1" x14ac:dyDescent="0.3">
      <c r="A55" s="379" t="s">
        <v>151</v>
      </c>
      <c r="B55" s="379"/>
      <c r="C55" s="379"/>
      <c r="D55" s="379"/>
      <c r="E55" s="379"/>
      <c r="F55" s="379"/>
      <c r="G55" s="379"/>
      <c r="H55" s="379"/>
      <c r="I55" s="379"/>
      <c r="J55" s="379"/>
      <c r="K55" s="379"/>
      <c r="L55" s="379"/>
      <c r="M55" s="379"/>
      <c r="N55" s="379"/>
      <c r="O55" s="379"/>
      <c r="P55" s="379"/>
      <c r="Q55" s="379"/>
      <c r="R55" s="379"/>
    </row>
  </sheetData>
  <mergeCells count="13">
    <mergeCell ref="A1:R1"/>
    <mergeCell ref="A2:R2"/>
    <mergeCell ref="A3:R3"/>
    <mergeCell ref="A18:R18"/>
    <mergeCell ref="A19:R19"/>
    <mergeCell ref="A53:R53"/>
    <mergeCell ref="A54:R54"/>
    <mergeCell ref="A55:R55"/>
    <mergeCell ref="A34:R34"/>
    <mergeCell ref="A35:R35"/>
    <mergeCell ref="A50:R50"/>
    <mergeCell ref="A51:R51"/>
    <mergeCell ref="A52:R52"/>
  </mergeCells>
  <pageMargins left="0" right="0" top="0.75" bottom="0.75" header="0.3" footer="0.3"/>
  <pageSetup scale="77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27">
    <pageSetUpPr fitToPage="1"/>
  </sheetPr>
  <dimension ref="A1:R54"/>
  <sheetViews>
    <sheetView showGridLines="0" zoomScaleNormal="100" workbookViewId="0">
      <pane ySplit="1" topLeftCell="A2" activePane="bottomLeft" state="frozen"/>
      <selection pane="bottomLeft" sqref="A1:R1"/>
    </sheetView>
  </sheetViews>
  <sheetFormatPr defaultColWidth="12.5546875" defaultRowHeight="14.4" x14ac:dyDescent="0.3"/>
  <cols>
    <col min="1" max="1" width="12.5546875" style="180" customWidth="1"/>
    <col min="2" max="6" width="13.5546875" style="173" hidden="1" customWidth="1"/>
    <col min="7" max="17" width="13.5546875" style="173" customWidth="1"/>
    <col min="18" max="18" width="13.5546875" style="145" customWidth="1"/>
    <col min="19" max="16384" width="12.5546875" style="173"/>
  </cols>
  <sheetData>
    <row r="1" spans="1:18" s="112" customFormat="1" ht="21" x14ac:dyDescent="0.3">
      <c r="A1" s="380" t="s">
        <v>171</v>
      </c>
      <c r="B1" s="380"/>
      <c r="C1" s="380"/>
      <c r="D1" s="380"/>
      <c r="E1" s="380"/>
      <c r="F1" s="380"/>
      <c r="G1" s="380"/>
      <c r="H1" s="380"/>
      <c r="I1" s="380"/>
      <c r="J1" s="380"/>
      <c r="K1" s="380"/>
      <c r="L1" s="380"/>
      <c r="M1" s="380"/>
      <c r="N1" s="380"/>
      <c r="O1" s="380"/>
      <c r="P1" s="380"/>
      <c r="Q1" s="380"/>
      <c r="R1" s="380"/>
    </row>
    <row r="2" spans="1:18" s="106" customFormat="1" ht="18" x14ac:dyDescent="0.3">
      <c r="A2" s="381" t="str">
        <f>'Local SUT'!A2</f>
        <v>CY 2004-2020</v>
      </c>
      <c r="B2" s="381"/>
      <c r="C2" s="381"/>
      <c r="D2" s="381"/>
      <c r="E2" s="381"/>
      <c r="F2" s="381"/>
      <c r="G2" s="381"/>
      <c r="H2" s="381"/>
      <c r="I2" s="381"/>
      <c r="J2" s="381"/>
      <c r="K2" s="381"/>
      <c r="L2" s="381"/>
      <c r="M2" s="381"/>
      <c r="N2" s="381"/>
      <c r="O2" s="381"/>
      <c r="P2" s="381"/>
      <c r="Q2" s="381"/>
      <c r="R2" s="381"/>
    </row>
    <row r="3" spans="1:18" s="106" customFormat="1" ht="18" x14ac:dyDescent="0.3">
      <c r="A3" s="370" t="s">
        <v>296</v>
      </c>
      <c r="B3" s="370"/>
      <c r="C3" s="370"/>
      <c r="D3" s="370"/>
      <c r="E3" s="370"/>
      <c r="F3" s="370"/>
      <c r="G3" s="370"/>
      <c r="H3" s="370"/>
      <c r="I3" s="370"/>
      <c r="J3" s="370"/>
      <c r="K3" s="370"/>
      <c r="L3" s="370"/>
      <c r="M3" s="370"/>
      <c r="N3" s="370"/>
      <c r="O3" s="370"/>
      <c r="P3" s="370"/>
      <c r="Q3" s="370"/>
      <c r="R3" s="370"/>
    </row>
    <row r="4" spans="1:18" s="63" customFormat="1" ht="15.6" x14ac:dyDescent="0.3">
      <c r="A4" s="77" t="s">
        <v>23</v>
      </c>
      <c r="B4" s="91">
        <v>2004</v>
      </c>
      <c r="C4" s="64">
        <v>2005</v>
      </c>
      <c r="D4" s="64">
        <v>2006</v>
      </c>
      <c r="E4" s="64">
        <v>2007</v>
      </c>
      <c r="F4" s="64">
        <v>2008</v>
      </c>
      <c r="G4" s="64">
        <v>2009</v>
      </c>
      <c r="H4" s="64">
        <v>2010</v>
      </c>
      <c r="I4" s="64">
        <v>2011</v>
      </c>
      <c r="J4" s="65">
        <v>2012</v>
      </c>
      <c r="K4" s="65">
        <v>2013</v>
      </c>
      <c r="L4" s="65">
        <v>2014</v>
      </c>
      <c r="M4" s="65">
        <v>2015</v>
      </c>
      <c r="N4" s="65">
        <v>2016</v>
      </c>
      <c r="O4" s="65">
        <v>2017</v>
      </c>
      <c r="P4" s="65">
        <v>2018</v>
      </c>
      <c r="Q4" s="65">
        <v>2019</v>
      </c>
      <c r="R4" s="49">
        <v>2020</v>
      </c>
    </row>
    <row r="5" spans="1:18" s="63" customFormat="1" ht="15.6" x14ac:dyDescent="0.3">
      <c r="A5" s="76" t="s">
        <v>24</v>
      </c>
      <c r="B5" s="108" t="s">
        <v>152</v>
      </c>
      <c r="C5" s="107" t="s">
        <v>152</v>
      </c>
      <c r="D5" s="107" t="s">
        <v>152</v>
      </c>
      <c r="E5" s="107" t="s">
        <v>152</v>
      </c>
      <c r="F5" s="107" t="s">
        <v>152</v>
      </c>
      <c r="G5" s="107" t="s">
        <v>152</v>
      </c>
      <c r="H5" s="271">
        <v>61703</v>
      </c>
      <c r="I5" s="271">
        <v>79250</v>
      </c>
      <c r="J5" s="271">
        <v>70506</v>
      </c>
      <c r="K5" s="271">
        <v>76755</v>
      </c>
      <c r="L5" s="271">
        <v>80527</v>
      </c>
      <c r="M5" s="271">
        <v>74503</v>
      </c>
      <c r="N5" s="271">
        <v>72069</v>
      </c>
      <c r="O5" s="271">
        <v>93656</v>
      </c>
      <c r="P5" s="271">
        <v>80423</v>
      </c>
      <c r="Q5" s="271">
        <v>3170</v>
      </c>
      <c r="R5" s="286">
        <v>82</v>
      </c>
    </row>
    <row r="6" spans="1:18" s="63" customFormat="1" ht="15.6" x14ac:dyDescent="0.3">
      <c r="A6" s="75" t="s">
        <v>25</v>
      </c>
      <c r="B6" s="170" t="s">
        <v>152</v>
      </c>
      <c r="C6" s="67" t="s">
        <v>152</v>
      </c>
      <c r="D6" s="67" t="s">
        <v>152</v>
      </c>
      <c r="E6" s="67" t="s">
        <v>152</v>
      </c>
      <c r="F6" s="67" t="s">
        <v>152</v>
      </c>
      <c r="G6" s="67" t="s">
        <v>152</v>
      </c>
      <c r="H6" s="66">
        <v>44644</v>
      </c>
      <c r="I6" s="66">
        <v>52194</v>
      </c>
      <c r="J6" s="66">
        <v>55810</v>
      </c>
      <c r="K6" s="66">
        <v>60031</v>
      </c>
      <c r="L6" s="66">
        <v>59597</v>
      </c>
      <c r="M6" s="66">
        <v>64283</v>
      </c>
      <c r="N6" s="66">
        <v>65708</v>
      </c>
      <c r="O6" s="66">
        <v>70572</v>
      </c>
      <c r="P6" s="66">
        <v>72888</v>
      </c>
      <c r="Q6" s="66">
        <v>1016</v>
      </c>
      <c r="R6" s="287">
        <v>62490</v>
      </c>
    </row>
    <row r="7" spans="1:18" s="63" customFormat="1" ht="15.6" x14ac:dyDescent="0.3">
      <c r="A7" s="75" t="s">
        <v>26</v>
      </c>
      <c r="B7" s="170" t="s">
        <v>152</v>
      </c>
      <c r="C7" s="67" t="s">
        <v>152</v>
      </c>
      <c r="D7" s="67" t="s">
        <v>152</v>
      </c>
      <c r="E7" s="67" t="s">
        <v>152</v>
      </c>
      <c r="F7" s="67" t="s">
        <v>152</v>
      </c>
      <c r="G7" s="67" t="s">
        <v>152</v>
      </c>
      <c r="H7" s="66">
        <v>43070</v>
      </c>
      <c r="I7" s="66">
        <v>49450</v>
      </c>
      <c r="J7" s="66">
        <v>51367</v>
      </c>
      <c r="K7" s="66">
        <v>52207</v>
      </c>
      <c r="L7" s="66">
        <v>50094</v>
      </c>
      <c r="M7" s="66">
        <v>63826</v>
      </c>
      <c r="N7" s="66">
        <v>48617</v>
      </c>
      <c r="O7" s="66">
        <v>63709</v>
      </c>
      <c r="P7" s="66">
        <v>58399</v>
      </c>
      <c r="Q7" s="66">
        <v>19</v>
      </c>
      <c r="R7" s="287">
        <v>65994</v>
      </c>
    </row>
    <row r="8" spans="1:18" s="63" customFormat="1" ht="15.6" x14ac:dyDescent="0.3">
      <c r="A8" s="75" t="s">
        <v>27</v>
      </c>
      <c r="B8" s="170" t="s">
        <v>152</v>
      </c>
      <c r="C8" s="67" t="s">
        <v>152</v>
      </c>
      <c r="D8" s="67" t="s">
        <v>152</v>
      </c>
      <c r="E8" s="67" t="s">
        <v>152</v>
      </c>
      <c r="F8" s="67" t="s">
        <v>152</v>
      </c>
      <c r="G8" s="283">
        <v>1</v>
      </c>
      <c r="H8" s="66">
        <v>61300</v>
      </c>
      <c r="I8" s="66">
        <v>64221</v>
      </c>
      <c r="J8" s="66">
        <v>66265</v>
      </c>
      <c r="K8" s="66">
        <v>65859</v>
      </c>
      <c r="L8" s="66">
        <v>65573</v>
      </c>
      <c r="M8" s="66">
        <v>63004</v>
      </c>
      <c r="N8" s="66">
        <v>73462</v>
      </c>
      <c r="O8" s="66">
        <v>71701</v>
      </c>
      <c r="P8" s="66">
        <v>76715</v>
      </c>
      <c r="Q8" s="66">
        <v>712</v>
      </c>
      <c r="R8" s="287">
        <v>72423</v>
      </c>
    </row>
    <row r="9" spans="1:18" s="63" customFormat="1" ht="15.6" x14ac:dyDescent="0.3">
      <c r="A9" s="75" t="s">
        <v>28</v>
      </c>
      <c r="B9" s="170" t="s">
        <v>152</v>
      </c>
      <c r="C9" s="67" t="s">
        <v>152</v>
      </c>
      <c r="D9" s="67" t="s">
        <v>152</v>
      </c>
      <c r="E9" s="67" t="s">
        <v>152</v>
      </c>
      <c r="F9" s="67" t="s">
        <v>152</v>
      </c>
      <c r="G9" s="67">
        <v>44853</v>
      </c>
      <c r="H9" s="66">
        <v>56651</v>
      </c>
      <c r="I9" s="66">
        <v>56453</v>
      </c>
      <c r="J9" s="66">
        <v>56730</v>
      </c>
      <c r="K9" s="66">
        <v>60864</v>
      </c>
      <c r="L9" s="66">
        <v>55238</v>
      </c>
      <c r="M9" s="66">
        <v>59489</v>
      </c>
      <c r="N9" s="66">
        <v>64548</v>
      </c>
      <c r="O9" s="66">
        <v>72990</v>
      </c>
      <c r="P9" s="66">
        <v>68607</v>
      </c>
      <c r="Q9" s="66">
        <v>202</v>
      </c>
      <c r="R9" s="287">
        <v>68777</v>
      </c>
    </row>
    <row r="10" spans="1:18" s="63" customFormat="1" ht="15.6" x14ac:dyDescent="0.3">
      <c r="A10" s="75" t="s">
        <v>29</v>
      </c>
      <c r="B10" s="170" t="s">
        <v>152</v>
      </c>
      <c r="C10" s="67" t="s">
        <v>152</v>
      </c>
      <c r="D10" s="67" t="s">
        <v>152</v>
      </c>
      <c r="E10" s="67" t="s">
        <v>152</v>
      </c>
      <c r="F10" s="67" t="s">
        <v>152</v>
      </c>
      <c r="G10" s="67">
        <v>48657</v>
      </c>
      <c r="H10" s="66">
        <v>57441</v>
      </c>
      <c r="I10" s="66">
        <v>65284</v>
      </c>
      <c r="J10" s="66">
        <v>63879</v>
      </c>
      <c r="K10" s="66">
        <v>70914</v>
      </c>
      <c r="L10" s="66">
        <v>65133</v>
      </c>
      <c r="M10" s="66">
        <v>72926</v>
      </c>
      <c r="N10" s="66">
        <v>75333</v>
      </c>
      <c r="O10" s="66">
        <v>86629</v>
      </c>
      <c r="P10" s="66">
        <v>87188</v>
      </c>
      <c r="Q10" s="66">
        <v>271</v>
      </c>
      <c r="R10" s="287">
        <v>79291</v>
      </c>
    </row>
    <row r="11" spans="1:18" s="63" customFormat="1" ht="15.6" x14ac:dyDescent="0.3">
      <c r="A11" s="75" t="s">
        <v>30</v>
      </c>
      <c r="B11" s="170" t="s">
        <v>152</v>
      </c>
      <c r="C11" s="67" t="s">
        <v>152</v>
      </c>
      <c r="D11" s="67" t="s">
        <v>152</v>
      </c>
      <c r="E11" s="67" t="s">
        <v>152</v>
      </c>
      <c r="F11" s="67" t="s">
        <v>152</v>
      </c>
      <c r="G11" s="67">
        <v>41795</v>
      </c>
      <c r="H11" s="66">
        <v>53802</v>
      </c>
      <c r="I11" s="66">
        <v>54940</v>
      </c>
      <c r="J11" s="66">
        <v>65543</v>
      </c>
      <c r="K11" s="66">
        <v>74426</v>
      </c>
      <c r="L11" s="66">
        <v>65015</v>
      </c>
      <c r="M11" s="66">
        <v>68291</v>
      </c>
      <c r="N11" s="66">
        <v>79758</v>
      </c>
      <c r="O11" s="66">
        <v>195683</v>
      </c>
      <c r="P11" s="66">
        <v>77360</v>
      </c>
      <c r="Q11" s="66">
        <v>57</v>
      </c>
      <c r="R11" s="291" t="s">
        <v>152</v>
      </c>
    </row>
    <row r="12" spans="1:18" s="63" customFormat="1" ht="15.6" x14ac:dyDescent="0.3">
      <c r="A12" s="75" t="s">
        <v>31</v>
      </c>
      <c r="B12" s="170" t="s">
        <v>152</v>
      </c>
      <c r="C12" s="67" t="s">
        <v>152</v>
      </c>
      <c r="D12" s="67" t="s">
        <v>152</v>
      </c>
      <c r="E12" s="67" t="s">
        <v>152</v>
      </c>
      <c r="F12" s="67" t="s">
        <v>152</v>
      </c>
      <c r="G12" s="67">
        <v>61687</v>
      </c>
      <c r="H12" s="66">
        <v>75081</v>
      </c>
      <c r="I12" s="66">
        <v>71466</v>
      </c>
      <c r="J12" s="66">
        <v>70980</v>
      </c>
      <c r="K12" s="66">
        <v>73173</v>
      </c>
      <c r="L12" s="66">
        <v>74253</v>
      </c>
      <c r="M12" s="66">
        <v>83811</v>
      </c>
      <c r="N12" s="66">
        <v>77568</v>
      </c>
      <c r="O12" s="66">
        <v>501899</v>
      </c>
      <c r="P12" s="66">
        <v>98870</v>
      </c>
      <c r="Q12" s="66">
        <v>-208</v>
      </c>
      <c r="R12" s="295" t="s">
        <v>152</v>
      </c>
    </row>
    <row r="13" spans="1:18" s="63" customFormat="1" ht="15.6" x14ac:dyDescent="0.3">
      <c r="A13" s="75" t="s">
        <v>32</v>
      </c>
      <c r="B13" s="170" t="s">
        <v>152</v>
      </c>
      <c r="C13" s="67" t="s">
        <v>152</v>
      </c>
      <c r="D13" s="67" t="s">
        <v>152</v>
      </c>
      <c r="E13" s="67" t="s">
        <v>152</v>
      </c>
      <c r="F13" s="67" t="s">
        <v>152</v>
      </c>
      <c r="G13" s="67">
        <v>54449</v>
      </c>
      <c r="H13" s="66">
        <v>62026</v>
      </c>
      <c r="I13" s="66">
        <v>69219</v>
      </c>
      <c r="J13" s="66">
        <v>63983</v>
      </c>
      <c r="K13" s="66">
        <v>67676</v>
      </c>
      <c r="L13" s="66">
        <v>65077</v>
      </c>
      <c r="M13" s="66">
        <v>65781</v>
      </c>
      <c r="N13" s="66">
        <v>77898</v>
      </c>
      <c r="O13" s="66">
        <v>75973</v>
      </c>
      <c r="P13" s="66">
        <v>85810</v>
      </c>
      <c r="Q13" s="66">
        <v>345</v>
      </c>
      <c r="R13" s="295" t="s">
        <v>152</v>
      </c>
    </row>
    <row r="14" spans="1:18" s="63" customFormat="1" ht="15.6" x14ac:dyDescent="0.3">
      <c r="A14" s="75" t="s">
        <v>33</v>
      </c>
      <c r="B14" s="170" t="s">
        <v>152</v>
      </c>
      <c r="C14" s="67" t="s">
        <v>152</v>
      </c>
      <c r="D14" s="67" t="s">
        <v>152</v>
      </c>
      <c r="E14" s="67" t="s">
        <v>152</v>
      </c>
      <c r="F14" s="67" t="s">
        <v>152</v>
      </c>
      <c r="G14" s="67">
        <v>55462</v>
      </c>
      <c r="H14" s="66">
        <v>67110</v>
      </c>
      <c r="I14" s="66">
        <v>66078</v>
      </c>
      <c r="J14" s="66">
        <v>68496</v>
      </c>
      <c r="K14" s="66">
        <v>67702</v>
      </c>
      <c r="L14" s="66">
        <v>70053</v>
      </c>
      <c r="M14" s="66">
        <v>78026</v>
      </c>
      <c r="N14" s="66">
        <v>80250</v>
      </c>
      <c r="O14" s="66">
        <v>82456</v>
      </c>
      <c r="P14" s="66">
        <v>85884</v>
      </c>
      <c r="Q14" s="66">
        <v>2</v>
      </c>
      <c r="R14" s="295" t="s">
        <v>152</v>
      </c>
    </row>
    <row r="15" spans="1:18" s="63" customFormat="1" ht="15.6" x14ac:dyDescent="0.3">
      <c r="A15" s="75" t="s">
        <v>34</v>
      </c>
      <c r="B15" s="170" t="s">
        <v>152</v>
      </c>
      <c r="C15" s="67" t="s">
        <v>152</v>
      </c>
      <c r="D15" s="67" t="s">
        <v>152</v>
      </c>
      <c r="E15" s="67" t="s">
        <v>152</v>
      </c>
      <c r="F15" s="67" t="s">
        <v>152</v>
      </c>
      <c r="G15" s="67">
        <v>49683</v>
      </c>
      <c r="H15" s="66">
        <v>54694</v>
      </c>
      <c r="I15" s="66">
        <v>70251</v>
      </c>
      <c r="J15" s="66">
        <v>67922</v>
      </c>
      <c r="K15" s="66">
        <v>59988</v>
      </c>
      <c r="L15" s="66">
        <v>67843</v>
      </c>
      <c r="M15" s="66">
        <v>81355</v>
      </c>
      <c r="N15" s="66">
        <v>72439</v>
      </c>
      <c r="O15" s="66">
        <v>72604</v>
      </c>
      <c r="P15" s="66">
        <v>332</v>
      </c>
      <c r="Q15" s="66">
        <v>268</v>
      </c>
      <c r="R15" s="295" t="s">
        <v>152</v>
      </c>
    </row>
    <row r="16" spans="1:18" s="63" customFormat="1" ht="16.2" thickBot="1" x14ac:dyDescent="0.35">
      <c r="A16" s="88" t="s">
        <v>36</v>
      </c>
      <c r="B16" s="87" t="s">
        <v>152</v>
      </c>
      <c r="C16" s="72" t="s">
        <v>152</v>
      </c>
      <c r="D16" s="72" t="s">
        <v>152</v>
      </c>
      <c r="E16" s="72" t="s">
        <v>152</v>
      </c>
      <c r="F16" s="72" t="s">
        <v>152</v>
      </c>
      <c r="G16" s="72">
        <v>47876</v>
      </c>
      <c r="H16" s="71">
        <v>59348</v>
      </c>
      <c r="I16" s="71">
        <v>62587</v>
      </c>
      <c r="J16" s="71">
        <v>66247</v>
      </c>
      <c r="K16" s="71">
        <v>70725</v>
      </c>
      <c r="L16" s="71">
        <v>65741</v>
      </c>
      <c r="M16" s="71">
        <v>63519</v>
      </c>
      <c r="N16" s="71">
        <v>76319</v>
      </c>
      <c r="O16" s="71">
        <v>79921</v>
      </c>
      <c r="P16" s="71">
        <v>1871</v>
      </c>
      <c r="Q16" s="71">
        <v>-1097</v>
      </c>
      <c r="R16" s="292" t="s">
        <v>152</v>
      </c>
    </row>
    <row r="17" spans="1:18" s="63" customFormat="1" ht="16.2" thickTop="1" x14ac:dyDescent="0.3">
      <c r="A17" s="89" t="s">
        <v>37</v>
      </c>
      <c r="B17" s="90" t="s">
        <v>152</v>
      </c>
      <c r="C17" s="73" t="s">
        <v>152</v>
      </c>
      <c r="D17" s="73" t="s">
        <v>152</v>
      </c>
      <c r="E17" s="73" t="s">
        <v>152</v>
      </c>
      <c r="F17" s="73" t="s">
        <v>152</v>
      </c>
      <c r="G17" s="273">
        <f t="shared" ref="G17:P17" si="0">SUM(G5:G16)</f>
        <v>404463</v>
      </c>
      <c r="H17" s="273">
        <f t="shared" si="0"/>
        <v>696870</v>
      </c>
      <c r="I17" s="273">
        <f t="shared" si="0"/>
        <v>761393</v>
      </c>
      <c r="J17" s="273">
        <f t="shared" si="0"/>
        <v>767728</v>
      </c>
      <c r="K17" s="273">
        <f t="shared" si="0"/>
        <v>800320</v>
      </c>
      <c r="L17" s="273">
        <f t="shared" si="0"/>
        <v>784144</v>
      </c>
      <c r="M17" s="273">
        <f t="shared" si="0"/>
        <v>838814</v>
      </c>
      <c r="N17" s="273">
        <f t="shared" si="0"/>
        <v>863969</v>
      </c>
      <c r="O17" s="273">
        <f t="shared" si="0"/>
        <v>1467793</v>
      </c>
      <c r="P17" s="273">
        <f t="shared" si="0"/>
        <v>794347</v>
      </c>
      <c r="Q17" s="273">
        <f t="shared" ref="Q17" si="1">SUM(Q5:Q16)</f>
        <v>4757</v>
      </c>
      <c r="R17" s="288">
        <f t="shared" ref="R17" si="2">SUM(R5:R16)</f>
        <v>349057</v>
      </c>
    </row>
    <row r="18" spans="1:18" s="113" customFormat="1" ht="6.6" x14ac:dyDescent="0.3">
      <c r="A18" s="371" t="s">
        <v>174</v>
      </c>
      <c r="B18" s="371"/>
      <c r="C18" s="371"/>
      <c r="D18" s="371"/>
      <c r="E18" s="371"/>
      <c r="F18" s="371"/>
      <c r="G18" s="371"/>
      <c r="H18" s="371"/>
      <c r="I18" s="371"/>
      <c r="J18" s="371"/>
      <c r="K18" s="371"/>
      <c r="L18" s="371"/>
      <c r="M18" s="371"/>
      <c r="N18" s="371"/>
      <c r="O18" s="371"/>
      <c r="P18" s="371"/>
      <c r="Q18" s="371"/>
      <c r="R18" s="371"/>
    </row>
    <row r="19" spans="1:18" s="106" customFormat="1" ht="18" x14ac:dyDescent="0.3">
      <c r="A19" s="395" t="s">
        <v>237</v>
      </c>
      <c r="B19" s="395"/>
      <c r="C19" s="395"/>
      <c r="D19" s="395"/>
      <c r="E19" s="395"/>
      <c r="F19" s="395"/>
      <c r="G19" s="395"/>
      <c r="H19" s="395"/>
      <c r="I19" s="395"/>
      <c r="J19" s="395"/>
      <c r="K19" s="395"/>
      <c r="L19" s="395"/>
      <c r="M19" s="395"/>
      <c r="N19" s="395"/>
      <c r="O19" s="395"/>
      <c r="P19" s="395"/>
      <c r="Q19" s="395"/>
      <c r="R19" s="395"/>
    </row>
    <row r="20" spans="1:18" s="63" customFormat="1" ht="15.6" x14ac:dyDescent="0.3">
      <c r="A20" s="77" t="s">
        <v>23</v>
      </c>
      <c r="B20" s="91">
        <v>2005</v>
      </c>
      <c r="C20" s="64">
        <v>2005</v>
      </c>
      <c r="D20" s="64">
        <v>2006</v>
      </c>
      <c r="E20" s="64">
        <v>2007</v>
      </c>
      <c r="F20" s="64">
        <v>2008</v>
      </c>
      <c r="G20" s="64">
        <v>2009</v>
      </c>
      <c r="H20" s="64">
        <v>2010</v>
      </c>
      <c r="I20" s="64">
        <v>2011</v>
      </c>
      <c r="J20" s="65">
        <v>2012</v>
      </c>
      <c r="K20" s="65">
        <v>2013</v>
      </c>
      <c r="L20" s="65">
        <v>2014</v>
      </c>
      <c r="M20" s="65">
        <v>2015</v>
      </c>
      <c r="N20" s="65">
        <v>2016</v>
      </c>
      <c r="O20" s="65">
        <v>2017</v>
      </c>
      <c r="P20" s="65">
        <v>2018</v>
      </c>
      <c r="Q20" s="65">
        <v>2019</v>
      </c>
      <c r="R20" s="49">
        <v>2020</v>
      </c>
    </row>
    <row r="21" spans="1:18" s="63" customFormat="1" ht="15.6" x14ac:dyDescent="0.3">
      <c r="A21" s="76" t="s">
        <v>24</v>
      </c>
      <c r="B21" s="108" t="s">
        <v>152</v>
      </c>
      <c r="C21" s="107" t="s">
        <v>152</v>
      </c>
      <c r="D21" s="107" t="s">
        <v>152</v>
      </c>
      <c r="E21" s="107" t="s">
        <v>152</v>
      </c>
      <c r="F21" s="107" t="s">
        <v>152</v>
      </c>
      <c r="G21" s="107" t="s">
        <v>152</v>
      </c>
      <c r="H21" s="271">
        <v>1799</v>
      </c>
      <c r="I21" s="271">
        <v>4026</v>
      </c>
      <c r="J21" s="271">
        <v>4027</v>
      </c>
      <c r="K21" s="271">
        <v>7818</v>
      </c>
      <c r="L21" s="271">
        <v>4873</v>
      </c>
      <c r="M21" s="271">
        <v>13470</v>
      </c>
      <c r="N21" s="271">
        <v>3466</v>
      </c>
      <c r="O21" s="271">
        <v>3000</v>
      </c>
      <c r="P21" s="271">
        <v>12680</v>
      </c>
      <c r="Q21" s="271">
        <v>304</v>
      </c>
      <c r="R21" s="286">
        <v>475</v>
      </c>
    </row>
    <row r="22" spans="1:18" s="63" customFormat="1" ht="15.6" x14ac:dyDescent="0.3">
      <c r="A22" s="75" t="s">
        <v>25</v>
      </c>
      <c r="B22" s="170" t="s">
        <v>152</v>
      </c>
      <c r="C22" s="67" t="s">
        <v>152</v>
      </c>
      <c r="D22" s="67" t="s">
        <v>152</v>
      </c>
      <c r="E22" s="67" t="s">
        <v>152</v>
      </c>
      <c r="F22" s="67" t="s">
        <v>152</v>
      </c>
      <c r="G22" s="67" t="s">
        <v>152</v>
      </c>
      <c r="H22" s="66">
        <v>1961</v>
      </c>
      <c r="I22" s="66">
        <v>2506</v>
      </c>
      <c r="J22" s="66">
        <v>4151</v>
      </c>
      <c r="K22" s="66">
        <v>1743</v>
      </c>
      <c r="L22" s="66">
        <v>3968</v>
      </c>
      <c r="M22" s="66">
        <v>4230</v>
      </c>
      <c r="N22" s="66">
        <v>1737</v>
      </c>
      <c r="O22" s="66">
        <v>2521</v>
      </c>
      <c r="P22" s="66">
        <v>3250</v>
      </c>
      <c r="Q22" s="66">
        <v>123</v>
      </c>
      <c r="R22" s="287">
        <v>1878</v>
      </c>
    </row>
    <row r="23" spans="1:18" s="63" customFormat="1" ht="15.6" x14ac:dyDescent="0.3">
      <c r="A23" s="75" t="s">
        <v>26</v>
      </c>
      <c r="B23" s="170" t="s">
        <v>152</v>
      </c>
      <c r="C23" s="67" t="s">
        <v>152</v>
      </c>
      <c r="D23" s="67" t="s">
        <v>152</v>
      </c>
      <c r="E23" s="67" t="s">
        <v>152</v>
      </c>
      <c r="F23" s="67" t="s">
        <v>152</v>
      </c>
      <c r="G23" s="67" t="s">
        <v>152</v>
      </c>
      <c r="H23" s="66">
        <v>1571</v>
      </c>
      <c r="I23" s="66">
        <v>7178</v>
      </c>
      <c r="J23" s="66">
        <v>1202</v>
      </c>
      <c r="K23" s="66">
        <v>2413</v>
      </c>
      <c r="L23" s="66">
        <v>6683</v>
      </c>
      <c r="M23" s="66">
        <v>1716</v>
      </c>
      <c r="N23" s="66">
        <v>1667</v>
      </c>
      <c r="O23" s="66">
        <v>1827</v>
      </c>
      <c r="P23" s="66">
        <v>10191</v>
      </c>
      <c r="Q23" s="66">
        <v>0</v>
      </c>
      <c r="R23" s="287">
        <v>2394</v>
      </c>
    </row>
    <row r="24" spans="1:18" s="63" customFormat="1" ht="15.6" x14ac:dyDescent="0.3">
      <c r="A24" s="75" t="s">
        <v>27</v>
      </c>
      <c r="B24" s="170" t="s">
        <v>152</v>
      </c>
      <c r="C24" s="67" t="s">
        <v>152</v>
      </c>
      <c r="D24" s="67" t="s">
        <v>152</v>
      </c>
      <c r="E24" s="67" t="s">
        <v>152</v>
      </c>
      <c r="F24" s="67" t="s">
        <v>152</v>
      </c>
      <c r="G24" s="283">
        <v>0</v>
      </c>
      <c r="H24" s="66">
        <v>2198</v>
      </c>
      <c r="I24" s="66">
        <v>3818</v>
      </c>
      <c r="J24" s="66">
        <v>2288</v>
      </c>
      <c r="K24" s="66">
        <v>2426</v>
      </c>
      <c r="L24" s="66">
        <v>1822</v>
      </c>
      <c r="M24" s="66">
        <v>2557</v>
      </c>
      <c r="N24" s="66">
        <v>2285</v>
      </c>
      <c r="O24" s="66">
        <v>3465</v>
      </c>
      <c r="P24" s="66">
        <v>3444</v>
      </c>
      <c r="Q24" s="66">
        <v>0</v>
      </c>
      <c r="R24" s="287">
        <v>4401</v>
      </c>
    </row>
    <row r="25" spans="1:18" s="63" customFormat="1" ht="15.6" x14ac:dyDescent="0.3">
      <c r="A25" s="75" t="s">
        <v>28</v>
      </c>
      <c r="B25" s="170" t="s">
        <v>152</v>
      </c>
      <c r="C25" s="67" t="s">
        <v>152</v>
      </c>
      <c r="D25" s="67" t="s">
        <v>152</v>
      </c>
      <c r="E25" s="67" t="s">
        <v>152</v>
      </c>
      <c r="F25" s="67" t="s">
        <v>152</v>
      </c>
      <c r="G25" s="67">
        <v>1337</v>
      </c>
      <c r="H25" s="66">
        <v>2146</v>
      </c>
      <c r="I25" s="66">
        <v>3801</v>
      </c>
      <c r="J25" s="66">
        <v>1434</v>
      </c>
      <c r="K25" s="66">
        <v>1681</v>
      </c>
      <c r="L25" s="66">
        <v>2833</v>
      </c>
      <c r="M25" s="66">
        <v>3968</v>
      </c>
      <c r="N25" s="66">
        <v>2480</v>
      </c>
      <c r="O25" s="66">
        <v>2586</v>
      </c>
      <c r="P25" s="66">
        <v>8849</v>
      </c>
      <c r="Q25" s="66">
        <v>0</v>
      </c>
      <c r="R25" s="287">
        <v>2434</v>
      </c>
    </row>
    <row r="26" spans="1:18" s="63" customFormat="1" ht="15.6" x14ac:dyDescent="0.3">
      <c r="A26" s="75" t="s">
        <v>29</v>
      </c>
      <c r="B26" s="170" t="s">
        <v>152</v>
      </c>
      <c r="C26" s="67" t="s">
        <v>152</v>
      </c>
      <c r="D26" s="67" t="s">
        <v>152</v>
      </c>
      <c r="E26" s="67" t="s">
        <v>152</v>
      </c>
      <c r="F26" s="67" t="s">
        <v>152</v>
      </c>
      <c r="G26" s="67">
        <v>1203</v>
      </c>
      <c r="H26" s="66">
        <v>3706</v>
      </c>
      <c r="I26" s="66">
        <v>1846</v>
      </c>
      <c r="J26" s="66">
        <v>6815</v>
      </c>
      <c r="K26" s="66">
        <v>1572</v>
      </c>
      <c r="L26" s="66">
        <v>1811</v>
      </c>
      <c r="M26" s="66">
        <v>2623</v>
      </c>
      <c r="N26" s="66">
        <v>2508</v>
      </c>
      <c r="O26" s="66">
        <v>2510</v>
      </c>
      <c r="P26" s="66">
        <v>3921</v>
      </c>
      <c r="Q26" s="66">
        <v>5383</v>
      </c>
      <c r="R26" s="287">
        <v>3176</v>
      </c>
    </row>
    <row r="27" spans="1:18" s="63" customFormat="1" ht="15.6" x14ac:dyDescent="0.3">
      <c r="A27" s="75" t="s">
        <v>30</v>
      </c>
      <c r="B27" s="170" t="s">
        <v>152</v>
      </c>
      <c r="C27" s="67" t="s">
        <v>152</v>
      </c>
      <c r="D27" s="67" t="s">
        <v>152</v>
      </c>
      <c r="E27" s="67" t="s">
        <v>152</v>
      </c>
      <c r="F27" s="67" t="s">
        <v>152</v>
      </c>
      <c r="G27" s="67">
        <v>792</v>
      </c>
      <c r="H27" s="66">
        <v>1868</v>
      </c>
      <c r="I27" s="66">
        <v>2854</v>
      </c>
      <c r="J27" s="66">
        <v>2531</v>
      </c>
      <c r="K27" s="66">
        <v>3626</v>
      </c>
      <c r="L27" s="66">
        <v>3421</v>
      </c>
      <c r="M27" s="66">
        <v>2396</v>
      </c>
      <c r="N27" s="66">
        <v>1565</v>
      </c>
      <c r="O27" s="66">
        <v>3167</v>
      </c>
      <c r="P27" s="66">
        <v>7913</v>
      </c>
      <c r="Q27" s="66">
        <v>1363</v>
      </c>
      <c r="R27" s="295" t="s">
        <v>152</v>
      </c>
    </row>
    <row r="28" spans="1:18" s="63" customFormat="1" ht="15.6" x14ac:dyDescent="0.3">
      <c r="A28" s="75" t="s">
        <v>31</v>
      </c>
      <c r="B28" s="170" t="s">
        <v>152</v>
      </c>
      <c r="C28" s="67" t="s">
        <v>152</v>
      </c>
      <c r="D28" s="67" t="s">
        <v>152</v>
      </c>
      <c r="E28" s="67" t="s">
        <v>152</v>
      </c>
      <c r="F28" s="67" t="s">
        <v>152</v>
      </c>
      <c r="G28" s="67">
        <v>893</v>
      </c>
      <c r="H28" s="66">
        <v>1370</v>
      </c>
      <c r="I28" s="66">
        <v>2418</v>
      </c>
      <c r="J28" s="66">
        <v>2728</v>
      </c>
      <c r="K28" s="66">
        <v>4384</v>
      </c>
      <c r="L28" s="66">
        <v>4131</v>
      </c>
      <c r="M28" s="66">
        <v>2229</v>
      </c>
      <c r="N28" s="66">
        <v>2218</v>
      </c>
      <c r="O28" s="66">
        <v>15430</v>
      </c>
      <c r="P28" s="66">
        <v>5060</v>
      </c>
      <c r="Q28" s="66">
        <v>186</v>
      </c>
      <c r="R28" s="295" t="s">
        <v>152</v>
      </c>
    </row>
    <row r="29" spans="1:18" s="63" customFormat="1" ht="15.6" x14ac:dyDescent="0.3">
      <c r="A29" s="75" t="s">
        <v>32</v>
      </c>
      <c r="B29" s="170" t="s">
        <v>152</v>
      </c>
      <c r="C29" s="67" t="s">
        <v>152</v>
      </c>
      <c r="D29" s="67" t="s">
        <v>152</v>
      </c>
      <c r="E29" s="67" t="s">
        <v>152</v>
      </c>
      <c r="F29" s="67" t="s">
        <v>152</v>
      </c>
      <c r="G29" s="67">
        <v>1329</v>
      </c>
      <c r="H29" s="66">
        <v>1634</v>
      </c>
      <c r="I29" s="66">
        <v>5367</v>
      </c>
      <c r="J29" s="66">
        <v>2018</v>
      </c>
      <c r="K29" s="66">
        <v>1558</v>
      </c>
      <c r="L29" s="66">
        <v>3611</v>
      </c>
      <c r="M29" s="66">
        <v>4660</v>
      </c>
      <c r="N29" s="66">
        <v>4010</v>
      </c>
      <c r="O29" s="66">
        <v>8406</v>
      </c>
      <c r="P29" s="66">
        <v>3941</v>
      </c>
      <c r="Q29" s="66">
        <v>-8550</v>
      </c>
      <c r="R29" s="295" t="s">
        <v>152</v>
      </c>
    </row>
    <row r="30" spans="1:18" s="63" customFormat="1" ht="15.6" x14ac:dyDescent="0.3">
      <c r="A30" s="75" t="s">
        <v>33</v>
      </c>
      <c r="B30" s="170" t="s">
        <v>152</v>
      </c>
      <c r="C30" s="67" t="s">
        <v>152</v>
      </c>
      <c r="D30" s="67" t="s">
        <v>152</v>
      </c>
      <c r="E30" s="67" t="s">
        <v>152</v>
      </c>
      <c r="F30" s="67" t="s">
        <v>152</v>
      </c>
      <c r="G30" s="67">
        <v>1850</v>
      </c>
      <c r="H30" s="66">
        <v>-1351</v>
      </c>
      <c r="I30" s="66">
        <v>4367</v>
      </c>
      <c r="J30" s="66">
        <v>4161</v>
      </c>
      <c r="K30" s="66">
        <v>5233</v>
      </c>
      <c r="L30" s="66">
        <v>6236</v>
      </c>
      <c r="M30" s="66">
        <v>3848</v>
      </c>
      <c r="N30" s="66">
        <v>12859</v>
      </c>
      <c r="O30" s="66">
        <v>8455</v>
      </c>
      <c r="P30" s="66">
        <v>5565</v>
      </c>
      <c r="Q30" s="66">
        <v>475</v>
      </c>
      <c r="R30" s="295" t="s">
        <v>152</v>
      </c>
    </row>
    <row r="31" spans="1:18" s="63" customFormat="1" ht="15.6" x14ac:dyDescent="0.3">
      <c r="A31" s="75" t="s">
        <v>34</v>
      </c>
      <c r="B31" s="170" t="s">
        <v>152</v>
      </c>
      <c r="C31" s="67" t="s">
        <v>152</v>
      </c>
      <c r="D31" s="67" t="s">
        <v>152</v>
      </c>
      <c r="E31" s="67" t="s">
        <v>152</v>
      </c>
      <c r="F31" s="67" t="s">
        <v>152</v>
      </c>
      <c r="G31" s="67">
        <v>1194</v>
      </c>
      <c r="H31" s="66">
        <v>2356</v>
      </c>
      <c r="I31" s="66">
        <v>2824</v>
      </c>
      <c r="J31" s="66">
        <v>1544</v>
      </c>
      <c r="K31" s="66">
        <v>6483</v>
      </c>
      <c r="L31" s="66">
        <v>4091</v>
      </c>
      <c r="M31" s="66">
        <v>3331</v>
      </c>
      <c r="N31" s="66">
        <v>3266</v>
      </c>
      <c r="O31" s="66">
        <v>3264</v>
      </c>
      <c r="P31" s="66">
        <v>1001</v>
      </c>
      <c r="Q31" s="66">
        <v>155</v>
      </c>
      <c r="R31" s="295" t="s">
        <v>152</v>
      </c>
    </row>
    <row r="32" spans="1:18" s="63" customFormat="1" ht="16.2" thickBot="1" x14ac:dyDescent="0.35">
      <c r="A32" s="88" t="s">
        <v>36</v>
      </c>
      <c r="B32" s="87" t="s">
        <v>152</v>
      </c>
      <c r="C32" s="72" t="s">
        <v>152</v>
      </c>
      <c r="D32" s="72" t="s">
        <v>152</v>
      </c>
      <c r="E32" s="72" t="s">
        <v>152</v>
      </c>
      <c r="F32" s="72" t="s">
        <v>152</v>
      </c>
      <c r="G32" s="72">
        <v>1203</v>
      </c>
      <c r="H32" s="71">
        <v>1747</v>
      </c>
      <c r="I32" s="71">
        <v>2208</v>
      </c>
      <c r="J32" s="71">
        <v>1982</v>
      </c>
      <c r="K32" s="71">
        <v>3345</v>
      </c>
      <c r="L32" s="71">
        <v>5291</v>
      </c>
      <c r="M32" s="71">
        <v>1174</v>
      </c>
      <c r="N32" s="71">
        <v>3587</v>
      </c>
      <c r="O32" s="71">
        <v>8150</v>
      </c>
      <c r="P32" s="71">
        <v>-23543</v>
      </c>
      <c r="Q32" s="71">
        <v>0</v>
      </c>
      <c r="R32" s="292" t="s">
        <v>152</v>
      </c>
    </row>
    <row r="33" spans="1:18" s="63" customFormat="1" ht="16.2" thickTop="1" x14ac:dyDescent="0.3">
      <c r="A33" s="89" t="s">
        <v>37</v>
      </c>
      <c r="B33" s="90" t="s">
        <v>152</v>
      </c>
      <c r="C33" s="73" t="s">
        <v>152</v>
      </c>
      <c r="D33" s="73" t="s">
        <v>152</v>
      </c>
      <c r="E33" s="73" t="s">
        <v>152</v>
      </c>
      <c r="F33" s="73" t="s">
        <v>152</v>
      </c>
      <c r="G33" s="273">
        <f t="shared" ref="G33:P33" si="3">SUM(G21:G32)</f>
        <v>9801</v>
      </c>
      <c r="H33" s="273">
        <f t="shared" si="3"/>
        <v>21005</v>
      </c>
      <c r="I33" s="273">
        <f t="shared" si="3"/>
        <v>43213</v>
      </c>
      <c r="J33" s="273">
        <f t="shared" si="3"/>
        <v>34881</v>
      </c>
      <c r="K33" s="273">
        <f t="shared" si="3"/>
        <v>42282</v>
      </c>
      <c r="L33" s="273">
        <f t="shared" si="3"/>
        <v>48771</v>
      </c>
      <c r="M33" s="273">
        <f t="shared" si="3"/>
        <v>46202</v>
      </c>
      <c r="N33" s="273">
        <f t="shared" si="3"/>
        <v>41648</v>
      </c>
      <c r="O33" s="273">
        <f t="shared" si="3"/>
        <v>62781</v>
      </c>
      <c r="P33" s="273">
        <f t="shared" si="3"/>
        <v>42272</v>
      </c>
      <c r="Q33" s="273">
        <f t="shared" ref="Q33" si="4">SUM(Q21:Q32)</f>
        <v>-561</v>
      </c>
      <c r="R33" s="288">
        <f t="shared" ref="R33" si="5">SUM(R21:R32)</f>
        <v>14758</v>
      </c>
    </row>
    <row r="34" spans="1:18" s="113" customFormat="1" ht="6.6" x14ac:dyDescent="0.3">
      <c r="A34" s="371" t="s">
        <v>174</v>
      </c>
      <c r="B34" s="371"/>
      <c r="C34" s="371"/>
      <c r="D34" s="371"/>
      <c r="E34" s="371"/>
      <c r="F34" s="371"/>
      <c r="G34" s="371"/>
      <c r="H34" s="371"/>
      <c r="I34" s="371"/>
      <c r="J34" s="371"/>
      <c r="K34" s="371"/>
      <c r="L34" s="371"/>
      <c r="M34" s="371"/>
      <c r="N34" s="371"/>
      <c r="O34" s="371"/>
      <c r="P34" s="371"/>
      <c r="Q34" s="371"/>
      <c r="R34" s="371"/>
    </row>
    <row r="35" spans="1:18" s="106" customFormat="1" ht="18" x14ac:dyDescent="0.3">
      <c r="A35" s="370" t="s">
        <v>131</v>
      </c>
      <c r="B35" s="370"/>
      <c r="C35" s="370"/>
      <c r="D35" s="370"/>
      <c r="E35" s="370"/>
      <c r="F35" s="370"/>
      <c r="G35" s="370"/>
      <c r="H35" s="370"/>
      <c r="I35" s="370"/>
      <c r="J35" s="370"/>
      <c r="K35" s="370"/>
      <c r="L35" s="370"/>
      <c r="M35" s="370"/>
      <c r="N35" s="370"/>
      <c r="O35" s="370"/>
      <c r="P35" s="370"/>
      <c r="Q35" s="370"/>
      <c r="R35" s="370"/>
    </row>
    <row r="36" spans="1:18" s="63" customFormat="1" ht="15.6" x14ac:dyDescent="0.3">
      <c r="A36" s="77" t="s">
        <v>23</v>
      </c>
      <c r="B36" s="91">
        <v>2005</v>
      </c>
      <c r="C36" s="64">
        <v>2005</v>
      </c>
      <c r="D36" s="64">
        <v>2006</v>
      </c>
      <c r="E36" s="64">
        <v>2007</v>
      </c>
      <c r="F36" s="64">
        <v>2008</v>
      </c>
      <c r="G36" s="64">
        <v>2009</v>
      </c>
      <c r="H36" s="64">
        <v>2010</v>
      </c>
      <c r="I36" s="64">
        <v>2011</v>
      </c>
      <c r="J36" s="65">
        <v>2012</v>
      </c>
      <c r="K36" s="65">
        <v>2013</v>
      </c>
      <c r="L36" s="65">
        <v>2014</v>
      </c>
      <c r="M36" s="65">
        <v>2015</v>
      </c>
      <c r="N36" s="65">
        <v>2016</v>
      </c>
      <c r="O36" s="65">
        <v>2017</v>
      </c>
      <c r="P36" s="65">
        <v>2018</v>
      </c>
      <c r="Q36" s="65">
        <v>2019</v>
      </c>
      <c r="R36" s="49">
        <v>2020</v>
      </c>
    </row>
    <row r="37" spans="1:18" s="63" customFormat="1" ht="15.6" x14ac:dyDescent="0.3">
      <c r="A37" s="76" t="s">
        <v>24</v>
      </c>
      <c r="B37" s="108" t="s">
        <v>152</v>
      </c>
      <c r="C37" s="107" t="s">
        <v>152</v>
      </c>
      <c r="D37" s="107" t="s">
        <v>152</v>
      </c>
      <c r="E37" s="107" t="s">
        <v>152</v>
      </c>
      <c r="F37" s="107" t="s">
        <v>152</v>
      </c>
      <c r="G37" s="107" t="s">
        <v>152</v>
      </c>
      <c r="H37" s="271">
        <v>0</v>
      </c>
      <c r="I37" s="271">
        <v>0</v>
      </c>
      <c r="J37" s="271">
        <v>0</v>
      </c>
      <c r="K37" s="271">
        <v>-3272</v>
      </c>
      <c r="L37" s="271">
        <v>0</v>
      </c>
      <c r="M37" s="271">
        <v>0</v>
      </c>
      <c r="N37" s="271">
        <v>-709</v>
      </c>
      <c r="O37" s="271">
        <v>0</v>
      </c>
      <c r="P37" s="271">
        <v>0</v>
      </c>
      <c r="Q37" s="271">
        <v>0</v>
      </c>
      <c r="R37" s="286">
        <v>0</v>
      </c>
    </row>
    <row r="38" spans="1:18" s="63" customFormat="1" ht="15.6" x14ac:dyDescent="0.3">
      <c r="A38" s="75" t="s">
        <v>25</v>
      </c>
      <c r="B38" s="170" t="s">
        <v>152</v>
      </c>
      <c r="C38" s="67" t="s">
        <v>152</v>
      </c>
      <c r="D38" s="67" t="s">
        <v>152</v>
      </c>
      <c r="E38" s="67" t="s">
        <v>152</v>
      </c>
      <c r="F38" s="67" t="s">
        <v>152</v>
      </c>
      <c r="G38" s="67" t="s">
        <v>152</v>
      </c>
      <c r="H38" s="66">
        <v>-22288</v>
      </c>
      <c r="I38" s="66">
        <v>-46561</v>
      </c>
      <c r="J38" s="66">
        <v>-1</v>
      </c>
      <c r="K38" s="66">
        <v>-633</v>
      </c>
      <c r="L38" s="66">
        <v>-498</v>
      </c>
      <c r="M38" s="66">
        <v>0</v>
      </c>
      <c r="N38" s="66">
        <v>-21619</v>
      </c>
      <c r="O38" s="66">
        <v>0</v>
      </c>
      <c r="P38" s="66">
        <v>0</v>
      </c>
      <c r="Q38" s="66">
        <v>0</v>
      </c>
      <c r="R38" s="287">
        <v>0</v>
      </c>
    </row>
    <row r="39" spans="1:18" s="63" customFormat="1" ht="15.6" x14ac:dyDescent="0.3">
      <c r="A39" s="75" t="s">
        <v>26</v>
      </c>
      <c r="B39" s="170" t="s">
        <v>152</v>
      </c>
      <c r="C39" s="67" t="s">
        <v>152</v>
      </c>
      <c r="D39" s="67" t="s">
        <v>152</v>
      </c>
      <c r="E39" s="67" t="s">
        <v>152</v>
      </c>
      <c r="F39" s="67" t="s">
        <v>152</v>
      </c>
      <c r="G39" s="67" t="s">
        <v>152</v>
      </c>
      <c r="H39" s="66">
        <v>-68</v>
      </c>
      <c r="I39" s="66">
        <v>0</v>
      </c>
      <c r="J39" s="66">
        <v>-738</v>
      </c>
      <c r="K39" s="66">
        <v>-62517</v>
      </c>
      <c r="L39" s="66">
        <v>-301</v>
      </c>
      <c r="M39" s="66">
        <v>-377</v>
      </c>
      <c r="N39" s="66">
        <v>-81</v>
      </c>
      <c r="O39" s="66">
        <v>-288</v>
      </c>
      <c r="P39" s="66">
        <v>-111</v>
      </c>
      <c r="Q39" s="66">
        <v>0</v>
      </c>
      <c r="R39" s="287">
        <v>0</v>
      </c>
    </row>
    <row r="40" spans="1:18" s="63" customFormat="1" ht="15.6" x14ac:dyDescent="0.3">
      <c r="A40" s="75" t="s">
        <v>27</v>
      </c>
      <c r="B40" s="170" t="s">
        <v>152</v>
      </c>
      <c r="C40" s="67" t="s">
        <v>152</v>
      </c>
      <c r="D40" s="67" t="s">
        <v>152</v>
      </c>
      <c r="E40" s="67" t="s">
        <v>152</v>
      </c>
      <c r="F40" s="67" t="s">
        <v>152</v>
      </c>
      <c r="G40" s="283">
        <v>0</v>
      </c>
      <c r="H40" s="66">
        <v>0</v>
      </c>
      <c r="I40" s="66">
        <v>0</v>
      </c>
      <c r="J40" s="66">
        <v>0</v>
      </c>
      <c r="K40" s="66">
        <v>0</v>
      </c>
      <c r="L40" s="66">
        <v>-20047</v>
      </c>
      <c r="M40" s="66">
        <v>-1912</v>
      </c>
      <c r="N40" s="66">
        <v>-1906</v>
      </c>
      <c r="O40" s="66">
        <v>-277</v>
      </c>
      <c r="P40" s="66">
        <v>0</v>
      </c>
      <c r="Q40" s="66">
        <v>-1</v>
      </c>
      <c r="R40" s="287">
        <v>0</v>
      </c>
    </row>
    <row r="41" spans="1:18" s="63" customFormat="1" ht="15.6" x14ac:dyDescent="0.3">
      <c r="A41" s="75" t="s">
        <v>28</v>
      </c>
      <c r="B41" s="170" t="s">
        <v>152</v>
      </c>
      <c r="C41" s="67" t="s">
        <v>152</v>
      </c>
      <c r="D41" s="67" t="s">
        <v>152</v>
      </c>
      <c r="E41" s="67" t="s">
        <v>152</v>
      </c>
      <c r="F41" s="67" t="s">
        <v>152</v>
      </c>
      <c r="G41" s="67">
        <v>0</v>
      </c>
      <c r="H41" s="66">
        <v>0</v>
      </c>
      <c r="I41" s="66">
        <v>0</v>
      </c>
      <c r="J41" s="66">
        <v>0</v>
      </c>
      <c r="K41" s="66">
        <v>0</v>
      </c>
      <c r="L41" s="66">
        <v>0</v>
      </c>
      <c r="M41" s="66">
        <v>0</v>
      </c>
      <c r="N41" s="66">
        <v>-3949</v>
      </c>
      <c r="O41" s="66">
        <v>-8783</v>
      </c>
      <c r="P41" s="66">
        <v>0</v>
      </c>
      <c r="Q41" s="66">
        <v>0</v>
      </c>
      <c r="R41" s="287">
        <v>0</v>
      </c>
    </row>
    <row r="42" spans="1:18" s="63" customFormat="1" ht="15.6" x14ac:dyDescent="0.3">
      <c r="A42" s="75" t="s">
        <v>29</v>
      </c>
      <c r="B42" s="170" t="s">
        <v>152</v>
      </c>
      <c r="C42" s="67" t="s">
        <v>152</v>
      </c>
      <c r="D42" s="67" t="s">
        <v>152</v>
      </c>
      <c r="E42" s="67" t="s">
        <v>152</v>
      </c>
      <c r="F42" s="67" t="s">
        <v>152</v>
      </c>
      <c r="G42" s="67">
        <v>0</v>
      </c>
      <c r="H42" s="66">
        <v>0</v>
      </c>
      <c r="I42" s="66">
        <v>0</v>
      </c>
      <c r="J42" s="66">
        <v>-2593</v>
      </c>
      <c r="K42" s="66">
        <v>0</v>
      </c>
      <c r="L42" s="66">
        <v>-226</v>
      </c>
      <c r="M42" s="66">
        <v>0</v>
      </c>
      <c r="N42" s="66">
        <v>0</v>
      </c>
      <c r="O42" s="66">
        <v>-841</v>
      </c>
      <c r="P42" s="66">
        <v>-96</v>
      </c>
      <c r="Q42" s="66">
        <v>0</v>
      </c>
      <c r="R42" s="287">
        <v>0</v>
      </c>
    </row>
    <row r="43" spans="1:18" s="63" customFormat="1" ht="15.6" x14ac:dyDescent="0.3">
      <c r="A43" s="75" t="s">
        <v>30</v>
      </c>
      <c r="B43" s="170" t="s">
        <v>152</v>
      </c>
      <c r="C43" s="67" t="s">
        <v>152</v>
      </c>
      <c r="D43" s="67" t="s">
        <v>152</v>
      </c>
      <c r="E43" s="67" t="s">
        <v>152</v>
      </c>
      <c r="F43" s="67" t="s">
        <v>152</v>
      </c>
      <c r="G43" s="67">
        <v>0</v>
      </c>
      <c r="H43" s="66">
        <v>0</v>
      </c>
      <c r="I43" s="66">
        <v>-21</v>
      </c>
      <c r="J43" s="66">
        <v>-3385</v>
      </c>
      <c r="K43" s="66">
        <v>-2744</v>
      </c>
      <c r="L43" s="66">
        <v>-1146</v>
      </c>
      <c r="M43" s="66">
        <v>0</v>
      </c>
      <c r="N43" s="66">
        <v>0</v>
      </c>
      <c r="O43" s="66">
        <v>0</v>
      </c>
      <c r="P43" s="66">
        <v>0</v>
      </c>
      <c r="Q43" s="66">
        <v>0</v>
      </c>
      <c r="R43" s="295" t="s">
        <v>152</v>
      </c>
    </row>
    <row r="44" spans="1:18" s="63" customFormat="1" ht="15.6" x14ac:dyDescent="0.3">
      <c r="A44" s="75" t="s">
        <v>31</v>
      </c>
      <c r="B44" s="170" t="s">
        <v>152</v>
      </c>
      <c r="C44" s="67" t="s">
        <v>152</v>
      </c>
      <c r="D44" s="67" t="s">
        <v>152</v>
      </c>
      <c r="E44" s="67" t="s">
        <v>152</v>
      </c>
      <c r="F44" s="67" t="s">
        <v>152</v>
      </c>
      <c r="G44" s="67">
        <v>-15</v>
      </c>
      <c r="H44" s="66">
        <v>0</v>
      </c>
      <c r="I44" s="66">
        <v>-14704</v>
      </c>
      <c r="J44" s="66">
        <v>-821</v>
      </c>
      <c r="K44" s="66">
        <v>0</v>
      </c>
      <c r="L44" s="66">
        <v>0</v>
      </c>
      <c r="M44" s="66">
        <v>-11481</v>
      </c>
      <c r="N44" s="66">
        <v>-6407</v>
      </c>
      <c r="O44" s="66">
        <v>-18</v>
      </c>
      <c r="P44" s="66">
        <v>0</v>
      </c>
      <c r="Q44" s="66">
        <v>0</v>
      </c>
      <c r="R44" s="295" t="s">
        <v>152</v>
      </c>
    </row>
    <row r="45" spans="1:18" s="63" customFormat="1" ht="15.6" x14ac:dyDescent="0.3">
      <c r="A45" s="75" t="s">
        <v>32</v>
      </c>
      <c r="B45" s="170" t="s">
        <v>152</v>
      </c>
      <c r="C45" s="67" t="s">
        <v>152</v>
      </c>
      <c r="D45" s="67" t="s">
        <v>152</v>
      </c>
      <c r="E45" s="67" t="s">
        <v>152</v>
      </c>
      <c r="F45" s="67" t="s">
        <v>152</v>
      </c>
      <c r="G45" s="67">
        <v>0</v>
      </c>
      <c r="H45" s="66">
        <v>-2</v>
      </c>
      <c r="I45" s="66">
        <v>0</v>
      </c>
      <c r="J45" s="66">
        <v>-47066</v>
      </c>
      <c r="K45" s="66">
        <v>-124</v>
      </c>
      <c r="L45" s="66">
        <v>-15</v>
      </c>
      <c r="M45" s="66">
        <v>-1200</v>
      </c>
      <c r="N45" s="66">
        <v>-20241</v>
      </c>
      <c r="O45" s="66">
        <v>0</v>
      </c>
      <c r="P45" s="66">
        <v>0</v>
      </c>
      <c r="Q45" s="66">
        <v>0</v>
      </c>
      <c r="R45" s="295" t="s">
        <v>152</v>
      </c>
    </row>
    <row r="46" spans="1:18" s="63" customFormat="1" ht="15.6" x14ac:dyDescent="0.3">
      <c r="A46" s="75" t="s">
        <v>33</v>
      </c>
      <c r="B46" s="170" t="s">
        <v>152</v>
      </c>
      <c r="C46" s="67" t="s">
        <v>152</v>
      </c>
      <c r="D46" s="67" t="s">
        <v>152</v>
      </c>
      <c r="E46" s="67" t="s">
        <v>152</v>
      </c>
      <c r="F46" s="67" t="s">
        <v>152</v>
      </c>
      <c r="G46" s="67">
        <v>-6</v>
      </c>
      <c r="H46" s="66">
        <v>0</v>
      </c>
      <c r="I46" s="66">
        <v>0</v>
      </c>
      <c r="J46" s="66">
        <v>-807</v>
      </c>
      <c r="K46" s="66">
        <v>-871</v>
      </c>
      <c r="L46" s="66">
        <v>0</v>
      </c>
      <c r="M46" s="66">
        <v>-36456</v>
      </c>
      <c r="N46" s="66">
        <v>0</v>
      </c>
      <c r="O46" s="66">
        <v>0</v>
      </c>
      <c r="P46" s="66">
        <v>0</v>
      </c>
      <c r="Q46" s="66">
        <v>0</v>
      </c>
      <c r="R46" s="295" t="s">
        <v>152</v>
      </c>
    </row>
    <row r="47" spans="1:18" s="63" customFormat="1" ht="15.6" x14ac:dyDescent="0.3">
      <c r="A47" s="75" t="s">
        <v>34</v>
      </c>
      <c r="B47" s="170" t="s">
        <v>152</v>
      </c>
      <c r="C47" s="67" t="s">
        <v>152</v>
      </c>
      <c r="D47" s="67" t="s">
        <v>152</v>
      </c>
      <c r="E47" s="67" t="s">
        <v>152</v>
      </c>
      <c r="F47" s="67" t="s">
        <v>152</v>
      </c>
      <c r="G47" s="67">
        <v>0</v>
      </c>
      <c r="H47" s="66">
        <v>-1978</v>
      </c>
      <c r="I47" s="66">
        <v>-7</v>
      </c>
      <c r="J47" s="66">
        <v>0</v>
      </c>
      <c r="K47" s="66">
        <v>-49192</v>
      </c>
      <c r="L47" s="66">
        <v>-19996</v>
      </c>
      <c r="M47" s="66">
        <v>0</v>
      </c>
      <c r="N47" s="66">
        <v>0</v>
      </c>
      <c r="O47" s="66">
        <v>0</v>
      </c>
      <c r="P47" s="66">
        <v>0</v>
      </c>
      <c r="Q47" s="66">
        <v>0</v>
      </c>
      <c r="R47" s="295" t="s">
        <v>152</v>
      </c>
    </row>
    <row r="48" spans="1:18" s="63" customFormat="1" ht="16.2" thickBot="1" x14ac:dyDescent="0.35">
      <c r="A48" s="88" t="s">
        <v>36</v>
      </c>
      <c r="B48" s="87" t="s">
        <v>152</v>
      </c>
      <c r="C48" s="72" t="s">
        <v>152</v>
      </c>
      <c r="D48" s="72" t="s">
        <v>152</v>
      </c>
      <c r="E48" s="72" t="s">
        <v>152</v>
      </c>
      <c r="F48" s="72" t="s">
        <v>152</v>
      </c>
      <c r="G48" s="72">
        <v>0</v>
      </c>
      <c r="H48" s="71">
        <v>0</v>
      </c>
      <c r="I48" s="71">
        <v>-9309</v>
      </c>
      <c r="J48" s="71">
        <v>0</v>
      </c>
      <c r="K48" s="71">
        <v>-5291</v>
      </c>
      <c r="L48" s="71">
        <v>-31519</v>
      </c>
      <c r="M48" s="71">
        <v>-6</v>
      </c>
      <c r="N48" s="71">
        <v>0</v>
      </c>
      <c r="O48" s="71">
        <v>-9163</v>
      </c>
      <c r="P48" s="71">
        <v>0</v>
      </c>
      <c r="Q48" s="71">
        <v>0</v>
      </c>
      <c r="R48" s="292" t="s">
        <v>152</v>
      </c>
    </row>
    <row r="49" spans="1:18" s="63" customFormat="1" ht="16.2" thickTop="1" x14ac:dyDescent="0.3">
      <c r="A49" s="89" t="s">
        <v>37</v>
      </c>
      <c r="B49" s="90" t="s">
        <v>152</v>
      </c>
      <c r="C49" s="73" t="s">
        <v>152</v>
      </c>
      <c r="D49" s="73" t="s">
        <v>152</v>
      </c>
      <c r="E49" s="73" t="s">
        <v>152</v>
      </c>
      <c r="F49" s="73" t="s">
        <v>152</v>
      </c>
      <c r="G49" s="273">
        <f t="shared" ref="G49:P49" si="6">SUM(G37:G48)</f>
        <v>-21</v>
      </c>
      <c r="H49" s="273">
        <f t="shared" si="6"/>
        <v>-24336</v>
      </c>
      <c r="I49" s="273">
        <f t="shared" si="6"/>
        <v>-70602</v>
      </c>
      <c r="J49" s="273">
        <f t="shared" si="6"/>
        <v>-55411</v>
      </c>
      <c r="K49" s="273">
        <f t="shared" si="6"/>
        <v>-124644</v>
      </c>
      <c r="L49" s="273">
        <f t="shared" si="6"/>
        <v>-73748</v>
      </c>
      <c r="M49" s="273">
        <f t="shared" si="6"/>
        <v>-51432</v>
      </c>
      <c r="N49" s="273">
        <f t="shared" si="6"/>
        <v>-54912</v>
      </c>
      <c r="O49" s="273">
        <f t="shared" si="6"/>
        <v>-19370</v>
      </c>
      <c r="P49" s="273">
        <f t="shared" si="6"/>
        <v>-207</v>
      </c>
      <c r="Q49" s="273">
        <f t="shared" ref="Q49" si="7">SUM(Q37:Q48)</f>
        <v>-1</v>
      </c>
      <c r="R49" s="288">
        <f t="shared" ref="R49" si="8">SUM(R37:R48)</f>
        <v>0</v>
      </c>
    </row>
    <row r="50" spans="1:18" s="113" customFormat="1" ht="6.6" x14ac:dyDescent="0.3">
      <c r="A50" s="371" t="s">
        <v>174</v>
      </c>
      <c r="B50" s="371"/>
      <c r="C50" s="371"/>
      <c r="D50" s="371"/>
      <c r="E50" s="371"/>
      <c r="F50" s="371"/>
      <c r="G50" s="371"/>
      <c r="H50" s="371"/>
      <c r="I50" s="371"/>
      <c r="J50" s="371"/>
      <c r="K50" s="371"/>
      <c r="L50" s="371"/>
      <c r="M50" s="371"/>
      <c r="N50" s="371"/>
      <c r="O50" s="371"/>
      <c r="P50" s="371"/>
      <c r="Q50" s="371"/>
      <c r="R50" s="371"/>
    </row>
    <row r="51" spans="1:18" s="111" customFormat="1" ht="13.8" x14ac:dyDescent="0.3">
      <c r="A51" s="373" t="s">
        <v>158</v>
      </c>
      <c r="B51" s="373"/>
      <c r="C51" s="373"/>
      <c r="D51" s="373"/>
      <c r="E51" s="373"/>
      <c r="F51" s="373"/>
      <c r="G51" s="373"/>
      <c r="H51" s="373"/>
      <c r="I51" s="373"/>
      <c r="J51" s="373"/>
      <c r="K51" s="373"/>
      <c r="L51" s="373"/>
      <c r="M51" s="373"/>
      <c r="N51" s="373"/>
      <c r="O51" s="373"/>
      <c r="P51" s="373"/>
      <c r="Q51" s="373"/>
      <c r="R51" s="373"/>
    </row>
    <row r="52" spans="1:18" s="111" customFormat="1" ht="13.8" x14ac:dyDescent="0.3">
      <c r="A52" s="384" t="str">
        <f>'Local SUT'!A60</f>
        <v>Source:  Minnesota Department of Revenue, Tax Research Division, February 2021</v>
      </c>
      <c r="B52" s="384"/>
      <c r="C52" s="384"/>
      <c r="D52" s="384"/>
      <c r="E52" s="384"/>
      <c r="F52" s="384"/>
      <c r="G52" s="384"/>
      <c r="H52" s="384"/>
      <c r="I52" s="384"/>
      <c r="J52" s="384"/>
      <c r="K52" s="384"/>
      <c r="L52" s="384"/>
      <c r="M52" s="384"/>
      <c r="N52" s="384"/>
      <c r="O52" s="384"/>
      <c r="P52" s="384"/>
      <c r="Q52" s="384"/>
      <c r="R52" s="384"/>
    </row>
    <row r="53" spans="1:18" s="111" customFormat="1" ht="13.8" x14ac:dyDescent="0.3">
      <c r="A53" s="379" t="s">
        <v>151</v>
      </c>
      <c r="B53" s="379"/>
      <c r="C53" s="379"/>
      <c r="D53" s="379"/>
      <c r="E53" s="379"/>
      <c r="F53" s="379"/>
      <c r="G53" s="379"/>
      <c r="H53" s="379"/>
      <c r="I53" s="379"/>
      <c r="J53" s="379"/>
      <c r="K53" s="379"/>
      <c r="L53" s="379"/>
      <c r="M53" s="379"/>
      <c r="N53" s="379"/>
      <c r="O53" s="379"/>
      <c r="P53" s="379"/>
      <c r="Q53" s="379"/>
      <c r="R53" s="379"/>
    </row>
    <row r="54" spans="1:18" x14ac:dyDescent="0.3">
      <c r="R54" s="117"/>
    </row>
  </sheetData>
  <mergeCells count="11">
    <mergeCell ref="A1:R1"/>
    <mergeCell ref="A2:R2"/>
    <mergeCell ref="A3:R3"/>
    <mergeCell ref="A35:R35"/>
    <mergeCell ref="A18:R18"/>
    <mergeCell ref="A34:R34"/>
    <mergeCell ref="A50:R50"/>
    <mergeCell ref="A51:R51"/>
    <mergeCell ref="A52:R52"/>
    <mergeCell ref="A53:R53"/>
    <mergeCell ref="A19:R19"/>
  </mergeCells>
  <pageMargins left="0.5" right="0" top="0.75" bottom="0.75" header="0.3" footer="0.3"/>
  <pageSetup scale="86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C45F7-3339-4B02-8132-66E0EDFF9313}">
  <sheetPr codeName="Sheet39">
    <pageSetUpPr fitToPage="1"/>
  </sheetPr>
  <dimension ref="A1:U54"/>
  <sheetViews>
    <sheetView showGridLines="0" zoomScaleNormal="100" workbookViewId="0">
      <pane ySplit="1" topLeftCell="A2" activePane="bottomLeft" state="frozen"/>
      <selection pane="bottomLeft" sqref="A1:T1"/>
    </sheetView>
  </sheetViews>
  <sheetFormatPr defaultColWidth="12.5546875" defaultRowHeight="14.4" x14ac:dyDescent="0.3"/>
  <cols>
    <col min="1" max="1" width="12.5546875" style="180" customWidth="1"/>
    <col min="2" max="16" width="13.5546875" style="173" hidden="1" customWidth="1"/>
    <col min="17" max="17" width="13.5546875" style="173" customWidth="1"/>
    <col min="18" max="18" width="13.5546875" style="145" customWidth="1"/>
    <col min="19" max="16384" width="12.5546875" style="173"/>
  </cols>
  <sheetData>
    <row r="1" spans="1:21" s="112" customFormat="1" ht="21" x14ac:dyDescent="0.3">
      <c r="A1" s="380" t="s">
        <v>241</v>
      </c>
      <c r="B1" s="380"/>
      <c r="C1" s="380"/>
      <c r="D1" s="380"/>
      <c r="E1" s="380"/>
      <c r="F1" s="380"/>
      <c r="G1" s="380"/>
      <c r="H1" s="380"/>
      <c r="I1" s="380"/>
      <c r="J1" s="380"/>
      <c r="K1" s="380"/>
      <c r="L1" s="380"/>
      <c r="M1" s="380"/>
      <c r="N1" s="380"/>
      <c r="O1" s="380"/>
      <c r="P1" s="380"/>
      <c r="Q1" s="380"/>
      <c r="R1" s="380"/>
      <c r="S1" s="380"/>
      <c r="T1" s="380"/>
      <c r="U1" s="338"/>
    </row>
    <row r="2" spans="1:21" s="106" customFormat="1" ht="18" x14ac:dyDescent="0.3">
      <c r="A2" s="381" t="str">
        <f>'Local SUT'!A2</f>
        <v>CY 2004-2020</v>
      </c>
      <c r="B2" s="381"/>
      <c r="C2" s="381"/>
      <c r="D2" s="381"/>
      <c r="E2" s="381"/>
      <c r="F2" s="381"/>
      <c r="G2" s="381"/>
      <c r="H2" s="381"/>
      <c r="I2" s="381"/>
      <c r="J2" s="381"/>
      <c r="K2" s="381"/>
      <c r="L2" s="381"/>
      <c r="M2" s="381"/>
      <c r="N2" s="381"/>
      <c r="O2" s="381"/>
      <c r="P2" s="381"/>
      <c r="Q2" s="381"/>
      <c r="R2" s="381"/>
    </row>
    <row r="3" spans="1:21" s="106" customFormat="1" ht="18" x14ac:dyDescent="0.3">
      <c r="A3" s="370" t="s">
        <v>239</v>
      </c>
      <c r="B3" s="370"/>
      <c r="C3" s="370"/>
      <c r="D3" s="370"/>
      <c r="E3" s="370"/>
      <c r="F3" s="370"/>
      <c r="G3" s="370"/>
      <c r="H3" s="370"/>
      <c r="I3" s="370"/>
      <c r="J3" s="370"/>
      <c r="K3" s="370"/>
      <c r="L3" s="370"/>
      <c r="M3" s="370"/>
      <c r="N3" s="370"/>
      <c r="O3" s="370"/>
      <c r="P3" s="370"/>
      <c r="Q3" s="370"/>
      <c r="R3" s="370"/>
    </row>
    <row r="4" spans="1:21" s="63" customFormat="1" ht="15.6" x14ac:dyDescent="0.3">
      <c r="A4" s="77" t="s">
        <v>23</v>
      </c>
      <c r="B4" s="91">
        <v>2004</v>
      </c>
      <c r="C4" s="64">
        <v>2005</v>
      </c>
      <c r="D4" s="64">
        <v>2006</v>
      </c>
      <c r="E4" s="64">
        <v>2007</v>
      </c>
      <c r="F4" s="64">
        <v>2008</v>
      </c>
      <c r="G4" s="64">
        <v>2009</v>
      </c>
      <c r="H4" s="64">
        <v>2010</v>
      </c>
      <c r="I4" s="64">
        <v>2011</v>
      </c>
      <c r="J4" s="65">
        <v>2012</v>
      </c>
      <c r="K4" s="65">
        <v>2013</v>
      </c>
      <c r="L4" s="65">
        <v>2014</v>
      </c>
      <c r="M4" s="65">
        <v>2015</v>
      </c>
      <c r="N4" s="65">
        <v>2016</v>
      </c>
      <c r="O4" s="65">
        <v>2017</v>
      </c>
      <c r="P4" s="65">
        <v>2018</v>
      </c>
      <c r="Q4" s="336">
        <v>2019</v>
      </c>
      <c r="R4" s="337">
        <v>2020</v>
      </c>
    </row>
    <row r="5" spans="1:21" s="63" customFormat="1" ht="15.6" x14ac:dyDescent="0.3">
      <c r="A5" s="76" t="s">
        <v>24</v>
      </c>
      <c r="B5" s="108" t="s">
        <v>152</v>
      </c>
      <c r="C5" s="107" t="s">
        <v>152</v>
      </c>
      <c r="D5" s="107" t="s">
        <v>152</v>
      </c>
      <c r="E5" s="107" t="s">
        <v>152</v>
      </c>
      <c r="F5" s="107" t="s">
        <v>152</v>
      </c>
      <c r="G5" s="107" t="s">
        <v>152</v>
      </c>
      <c r="H5" s="107" t="s">
        <v>152</v>
      </c>
      <c r="I5" s="107" t="s">
        <v>152</v>
      </c>
      <c r="J5" s="107" t="s">
        <v>152</v>
      </c>
      <c r="K5" s="107" t="s">
        <v>152</v>
      </c>
      <c r="L5" s="107" t="s">
        <v>152</v>
      </c>
      <c r="M5" s="107" t="s">
        <v>152</v>
      </c>
      <c r="N5" s="107" t="s">
        <v>152</v>
      </c>
      <c r="O5" s="107" t="s">
        <v>152</v>
      </c>
      <c r="P5" s="107" t="s">
        <v>152</v>
      </c>
      <c r="Q5" s="107" t="s">
        <v>152</v>
      </c>
      <c r="R5" s="286">
        <v>14813</v>
      </c>
    </row>
    <row r="6" spans="1:21" s="63" customFormat="1" ht="15.6" x14ac:dyDescent="0.3">
      <c r="A6" s="75" t="s">
        <v>25</v>
      </c>
      <c r="B6" s="170" t="s">
        <v>152</v>
      </c>
      <c r="C6" s="67" t="s">
        <v>152</v>
      </c>
      <c r="D6" s="67" t="s">
        <v>152</v>
      </c>
      <c r="E6" s="67" t="s">
        <v>152</v>
      </c>
      <c r="F6" s="67" t="s">
        <v>152</v>
      </c>
      <c r="G6" s="107" t="s">
        <v>152</v>
      </c>
      <c r="H6" s="107" t="s">
        <v>152</v>
      </c>
      <c r="I6" s="107" t="s">
        <v>152</v>
      </c>
      <c r="J6" s="107" t="s">
        <v>152</v>
      </c>
      <c r="K6" s="107" t="s">
        <v>152</v>
      </c>
      <c r="L6" s="107" t="s">
        <v>152</v>
      </c>
      <c r="M6" s="107" t="s">
        <v>152</v>
      </c>
      <c r="N6" s="107" t="s">
        <v>152</v>
      </c>
      <c r="O6" s="107" t="s">
        <v>152</v>
      </c>
      <c r="P6" s="107" t="s">
        <v>152</v>
      </c>
      <c r="Q6" s="107" t="s">
        <v>152</v>
      </c>
      <c r="R6" s="287">
        <v>13698</v>
      </c>
    </row>
    <row r="7" spans="1:21" s="63" customFormat="1" ht="15.6" x14ac:dyDescent="0.3">
      <c r="A7" s="75" t="s">
        <v>26</v>
      </c>
      <c r="B7" s="170" t="s">
        <v>152</v>
      </c>
      <c r="C7" s="67" t="s">
        <v>152</v>
      </c>
      <c r="D7" s="67" t="s">
        <v>152</v>
      </c>
      <c r="E7" s="67" t="s">
        <v>152</v>
      </c>
      <c r="F7" s="67" t="s">
        <v>152</v>
      </c>
      <c r="G7" s="107" t="s">
        <v>152</v>
      </c>
      <c r="H7" s="107" t="s">
        <v>152</v>
      </c>
      <c r="I7" s="107" t="s">
        <v>152</v>
      </c>
      <c r="J7" s="107" t="s">
        <v>152</v>
      </c>
      <c r="K7" s="107" t="s">
        <v>152</v>
      </c>
      <c r="L7" s="107" t="s">
        <v>152</v>
      </c>
      <c r="M7" s="107" t="s">
        <v>152</v>
      </c>
      <c r="N7" s="107" t="s">
        <v>152</v>
      </c>
      <c r="O7" s="107" t="s">
        <v>152</v>
      </c>
      <c r="P7" s="107" t="s">
        <v>152</v>
      </c>
      <c r="Q7" s="107" t="s">
        <v>152</v>
      </c>
      <c r="R7" s="287">
        <v>14132</v>
      </c>
    </row>
    <row r="8" spans="1:21" s="63" customFormat="1" ht="15.6" x14ac:dyDescent="0.3">
      <c r="A8" s="75" t="s">
        <v>27</v>
      </c>
      <c r="B8" s="170" t="s">
        <v>152</v>
      </c>
      <c r="C8" s="67" t="s">
        <v>152</v>
      </c>
      <c r="D8" s="67" t="s">
        <v>152</v>
      </c>
      <c r="E8" s="67" t="s">
        <v>152</v>
      </c>
      <c r="F8" s="67" t="s">
        <v>152</v>
      </c>
      <c r="G8" s="107" t="s">
        <v>152</v>
      </c>
      <c r="H8" s="107" t="s">
        <v>152</v>
      </c>
      <c r="I8" s="107" t="s">
        <v>152</v>
      </c>
      <c r="J8" s="107" t="s">
        <v>152</v>
      </c>
      <c r="K8" s="107" t="s">
        <v>152</v>
      </c>
      <c r="L8" s="107" t="s">
        <v>152</v>
      </c>
      <c r="M8" s="107" t="s">
        <v>152</v>
      </c>
      <c r="N8" s="107" t="s">
        <v>152</v>
      </c>
      <c r="O8" s="107" t="s">
        <v>152</v>
      </c>
      <c r="P8" s="107" t="s">
        <v>152</v>
      </c>
      <c r="Q8" s="107" t="s">
        <v>152</v>
      </c>
      <c r="R8" s="287">
        <v>17365</v>
      </c>
    </row>
    <row r="9" spans="1:21" s="63" customFormat="1" ht="15.6" x14ac:dyDescent="0.3">
      <c r="A9" s="75" t="s">
        <v>28</v>
      </c>
      <c r="B9" s="170" t="s">
        <v>152</v>
      </c>
      <c r="C9" s="67" t="s">
        <v>152</v>
      </c>
      <c r="D9" s="67" t="s">
        <v>152</v>
      </c>
      <c r="E9" s="67" t="s">
        <v>152</v>
      </c>
      <c r="F9" s="67" t="s">
        <v>152</v>
      </c>
      <c r="G9" s="107" t="s">
        <v>152</v>
      </c>
      <c r="H9" s="107" t="s">
        <v>152</v>
      </c>
      <c r="I9" s="107" t="s">
        <v>152</v>
      </c>
      <c r="J9" s="107" t="s">
        <v>152</v>
      </c>
      <c r="K9" s="107" t="s">
        <v>152</v>
      </c>
      <c r="L9" s="107" t="s">
        <v>152</v>
      </c>
      <c r="M9" s="107" t="s">
        <v>152</v>
      </c>
      <c r="N9" s="107" t="s">
        <v>152</v>
      </c>
      <c r="O9" s="107" t="s">
        <v>152</v>
      </c>
      <c r="P9" s="107" t="s">
        <v>152</v>
      </c>
      <c r="Q9" s="107" t="s">
        <v>152</v>
      </c>
      <c r="R9" s="287">
        <v>17850</v>
      </c>
    </row>
    <row r="10" spans="1:21" s="63" customFormat="1" ht="15.6" x14ac:dyDescent="0.3">
      <c r="A10" s="75" t="s">
        <v>29</v>
      </c>
      <c r="B10" s="170" t="s">
        <v>152</v>
      </c>
      <c r="C10" s="67" t="s">
        <v>152</v>
      </c>
      <c r="D10" s="67" t="s">
        <v>152</v>
      </c>
      <c r="E10" s="67" t="s">
        <v>152</v>
      </c>
      <c r="F10" s="67" t="s">
        <v>152</v>
      </c>
      <c r="G10" s="107" t="s">
        <v>152</v>
      </c>
      <c r="H10" s="107" t="s">
        <v>152</v>
      </c>
      <c r="I10" s="107" t="s">
        <v>152</v>
      </c>
      <c r="J10" s="107" t="s">
        <v>152</v>
      </c>
      <c r="K10" s="107" t="s">
        <v>152</v>
      </c>
      <c r="L10" s="107" t="s">
        <v>152</v>
      </c>
      <c r="M10" s="107" t="s">
        <v>152</v>
      </c>
      <c r="N10" s="107" t="s">
        <v>152</v>
      </c>
      <c r="O10" s="107" t="s">
        <v>152</v>
      </c>
      <c r="P10" s="107" t="s">
        <v>152</v>
      </c>
      <c r="Q10" s="107" t="s">
        <v>152</v>
      </c>
      <c r="R10" s="287">
        <v>18854</v>
      </c>
    </row>
    <row r="11" spans="1:21" s="63" customFormat="1" ht="15.6" x14ac:dyDescent="0.3">
      <c r="A11" s="75" t="s">
        <v>30</v>
      </c>
      <c r="B11" s="170" t="s">
        <v>152</v>
      </c>
      <c r="C11" s="67" t="s">
        <v>152</v>
      </c>
      <c r="D11" s="67" t="s">
        <v>152</v>
      </c>
      <c r="E11" s="67" t="s">
        <v>152</v>
      </c>
      <c r="F11" s="67" t="s">
        <v>152</v>
      </c>
      <c r="G11" s="107" t="s">
        <v>152</v>
      </c>
      <c r="H11" s="107" t="s">
        <v>152</v>
      </c>
      <c r="I11" s="107" t="s">
        <v>152</v>
      </c>
      <c r="J11" s="107" t="s">
        <v>152</v>
      </c>
      <c r="K11" s="107" t="s">
        <v>152</v>
      </c>
      <c r="L11" s="107" t="s">
        <v>152</v>
      </c>
      <c r="M11" s="107" t="s">
        <v>152</v>
      </c>
      <c r="N11" s="107" t="s">
        <v>152</v>
      </c>
      <c r="O11" s="107" t="s">
        <v>152</v>
      </c>
      <c r="P11" s="107" t="s">
        <v>152</v>
      </c>
      <c r="Q11" s="107" t="s">
        <v>152</v>
      </c>
      <c r="R11" s="291" t="s">
        <v>152</v>
      </c>
    </row>
    <row r="12" spans="1:21" s="63" customFormat="1" ht="15.6" x14ac:dyDescent="0.3">
      <c r="A12" s="75" t="s">
        <v>31</v>
      </c>
      <c r="B12" s="170" t="s">
        <v>152</v>
      </c>
      <c r="C12" s="67" t="s">
        <v>152</v>
      </c>
      <c r="D12" s="67" t="s">
        <v>152</v>
      </c>
      <c r="E12" s="67" t="s">
        <v>152</v>
      </c>
      <c r="F12" s="67" t="s">
        <v>152</v>
      </c>
      <c r="G12" s="107" t="s">
        <v>152</v>
      </c>
      <c r="H12" s="107" t="s">
        <v>152</v>
      </c>
      <c r="I12" s="107" t="s">
        <v>152</v>
      </c>
      <c r="J12" s="107" t="s">
        <v>152</v>
      </c>
      <c r="K12" s="107" t="s">
        <v>152</v>
      </c>
      <c r="L12" s="107" t="s">
        <v>152</v>
      </c>
      <c r="M12" s="107" t="s">
        <v>152</v>
      </c>
      <c r="N12" s="107" t="s">
        <v>152</v>
      </c>
      <c r="O12" s="107" t="s">
        <v>152</v>
      </c>
      <c r="P12" s="107" t="s">
        <v>152</v>
      </c>
      <c r="Q12" s="174" t="s">
        <v>152</v>
      </c>
      <c r="R12" s="295" t="s">
        <v>152</v>
      </c>
    </row>
    <row r="13" spans="1:21" s="63" customFormat="1" ht="15.6" x14ac:dyDescent="0.3">
      <c r="A13" s="75" t="s">
        <v>32</v>
      </c>
      <c r="B13" s="170" t="s">
        <v>152</v>
      </c>
      <c r="C13" s="67" t="s">
        <v>152</v>
      </c>
      <c r="D13" s="67" t="s">
        <v>152</v>
      </c>
      <c r="E13" s="67" t="s">
        <v>152</v>
      </c>
      <c r="F13" s="67" t="s">
        <v>152</v>
      </c>
      <c r="G13" s="107" t="s">
        <v>152</v>
      </c>
      <c r="H13" s="107" t="s">
        <v>152</v>
      </c>
      <c r="I13" s="107" t="s">
        <v>152</v>
      </c>
      <c r="J13" s="107" t="s">
        <v>152</v>
      </c>
      <c r="K13" s="107" t="s">
        <v>152</v>
      </c>
      <c r="L13" s="107" t="s">
        <v>152</v>
      </c>
      <c r="M13" s="107" t="s">
        <v>152</v>
      </c>
      <c r="N13" s="107" t="s">
        <v>152</v>
      </c>
      <c r="O13" s="107" t="s">
        <v>152</v>
      </c>
      <c r="P13" s="107" t="s">
        <v>152</v>
      </c>
      <c r="Q13" s="107" t="s">
        <v>152</v>
      </c>
      <c r="R13" s="295" t="s">
        <v>152</v>
      </c>
    </row>
    <row r="14" spans="1:21" s="63" customFormat="1" ht="15.6" x14ac:dyDescent="0.3">
      <c r="A14" s="75" t="s">
        <v>33</v>
      </c>
      <c r="B14" s="170" t="s">
        <v>152</v>
      </c>
      <c r="C14" s="67" t="s">
        <v>152</v>
      </c>
      <c r="D14" s="67" t="s">
        <v>152</v>
      </c>
      <c r="E14" s="67" t="s">
        <v>152</v>
      </c>
      <c r="F14" s="67" t="s">
        <v>152</v>
      </c>
      <c r="G14" s="107" t="s">
        <v>152</v>
      </c>
      <c r="H14" s="107" t="s">
        <v>152</v>
      </c>
      <c r="I14" s="107" t="s">
        <v>152</v>
      </c>
      <c r="J14" s="107" t="s">
        <v>152</v>
      </c>
      <c r="K14" s="107" t="s">
        <v>152</v>
      </c>
      <c r="L14" s="107" t="s">
        <v>152</v>
      </c>
      <c r="M14" s="107" t="s">
        <v>152</v>
      </c>
      <c r="N14" s="107" t="s">
        <v>152</v>
      </c>
      <c r="O14" s="107" t="s">
        <v>152</v>
      </c>
      <c r="P14" s="107" t="s">
        <v>152</v>
      </c>
      <c r="Q14" s="271">
        <v>2</v>
      </c>
      <c r="R14" s="295" t="s">
        <v>152</v>
      </c>
    </row>
    <row r="15" spans="1:21" s="63" customFormat="1" ht="15.6" x14ac:dyDescent="0.3">
      <c r="A15" s="75" t="s">
        <v>34</v>
      </c>
      <c r="B15" s="170" t="s">
        <v>152</v>
      </c>
      <c r="C15" s="67" t="s">
        <v>152</v>
      </c>
      <c r="D15" s="67" t="s">
        <v>152</v>
      </c>
      <c r="E15" s="67" t="s">
        <v>152</v>
      </c>
      <c r="F15" s="67" t="s">
        <v>152</v>
      </c>
      <c r="G15" s="107" t="s">
        <v>152</v>
      </c>
      <c r="H15" s="107" t="s">
        <v>152</v>
      </c>
      <c r="I15" s="107" t="s">
        <v>152</v>
      </c>
      <c r="J15" s="107" t="s">
        <v>152</v>
      </c>
      <c r="K15" s="107" t="s">
        <v>152</v>
      </c>
      <c r="L15" s="107" t="s">
        <v>152</v>
      </c>
      <c r="M15" s="107" t="s">
        <v>152</v>
      </c>
      <c r="N15" s="107" t="s">
        <v>152</v>
      </c>
      <c r="O15" s="107" t="s">
        <v>152</v>
      </c>
      <c r="P15" s="107" t="s">
        <v>152</v>
      </c>
      <c r="Q15" s="66">
        <v>12057</v>
      </c>
      <c r="R15" s="295" t="s">
        <v>152</v>
      </c>
    </row>
    <row r="16" spans="1:21" s="63" customFormat="1" ht="16.2" thickBot="1" x14ac:dyDescent="0.35">
      <c r="A16" s="88" t="s">
        <v>36</v>
      </c>
      <c r="B16" s="87" t="s">
        <v>152</v>
      </c>
      <c r="C16" s="72" t="s">
        <v>152</v>
      </c>
      <c r="D16" s="72" t="s">
        <v>152</v>
      </c>
      <c r="E16" s="72" t="s">
        <v>152</v>
      </c>
      <c r="F16" s="72" t="s">
        <v>152</v>
      </c>
      <c r="G16" s="192" t="s">
        <v>152</v>
      </c>
      <c r="H16" s="192" t="s">
        <v>152</v>
      </c>
      <c r="I16" s="192" t="s">
        <v>152</v>
      </c>
      <c r="J16" s="192" t="s">
        <v>152</v>
      </c>
      <c r="K16" s="192" t="s">
        <v>152</v>
      </c>
      <c r="L16" s="192" t="s">
        <v>152</v>
      </c>
      <c r="M16" s="192" t="s">
        <v>152</v>
      </c>
      <c r="N16" s="192" t="s">
        <v>152</v>
      </c>
      <c r="O16" s="192" t="s">
        <v>152</v>
      </c>
      <c r="P16" s="192" t="s">
        <v>152</v>
      </c>
      <c r="Q16" s="71">
        <v>12540</v>
      </c>
      <c r="R16" s="292" t="s">
        <v>152</v>
      </c>
    </row>
    <row r="17" spans="1:18" s="63" customFormat="1" ht="16.2" thickTop="1" x14ac:dyDescent="0.3">
      <c r="A17" s="89" t="s">
        <v>37</v>
      </c>
      <c r="B17" s="90" t="s">
        <v>152</v>
      </c>
      <c r="C17" s="73" t="s">
        <v>152</v>
      </c>
      <c r="D17" s="73" t="s">
        <v>152</v>
      </c>
      <c r="E17" s="73" t="s">
        <v>152</v>
      </c>
      <c r="F17" s="73" t="s">
        <v>152</v>
      </c>
      <c r="G17" s="273">
        <f t="shared" ref="G17:R17" si="0">SUM(G5:G16)</f>
        <v>0</v>
      </c>
      <c r="H17" s="273">
        <f t="shared" si="0"/>
        <v>0</v>
      </c>
      <c r="I17" s="273">
        <f t="shared" si="0"/>
        <v>0</v>
      </c>
      <c r="J17" s="273">
        <f t="shared" si="0"/>
        <v>0</v>
      </c>
      <c r="K17" s="273">
        <f t="shared" si="0"/>
        <v>0</v>
      </c>
      <c r="L17" s="273">
        <f t="shared" si="0"/>
        <v>0</v>
      </c>
      <c r="M17" s="273">
        <f t="shared" si="0"/>
        <v>0</v>
      </c>
      <c r="N17" s="273">
        <f t="shared" si="0"/>
        <v>0</v>
      </c>
      <c r="O17" s="273">
        <f t="shared" si="0"/>
        <v>0</v>
      </c>
      <c r="P17" s="273">
        <f t="shared" si="0"/>
        <v>0</v>
      </c>
      <c r="Q17" s="273">
        <f t="shared" si="0"/>
        <v>24599</v>
      </c>
      <c r="R17" s="288">
        <f t="shared" si="0"/>
        <v>96712</v>
      </c>
    </row>
    <row r="18" spans="1:18" s="113" customFormat="1" ht="6.6" x14ac:dyDescent="0.3">
      <c r="A18" s="371" t="s">
        <v>174</v>
      </c>
      <c r="B18" s="371"/>
      <c r="C18" s="371"/>
      <c r="D18" s="371"/>
      <c r="E18" s="371"/>
      <c r="F18" s="371"/>
      <c r="G18" s="371"/>
      <c r="H18" s="371"/>
      <c r="I18" s="371"/>
      <c r="J18" s="371"/>
      <c r="K18" s="371"/>
      <c r="L18" s="371"/>
      <c r="M18" s="371"/>
      <c r="N18" s="371"/>
      <c r="O18" s="371"/>
      <c r="P18" s="371"/>
      <c r="Q18" s="371"/>
      <c r="R18" s="371"/>
    </row>
    <row r="19" spans="1:18" s="106" customFormat="1" ht="18" x14ac:dyDescent="0.3">
      <c r="A19" s="395" t="s">
        <v>238</v>
      </c>
      <c r="B19" s="395"/>
      <c r="C19" s="395"/>
      <c r="D19" s="395"/>
      <c r="E19" s="395"/>
      <c r="F19" s="395"/>
      <c r="G19" s="395"/>
      <c r="H19" s="395"/>
      <c r="I19" s="395"/>
      <c r="J19" s="395"/>
      <c r="K19" s="395"/>
      <c r="L19" s="395"/>
      <c r="M19" s="395"/>
      <c r="N19" s="395"/>
      <c r="O19" s="395"/>
      <c r="P19" s="395"/>
      <c r="Q19" s="395"/>
      <c r="R19" s="395"/>
    </row>
    <row r="20" spans="1:18" s="63" customFormat="1" ht="15.6" x14ac:dyDescent="0.3">
      <c r="A20" s="77" t="s">
        <v>23</v>
      </c>
      <c r="B20" s="91">
        <v>2005</v>
      </c>
      <c r="C20" s="64">
        <v>2005</v>
      </c>
      <c r="D20" s="64">
        <v>2006</v>
      </c>
      <c r="E20" s="64">
        <v>2007</v>
      </c>
      <c r="F20" s="64">
        <v>2008</v>
      </c>
      <c r="G20" s="64">
        <v>2009</v>
      </c>
      <c r="H20" s="64">
        <v>2010</v>
      </c>
      <c r="I20" s="64">
        <v>2011</v>
      </c>
      <c r="J20" s="65">
        <v>2012</v>
      </c>
      <c r="K20" s="65">
        <v>2013</v>
      </c>
      <c r="L20" s="65">
        <v>2014</v>
      </c>
      <c r="M20" s="65">
        <v>2015</v>
      </c>
      <c r="N20" s="65">
        <v>2016</v>
      </c>
      <c r="O20" s="65">
        <v>2017</v>
      </c>
      <c r="P20" s="65">
        <v>2018</v>
      </c>
      <c r="Q20" s="336">
        <v>2019</v>
      </c>
      <c r="R20" s="337">
        <v>2020</v>
      </c>
    </row>
    <row r="21" spans="1:18" s="63" customFormat="1" ht="15.6" x14ac:dyDescent="0.3">
      <c r="A21" s="76" t="s">
        <v>24</v>
      </c>
      <c r="B21" s="108" t="s">
        <v>152</v>
      </c>
      <c r="C21" s="107" t="s">
        <v>152</v>
      </c>
      <c r="D21" s="107" t="s">
        <v>152</v>
      </c>
      <c r="E21" s="107" t="s">
        <v>152</v>
      </c>
      <c r="F21" s="107" t="s">
        <v>152</v>
      </c>
      <c r="G21" s="107" t="s">
        <v>152</v>
      </c>
      <c r="H21" s="107" t="s">
        <v>152</v>
      </c>
      <c r="I21" s="107" t="s">
        <v>152</v>
      </c>
      <c r="J21" s="107" t="s">
        <v>152</v>
      </c>
      <c r="K21" s="107" t="s">
        <v>152</v>
      </c>
      <c r="L21" s="107" t="s">
        <v>152</v>
      </c>
      <c r="M21" s="107" t="s">
        <v>152</v>
      </c>
      <c r="N21" s="107" t="s">
        <v>152</v>
      </c>
      <c r="O21" s="107" t="s">
        <v>152</v>
      </c>
      <c r="P21" s="107" t="s">
        <v>152</v>
      </c>
      <c r="Q21" s="107" t="s">
        <v>152</v>
      </c>
      <c r="R21" s="286">
        <v>643</v>
      </c>
    </row>
    <row r="22" spans="1:18" s="63" customFormat="1" ht="15.6" x14ac:dyDescent="0.3">
      <c r="A22" s="75" t="s">
        <v>25</v>
      </c>
      <c r="B22" s="170" t="s">
        <v>152</v>
      </c>
      <c r="C22" s="67" t="s">
        <v>152</v>
      </c>
      <c r="D22" s="67" t="s">
        <v>152</v>
      </c>
      <c r="E22" s="67" t="s">
        <v>152</v>
      </c>
      <c r="F22" s="67" t="s">
        <v>152</v>
      </c>
      <c r="G22" s="107" t="s">
        <v>152</v>
      </c>
      <c r="H22" s="107" t="s">
        <v>152</v>
      </c>
      <c r="I22" s="107" t="s">
        <v>152</v>
      </c>
      <c r="J22" s="107" t="s">
        <v>152</v>
      </c>
      <c r="K22" s="107" t="s">
        <v>152</v>
      </c>
      <c r="L22" s="107" t="s">
        <v>152</v>
      </c>
      <c r="M22" s="107" t="s">
        <v>152</v>
      </c>
      <c r="N22" s="107" t="s">
        <v>152</v>
      </c>
      <c r="O22" s="107" t="s">
        <v>152</v>
      </c>
      <c r="P22" s="107" t="s">
        <v>152</v>
      </c>
      <c r="Q22" s="107" t="s">
        <v>152</v>
      </c>
      <c r="R22" s="287">
        <v>395</v>
      </c>
    </row>
    <row r="23" spans="1:18" s="63" customFormat="1" ht="15.6" x14ac:dyDescent="0.3">
      <c r="A23" s="75" t="s">
        <v>26</v>
      </c>
      <c r="B23" s="170" t="s">
        <v>152</v>
      </c>
      <c r="C23" s="67" t="s">
        <v>152</v>
      </c>
      <c r="D23" s="67" t="s">
        <v>152</v>
      </c>
      <c r="E23" s="67" t="s">
        <v>152</v>
      </c>
      <c r="F23" s="67" t="s">
        <v>152</v>
      </c>
      <c r="G23" s="107" t="s">
        <v>152</v>
      </c>
      <c r="H23" s="107" t="s">
        <v>152</v>
      </c>
      <c r="I23" s="107" t="s">
        <v>152</v>
      </c>
      <c r="J23" s="107" t="s">
        <v>152</v>
      </c>
      <c r="K23" s="107" t="s">
        <v>152</v>
      </c>
      <c r="L23" s="107" t="s">
        <v>152</v>
      </c>
      <c r="M23" s="107" t="s">
        <v>152</v>
      </c>
      <c r="N23" s="107" t="s">
        <v>152</v>
      </c>
      <c r="O23" s="107" t="s">
        <v>152</v>
      </c>
      <c r="P23" s="107" t="s">
        <v>152</v>
      </c>
      <c r="Q23" s="107" t="s">
        <v>152</v>
      </c>
      <c r="R23" s="287">
        <v>342</v>
      </c>
    </row>
    <row r="24" spans="1:18" s="63" customFormat="1" ht="15.6" x14ac:dyDescent="0.3">
      <c r="A24" s="75" t="s">
        <v>27</v>
      </c>
      <c r="B24" s="170" t="s">
        <v>152</v>
      </c>
      <c r="C24" s="67" t="s">
        <v>152</v>
      </c>
      <c r="D24" s="67" t="s">
        <v>152</v>
      </c>
      <c r="E24" s="67" t="s">
        <v>152</v>
      </c>
      <c r="F24" s="67" t="s">
        <v>152</v>
      </c>
      <c r="G24" s="107" t="s">
        <v>152</v>
      </c>
      <c r="H24" s="107" t="s">
        <v>152</v>
      </c>
      <c r="I24" s="107" t="s">
        <v>152</v>
      </c>
      <c r="J24" s="107" t="s">
        <v>152</v>
      </c>
      <c r="K24" s="107" t="s">
        <v>152</v>
      </c>
      <c r="L24" s="107" t="s">
        <v>152</v>
      </c>
      <c r="M24" s="107" t="s">
        <v>152</v>
      </c>
      <c r="N24" s="107" t="s">
        <v>152</v>
      </c>
      <c r="O24" s="107" t="s">
        <v>152</v>
      </c>
      <c r="P24" s="107" t="s">
        <v>152</v>
      </c>
      <c r="Q24" s="107" t="s">
        <v>152</v>
      </c>
      <c r="R24" s="287">
        <v>563</v>
      </c>
    </row>
    <row r="25" spans="1:18" s="63" customFormat="1" ht="15.6" x14ac:dyDescent="0.3">
      <c r="A25" s="75" t="s">
        <v>28</v>
      </c>
      <c r="B25" s="170" t="s">
        <v>152</v>
      </c>
      <c r="C25" s="67" t="s">
        <v>152</v>
      </c>
      <c r="D25" s="67" t="s">
        <v>152</v>
      </c>
      <c r="E25" s="67" t="s">
        <v>152</v>
      </c>
      <c r="F25" s="67" t="s">
        <v>152</v>
      </c>
      <c r="G25" s="107" t="s">
        <v>152</v>
      </c>
      <c r="H25" s="107" t="s">
        <v>152</v>
      </c>
      <c r="I25" s="107" t="s">
        <v>152</v>
      </c>
      <c r="J25" s="107" t="s">
        <v>152</v>
      </c>
      <c r="K25" s="107" t="s">
        <v>152</v>
      </c>
      <c r="L25" s="107" t="s">
        <v>152</v>
      </c>
      <c r="M25" s="107" t="s">
        <v>152</v>
      </c>
      <c r="N25" s="107" t="s">
        <v>152</v>
      </c>
      <c r="O25" s="107" t="s">
        <v>152</v>
      </c>
      <c r="P25" s="107" t="s">
        <v>152</v>
      </c>
      <c r="Q25" s="107" t="s">
        <v>152</v>
      </c>
      <c r="R25" s="287">
        <v>1134</v>
      </c>
    </row>
    <row r="26" spans="1:18" s="63" customFormat="1" ht="15.6" x14ac:dyDescent="0.3">
      <c r="A26" s="75" t="s">
        <v>29</v>
      </c>
      <c r="B26" s="170" t="s">
        <v>152</v>
      </c>
      <c r="C26" s="67" t="s">
        <v>152</v>
      </c>
      <c r="D26" s="67" t="s">
        <v>152</v>
      </c>
      <c r="E26" s="67" t="s">
        <v>152</v>
      </c>
      <c r="F26" s="67" t="s">
        <v>152</v>
      </c>
      <c r="G26" s="107" t="s">
        <v>152</v>
      </c>
      <c r="H26" s="107" t="s">
        <v>152</v>
      </c>
      <c r="I26" s="107" t="s">
        <v>152</v>
      </c>
      <c r="J26" s="107" t="s">
        <v>152</v>
      </c>
      <c r="K26" s="107" t="s">
        <v>152</v>
      </c>
      <c r="L26" s="107" t="s">
        <v>152</v>
      </c>
      <c r="M26" s="107" t="s">
        <v>152</v>
      </c>
      <c r="N26" s="107" t="s">
        <v>152</v>
      </c>
      <c r="O26" s="107" t="s">
        <v>152</v>
      </c>
      <c r="P26" s="107" t="s">
        <v>152</v>
      </c>
      <c r="Q26" s="107" t="s">
        <v>152</v>
      </c>
      <c r="R26" s="287">
        <v>1462</v>
      </c>
    </row>
    <row r="27" spans="1:18" s="63" customFormat="1" ht="15.6" x14ac:dyDescent="0.3">
      <c r="A27" s="75" t="s">
        <v>30</v>
      </c>
      <c r="B27" s="170" t="s">
        <v>152</v>
      </c>
      <c r="C27" s="67" t="s">
        <v>152</v>
      </c>
      <c r="D27" s="67" t="s">
        <v>152</v>
      </c>
      <c r="E27" s="67" t="s">
        <v>152</v>
      </c>
      <c r="F27" s="67" t="s">
        <v>152</v>
      </c>
      <c r="G27" s="107" t="s">
        <v>152</v>
      </c>
      <c r="H27" s="107" t="s">
        <v>152</v>
      </c>
      <c r="I27" s="107" t="s">
        <v>152</v>
      </c>
      <c r="J27" s="107" t="s">
        <v>152</v>
      </c>
      <c r="K27" s="107" t="s">
        <v>152</v>
      </c>
      <c r="L27" s="107" t="s">
        <v>152</v>
      </c>
      <c r="M27" s="107" t="s">
        <v>152</v>
      </c>
      <c r="N27" s="107" t="s">
        <v>152</v>
      </c>
      <c r="O27" s="107" t="s">
        <v>152</v>
      </c>
      <c r="P27" s="107" t="s">
        <v>152</v>
      </c>
      <c r="Q27" s="174" t="s">
        <v>152</v>
      </c>
      <c r="R27" s="291" t="s">
        <v>152</v>
      </c>
    </row>
    <row r="28" spans="1:18" s="63" customFormat="1" ht="15.6" x14ac:dyDescent="0.3">
      <c r="A28" s="75" t="s">
        <v>31</v>
      </c>
      <c r="B28" s="170" t="s">
        <v>152</v>
      </c>
      <c r="C28" s="67" t="s">
        <v>152</v>
      </c>
      <c r="D28" s="67" t="s">
        <v>152</v>
      </c>
      <c r="E28" s="67" t="s">
        <v>152</v>
      </c>
      <c r="F28" s="67" t="s">
        <v>152</v>
      </c>
      <c r="G28" s="107" t="s">
        <v>152</v>
      </c>
      <c r="H28" s="107" t="s">
        <v>152</v>
      </c>
      <c r="I28" s="107" t="s">
        <v>152</v>
      </c>
      <c r="J28" s="107" t="s">
        <v>152</v>
      </c>
      <c r="K28" s="107" t="s">
        <v>152</v>
      </c>
      <c r="L28" s="107" t="s">
        <v>152</v>
      </c>
      <c r="M28" s="107" t="s">
        <v>152</v>
      </c>
      <c r="N28" s="107" t="s">
        <v>152</v>
      </c>
      <c r="O28" s="107" t="s">
        <v>152</v>
      </c>
      <c r="P28" s="107" t="s">
        <v>152</v>
      </c>
      <c r="Q28" s="107" t="s">
        <v>152</v>
      </c>
      <c r="R28" s="295" t="s">
        <v>152</v>
      </c>
    </row>
    <row r="29" spans="1:18" s="63" customFormat="1" ht="15.6" x14ac:dyDescent="0.3">
      <c r="A29" s="75" t="s">
        <v>32</v>
      </c>
      <c r="B29" s="170" t="s">
        <v>152</v>
      </c>
      <c r="C29" s="67" t="s">
        <v>152</v>
      </c>
      <c r="D29" s="67" t="s">
        <v>152</v>
      </c>
      <c r="E29" s="67" t="s">
        <v>152</v>
      </c>
      <c r="F29" s="67" t="s">
        <v>152</v>
      </c>
      <c r="G29" s="107" t="s">
        <v>152</v>
      </c>
      <c r="H29" s="107" t="s">
        <v>152</v>
      </c>
      <c r="I29" s="107" t="s">
        <v>152</v>
      </c>
      <c r="J29" s="107" t="s">
        <v>152</v>
      </c>
      <c r="K29" s="107" t="s">
        <v>152</v>
      </c>
      <c r="L29" s="107" t="s">
        <v>152</v>
      </c>
      <c r="M29" s="107" t="s">
        <v>152</v>
      </c>
      <c r="N29" s="107" t="s">
        <v>152</v>
      </c>
      <c r="O29" s="107" t="s">
        <v>152</v>
      </c>
      <c r="P29" s="107" t="s">
        <v>152</v>
      </c>
      <c r="Q29" s="107" t="s">
        <v>152</v>
      </c>
      <c r="R29" s="295" t="s">
        <v>152</v>
      </c>
    </row>
    <row r="30" spans="1:18" s="63" customFormat="1" ht="15.6" x14ac:dyDescent="0.3">
      <c r="A30" s="75" t="s">
        <v>33</v>
      </c>
      <c r="B30" s="170" t="s">
        <v>152</v>
      </c>
      <c r="C30" s="67" t="s">
        <v>152</v>
      </c>
      <c r="D30" s="67" t="s">
        <v>152</v>
      </c>
      <c r="E30" s="67" t="s">
        <v>152</v>
      </c>
      <c r="F30" s="67" t="s">
        <v>152</v>
      </c>
      <c r="G30" s="107" t="s">
        <v>152</v>
      </c>
      <c r="H30" s="107" t="s">
        <v>152</v>
      </c>
      <c r="I30" s="107" t="s">
        <v>152</v>
      </c>
      <c r="J30" s="107" t="s">
        <v>152</v>
      </c>
      <c r="K30" s="107" t="s">
        <v>152</v>
      </c>
      <c r="L30" s="107" t="s">
        <v>152</v>
      </c>
      <c r="M30" s="107" t="s">
        <v>152</v>
      </c>
      <c r="N30" s="107" t="s">
        <v>152</v>
      </c>
      <c r="O30" s="107" t="s">
        <v>152</v>
      </c>
      <c r="P30" s="107" t="s">
        <v>152</v>
      </c>
      <c r="Q30" s="271">
        <v>0</v>
      </c>
      <c r="R30" s="295" t="s">
        <v>152</v>
      </c>
    </row>
    <row r="31" spans="1:18" s="63" customFormat="1" ht="15.6" x14ac:dyDescent="0.3">
      <c r="A31" s="75" t="s">
        <v>34</v>
      </c>
      <c r="B31" s="170" t="s">
        <v>152</v>
      </c>
      <c r="C31" s="67" t="s">
        <v>152</v>
      </c>
      <c r="D31" s="67" t="s">
        <v>152</v>
      </c>
      <c r="E31" s="67" t="s">
        <v>152</v>
      </c>
      <c r="F31" s="67" t="s">
        <v>152</v>
      </c>
      <c r="G31" s="107" t="s">
        <v>152</v>
      </c>
      <c r="H31" s="107" t="s">
        <v>152</v>
      </c>
      <c r="I31" s="107" t="s">
        <v>152</v>
      </c>
      <c r="J31" s="107" t="s">
        <v>152</v>
      </c>
      <c r="K31" s="107" t="s">
        <v>152</v>
      </c>
      <c r="L31" s="107" t="s">
        <v>152</v>
      </c>
      <c r="M31" s="107" t="s">
        <v>152</v>
      </c>
      <c r="N31" s="107" t="s">
        <v>152</v>
      </c>
      <c r="O31" s="107" t="s">
        <v>152</v>
      </c>
      <c r="P31" s="107" t="s">
        <v>152</v>
      </c>
      <c r="Q31" s="66">
        <v>448</v>
      </c>
      <c r="R31" s="295" t="s">
        <v>152</v>
      </c>
    </row>
    <row r="32" spans="1:18" s="63" customFormat="1" ht="16.2" thickBot="1" x14ac:dyDescent="0.35">
      <c r="A32" s="88" t="s">
        <v>36</v>
      </c>
      <c r="B32" s="87" t="s">
        <v>152</v>
      </c>
      <c r="C32" s="72" t="s">
        <v>152</v>
      </c>
      <c r="D32" s="72" t="s">
        <v>152</v>
      </c>
      <c r="E32" s="72" t="s">
        <v>152</v>
      </c>
      <c r="F32" s="72" t="s">
        <v>152</v>
      </c>
      <c r="G32" s="192" t="s">
        <v>152</v>
      </c>
      <c r="H32" s="192" t="s">
        <v>152</v>
      </c>
      <c r="I32" s="192" t="s">
        <v>152</v>
      </c>
      <c r="J32" s="192" t="s">
        <v>152</v>
      </c>
      <c r="K32" s="192" t="s">
        <v>152</v>
      </c>
      <c r="L32" s="192" t="s">
        <v>152</v>
      </c>
      <c r="M32" s="192" t="s">
        <v>152</v>
      </c>
      <c r="N32" s="192" t="s">
        <v>152</v>
      </c>
      <c r="O32" s="192" t="s">
        <v>152</v>
      </c>
      <c r="P32" s="192" t="s">
        <v>152</v>
      </c>
      <c r="Q32" s="71">
        <v>681</v>
      </c>
      <c r="R32" s="292" t="s">
        <v>152</v>
      </c>
    </row>
    <row r="33" spans="1:18" s="63" customFormat="1" ht="16.2" thickTop="1" x14ac:dyDescent="0.3">
      <c r="A33" s="89" t="s">
        <v>37</v>
      </c>
      <c r="B33" s="90" t="s">
        <v>152</v>
      </c>
      <c r="C33" s="73" t="s">
        <v>152</v>
      </c>
      <c r="D33" s="73" t="s">
        <v>152</v>
      </c>
      <c r="E33" s="73" t="s">
        <v>152</v>
      </c>
      <c r="F33" s="73" t="s">
        <v>152</v>
      </c>
      <c r="G33" s="273">
        <f t="shared" ref="G33:R33" si="1">SUM(G21:G32)</f>
        <v>0</v>
      </c>
      <c r="H33" s="273">
        <f t="shared" si="1"/>
        <v>0</v>
      </c>
      <c r="I33" s="273">
        <f t="shared" si="1"/>
        <v>0</v>
      </c>
      <c r="J33" s="273">
        <f t="shared" si="1"/>
        <v>0</v>
      </c>
      <c r="K33" s="273">
        <f t="shared" si="1"/>
        <v>0</v>
      </c>
      <c r="L33" s="273">
        <f t="shared" si="1"/>
        <v>0</v>
      </c>
      <c r="M33" s="273">
        <f t="shared" si="1"/>
        <v>0</v>
      </c>
      <c r="N33" s="273">
        <f t="shared" si="1"/>
        <v>0</v>
      </c>
      <c r="O33" s="273">
        <f t="shared" si="1"/>
        <v>0</v>
      </c>
      <c r="P33" s="273">
        <f t="shared" si="1"/>
        <v>0</v>
      </c>
      <c r="Q33" s="273">
        <f t="shared" si="1"/>
        <v>1129</v>
      </c>
      <c r="R33" s="288">
        <f t="shared" si="1"/>
        <v>4539</v>
      </c>
    </row>
    <row r="34" spans="1:18" s="113" customFormat="1" ht="6.6" x14ac:dyDescent="0.3">
      <c r="A34" s="371" t="s">
        <v>174</v>
      </c>
      <c r="B34" s="371"/>
      <c r="C34" s="371"/>
      <c r="D34" s="371"/>
      <c r="E34" s="371"/>
      <c r="F34" s="371"/>
      <c r="G34" s="371"/>
      <c r="H34" s="371"/>
      <c r="I34" s="371"/>
      <c r="J34" s="371"/>
      <c r="K34" s="371"/>
      <c r="L34" s="371"/>
      <c r="M34" s="371"/>
      <c r="N34" s="371"/>
      <c r="O34" s="371"/>
      <c r="P34" s="371"/>
      <c r="Q34" s="371"/>
      <c r="R34" s="371"/>
    </row>
    <row r="35" spans="1:18" s="106" customFormat="1" ht="18" x14ac:dyDescent="0.3">
      <c r="A35" s="370" t="s">
        <v>240</v>
      </c>
      <c r="B35" s="370"/>
      <c r="C35" s="370"/>
      <c r="D35" s="370"/>
      <c r="E35" s="370"/>
      <c r="F35" s="370"/>
      <c r="G35" s="370"/>
      <c r="H35" s="370"/>
      <c r="I35" s="370"/>
      <c r="J35" s="370"/>
      <c r="K35" s="370"/>
      <c r="L35" s="370"/>
      <c r="M35" s="370"/>
      <c r="N35" s="370"/>
      <c r="O35" s="370"/>
      <c r="P35" s="370"/>
      <c r="Q35" s="370"/>
      <c r="R35" s="370"/>
    </row>
    <row r="36" spans="1:18" s="63" customFormat="1" ht="15.6" x14ac:dyDescent="0.3">
      <c r="A36" s="77" t="s">
        <v>23</v>
      </c>
      <c r="B36" s="91">
        <v>2005</v>
      </c>
      <c r="C36" s="64">
        <v>2005</v>
      </c>
      <c r="D36" s="64">
        <v>2006</v>
      </c>
      <c r="E36" s="64">
        <v>2007</v>
      </c>
      <c r="F36" s="64">
        <v>2008</v>
      </c>
      <c r="G36" s="64">
        <v>2009</v>
      </c>
      <c r="H36" s="64">
        <v>2010</v>
      </c>
      <c r="I36" s="64">
        <v>2011</v>
      </c>
      <c r="J36" s="65">
        <v>2012</v>
      </c>
      <c r="K36" s="65">
        <v>2013</v>
      </c>
      <c r="L36" s="65">
        <v>2014</v>
      </c>
      <c r="M36" s="65">
        <v>2015</v>
      </c>
      <c r="N36" s="65">
        <v>2016</v>
      </c>
      <c r="O36" s="65">
        <v>2017</v>
      </c>
      <c r="P36" s="65">
        <v>2018</v>
      </c>
      <c r="Q36" s="336">
        <v>2019</v>
      </c>
      <c r="R36" s="337">
        <v>2020</v>
      </c>
    </row>
    <row r="37" spans="1:18" s="63" customFormat="1" ht="15.6" x14ac:dyDescent="0.3">
      <c r="A37" s="76" t="s">
        <v>24</v>
      </c>
      <c r="B37" s="108" t="s">
        <v>152</v>
      </c>
      <c r="C37" s="107" t="s">
        <v>152</v>
      </c>
      <c r="D37" s="107" t="s">
        <v>152</v>
      </c>
      <c r="E37" s="107" t="s">
        <v>152</v>
      </c>
      <c r="F37" s="107" t="s">
        <v>152</v>
      </c>
      <c r="G37" s="107" t="s">
        <v>152</v>
      </c>
      <c r="H37" s="107" t="s">
        <v>152</v>
      </c>
      <c r="I37" s="107" t="s">
        <v>152</v>
      </c>
      <c r="J37" s="107" t="s">
        <v>152</v>
      </c>
      <c r="K37" s="107" t="s">
        <v>152</v>
      </c>
      <c r="L37" s="107" t="s">
        <v>152</v>
      </c>
      <c r="M37" s="107" t="s">
        <v>152</v>
      </c>
      <c r="N37" s="107" t="s">
        <v>152</v>
      </c>
      <c r="O37" s="107" t="s">
        <v>152</v>
      </c>
      <c r="P37" s="107" t="s">
        <v>152</v>
      </c>
      <c r="Q37" s="107" t="s">
        <v>152</v>
      </c>
      <c r="R37" s="286">
        <v>0</v>
      </c>
    </row>
    <row r="38" spans="1:18" s="63" customFormat="1" ht="15.6" x14ac:dyDescent="0.3">
      <c r="A38" s="75" t="s">
        <v>25</v>
      </c>
      <c r="B38" s="170" t="s">
        <v>152</v>
      </c>
      <c r="C38" s="67" t="s">
        <v>152</v>
      </c>
      <c r="D38" s="67" t="s">
        <v>152</v>
      </c>
      <c r="E38" s="67" t="s">
        <v>152</v>
      </c>
      <c r="F38" s="67" t="s">
        <v>152</v>
      </c>
      <c r="G38" s="107" t="s">
        <v>152</v>
      </c>
      <c r="H38" s="107" t="s">
        <v>152</v>
      </c>
      <c r="I38" s="107" t="s">
        <v>152</v>
      </c>
      <c r="J38" s="107" t="s">
        <v>152</v>
      </c>
      <c r="K38" s="107" t="s">
        <v>152</v>
      </c>
      <c r="L38" s="107" t="s">
        <v>152</v>
      </c>
      <c r="M38" s="107" t="s">
        <v>152</v>
      </c>
      <c r="N38" s="107" t="s">
        <v>152</v>
      </c>
      <c r="O38" s="107" t="s">
        <v>152</v>
      </c>
      <c r="P38" s="107" t="s">
        <v>152</v>
      </c>
      <c r="Q38" s="107" t="s">
        <v>152</v>
      </c>
      <c r="R38" s="287">
        <v>0</v>
      </c>
    </row>
    <row r="39" spans="1:18" s="63" customFormat="1" ht="15.6" x14ac:dyDescent="0.3">
      <c r="A39" s="75" t="s">
        <v>26</v>
      </c>
      <c r="B39" s="170" t="s">
        <v>152</v>
      </c>
      <c r="C39" s="67" t="s">
        <v>152</v>
      </c>
      <c r="D39" s="67" t="s">
        <v>152</v>
      </c>
      <c r="E39" s="67" t="s">
        <v>152</v>
      </c>
      <c r="F39" s="67" t="s">
        <v>152</v>
      </c>
      <c r="G39" s="107" t="s">
        <v>152</v>
      </c>
      <c r="H39" s="107" t="s">
        <v>152</v>
      </c>
      <c r="I39" s="107" t="s">
        <v>152</v>
      </c>
      <c r="J39" s="107" t="s">
        <v>152</v>
      </c>
      <c r="K39" s="107" t="s">
        <v>152</v>
      </c>
      <c r="L39" s="107" t="s">
        <v>152</v>
      </c>
      <c r="M39" s="107" t="s">
        <v>152</v>
      </c>
      <c r="N39" s="107" t="s">
        <v>152</v>
      </c>
      <c r="O39" s="107" t="s">
        <v>152</v>
      </c>
      <c r="P39" s="107" t="s">
        <v>152</v>
      </c>
      <c r="Q39" s="107" t="s">
        <v>152</v>
      </c>
      <c r="R39" s="287">
        <v>0</v>
      </c>
    </row>
    <row r="40" spans="1:18" s="63" customFormat="1" ht="15.6" x14ac:dyDescent="0.3">
      <c r="A40" s="75" t="s">
        <v>27</v>
      </c>
      <c r="B40" s="170" t="s">
        <v>152</v>
      </c>
      <c r="C40" s="67" t="s">
        <v>152</v>
      </c>
      <c r="D40" s="67" t="s">
        <v>152</v>
      </c>
      <c r="E40" s="67" t="s">
        <v>152</v>
      </c>
      <c r="F40" s="67" t="s">
        <v>152</v>
      </c>
      <c r="G40" s="107" t="s">
        <v>152</v>
      </c>
      <c r="H40" s="107" t="s">
        <v>152</v>
      </c>
      <c r="I40" s="107" t="s">
        <v>152</v>
      </c>
      <c r="J40" s="107" t="s">
        <v>152</v>
      </c>
      <c r="K40" s="107" t="s">
        <v>152</v>
      </c>
      <c r="L40" s="107" t="s">
        <v>152</v>
      </c>
      <c r="M40" s="107" t="s">
        <v>152</v>
      </c>
      <c r="N40" s="107" t="s">
        <v>152</v>
      </c>
      <c r="O40" s="107" t="s">
        <v>152</v>
      </c>
      <c r="P40" s="107" t="s">
        <v>152</v>
      </c>
      <c r="Q40" s="174" t="s">
        <v>152</v>
      </c>
      <c r="R40" s="287">
        <v>0</v>
      </c>
    </row>
    <row r="41" spans="1:18" s="63" customFormat="1" ht="15.6" x14ac:dyDescent="0.3">
      <c r="A41" s="75" t="s">
        <v>28</v>
      </c>
      <c r="B41" s="170" t="s">
        <v>152</v>
      </c>
      <c r="C41" s="67" t="s">
        <v>152</v>
      </c>
      <c r="D41" s="67" t="s">
        <v>152</v>
      </c>
      <c r="E41" s="67" t="s">
        <v>152</v>
      </c>
      <c r="F41" s="67" t="s">
        <v>152</v>
      </c>
      <c r="G41" s="107" t="s">
        <v>152</v>
      </c>
      <c r="H41" s="107" t="s">
        <v>152</v>
      </c>
      <c r="I41" s="107" t="s">
        <v>152</v>
      </c>
      <c r="J41" s="107" t="s">
        <v>152</v>
      </c>
      <c r="K41" s="107" t="s">
        <v>152</v>
      </c>
      <c r="L41" s="107" t="s">
        <v>152</v>
      </c>
      <c r="M41" s="107" t="s">
        <v>152</v>
      </c>
      <c r="N41" s="107" t="s">
        <v>152</v>
      </c>
      <c r="O41" s="107" t="s">
        <v>152</v>
      </c>
      <c r="P41" s="107" t="s">
        <v>152</v>
      </c>
      <c r="Q41" s="107" t="s">
        <v>152</v>
      </c>
      <c r="R41" s="287">
        <v>0</v>
      </c>
    </row>
    <row r="42" spans="1:18" s="63" customFormat="1" ht="15.6" x14ac:dyDescent="0.3">
      <c r="A42" s="75" t="s">
        <v>29</v>
      </c>
      <c r="B42" s="170" t="s">
        <v>152</v>
      </c>
      <c r="C42" s="67" t="s">
        <v>152</v>
      </c>
      <c r="D42" s="67" t="s">
        <v>152</v>
      </c>
      <c r="E42" s="67" t="s">
        <v>152</v>
      </c>
      <c r="F42" s="67" t="s">
        <v>152</v>
      </c>
      <c r="G42" s="107" t="s">
        <v>152</v>
      </c>
      <c r="H42" s="107" t="s">
        <v>152</v>
      </c>
      <c r="I42" s="107" t="s">
        <v>152</v>
      </c>
      <c r="J42" s="107" t="s">
        <v>152</v>
      </c>
      <c r="K42" s="107" t="s">
        <v>152</v>
      </c>
      <c r="L42" s="107" t="s">
        <v>152</v>
      </c>
      <c r="M42" s="107" t="s">
        <v>152</v>
      </c>
      <c r="N42" s="107" t="s">
        <v>152</v>
      </c>
      <c r="O42" s="107" t="s">
        <v>152</v>
      </c>
      <c r="P42" s="107" t="s">
        <v>152</v>
      </c>
      <c r="Q42" s="107" t="s">
        <v>152</v>
      </c>
      <c r="R42" s="287">
        <v>0</v>
      </c>
    </row>
    <row r="43" spans="1:18" s="63" customFormat="1" ht="15.6" x14ac:dyDescent="0.3">
      <c r="A43" s="75" t="s">
        <v>30</v>
      </c>
      <c r="B43" s="170" t="s">
        <v>152</v>
      </c>
      <c r="C43" s="67" t="s">
        <v>152</v>
      </c>
      <c r="D43" s="67" t="s">
        <v>152</v>
      </c>
      <c r="E43" s="67" t="s">
        <v>152</v>
      </c>
      <c r="F43" s="67" t="s">
        <v>152</v>
      </c>
      <c r="G43" s="107" t="s">
        <v>152</v>
      </c>
      <c r="H43" s="107" t="s">
        <v>152</v>
      </c>
      <c r="I43" s="107" t="s">
        <v>152</v>
      </c>
      <c r="J43" s="107" t="s">
        <v>152</v>
      </c>
      <c r="K43" s="107" t="s">
        <v>152</v>
      </c>
      <c r="L43" s="107" t="s">
        <v>152</v>
      </c>
      <c r="M43" s="107" t="s">
        <v>152</v>
      </c>
      <c r="N43" s="107" t="s">
        <v>152</v>
      </c>
      <c r="O43" s="107" t="s">
        <v>152</v>
      </c>
      <c r="P43" s="107" t="s">
        <v>152</v>
      </c>
      <c r="Q43" s="107" t="s">
        <v>152</v>
      </c>
      <c r="R43" s="291" t="s">
        <v>152</v>
      </c>
    </row>
    <row r="44" spans="1:18" s="63" customFormat="1" ht="15.6" x14ac:dyDescent="0.3">
      <c r="A44" s="75" t="s">
        <v>31</v>
      </c>
      <c r="B44" s="170" t="s">
        <v>152</v>
      </c>
      <c r="C44" s="67" t="s">
        <v>152</v>
      </c>
      <c r="D44" s="67" t="s">
        <v>152</v>
      </c>
      <c r="E44" s="67" t="s">
        <v>152</v>
      </c>
      <c r="F44" s="67" t="s">
        <v>152</v>
      </c>
      <c r="G44" s="107" t="s">
        <v>152</v>
      </c>
      <c r="H44" s="107" t="s">
        <v>152</v>
      </c>
      <c r="I44" s="107" t="s">
        <v>152</v>
      </c>
      <c r="J44" s="107" t="s">
        <v>152</v>
      </c>
      <c r="K44" s="107" t="s">
        <v>152</v>
      </c>
      <c r="L44" s="107" t="s">
        <v>152</v>
      </c>
      <c r="M44" s="107" t="s">
        <v>152</v>
      </c>
      <c r="N44" s="107" t="s">
        <v>152</v>
      </c>
      <c r="O44" s="107" t="s">
        <v>152</v>
      </c>
      <c r="P44" s="107" t="s">
        <v>152</v>
      </c>
      <c r="Q44" s="107" t="s">
        <v>152</v>
      </c>
      <c r="R44" s="295" t="s">
        <v>152</v>
      </c>
    </row>
    <row r="45" spans="1:18" s="63" customFormat="1" ht="15.6" x14ac:dyDescent="0.3">
      <c r="A45" s="75" t="s">
        <v>32</v>
      </c>
      <c r="B45" s="170" t="s">
        <v>152</v>
      </c>
      <c r="C45" s="67" t="s">
        <v>152</v>
      </c>
      <c r="D45" s="67" t="s">
        <v>152</v>
      </c>
      <c r="E45" s="67" t="s">
        <v>152</v>
      </c>
      <c r="F45" s="67" t="s">
        <v>152</v>
      </c>
      <c r="G45" s="107" t="s">
        <v>152</v>
      </c>
      <c r="H45" s="107" t="s">
        <v>152</v>
      </c>
      <c r="I45" s="107" t="s">
        <v>152</v>
      </c>
      <c r="J45" s="107" t="s">
        <v>152</v>
      </c>
      <c r="K45" s="107" t="s">
        <v>152</v>
      </c>
      <c r="L45" s="107" t="s">
        <v>152</v>
      </c>
      <c r="M45" s="107" t="s">
        <v>152</v>
      </c>
      <c r="N45" s="107" t="s">
        <v>152</v>
      </c>
      <c r="O45" s="107" t="s">
        <v>152</v>
      </c>
      <c r="P45" s="107" t="s">
        <v>152</v>
      </c>
      <c r="Q45" s="107" t="s">
        <v>152</v>
      </c>
      <c r="R45" s="295" t="s">
        <v>152</v>
      </c>
    </row>
    <row r="46" spans="1:18" s="63" customFormat="1" ht="15.6" x14ac:dyDescent="0.3">
      <c r="A46" s="75" t="s">
        <v>33</v>
      </c>
      <c r="B46" s="170" t="s">
        <v>152</v>
      </c>
      <c r="C46" s="67" t="s">
        <v>152</v>
      </c>
      <c r="D46" s="67" t="s">
        <v>152</v>
      </c>
      <c r="E46" s="67" t="s">
        <v>152</v>
      </c>
      <c r="F46" s="67" t="s">
        <v>152</v>
      </c>
      <c r="G46" s="107" t="s">
        <v>152</v>
      </c>
      <c r="H46" s="107" t="s">
        <v>152</v>
      </c>
      <c r="I46" s="107" t="s">
        <v>152</v>
      </c>
      <c r="J46" s="107" t="s">
        <v>152</v>
      </c>
      <c r="K46" s="107" t="s">
        <v>152</v>
      </c>
      <c r="L46" s="107" t="s">
        <v>152</v>
      </c>
      <c r="M46" s="107" t="s">
        <v>152</v>
      </c>
      <c r="N46" s="107" t="s">
        <v>152</v>
      </c>
      <c r="O46" s="107" t="s">
        <v>152</v>
      </c>
      <c r="P46" s="107" t="s">
        <v>152</v>
      </c>
      <c r="Q46" s="271">
        <v>0</v>
      </c>
      <c r="R46" s="295" t="s">
        <v>152</v>
      </c>
    </row>
    <row r="47" spans="1:18" s="63" customFormat="1" ht="15.6" x14ac:dyDescent="0.3">
      <c r="A47" s="75" t="s">
        <v>34</v>
      </c>
      <c r="B47" s="170" t="s">
        <v>152</v>
      </c>
      <c r="C47" s="67" t="s">
        <v>152</v>
      </c>
      <c r="D47" s="67" t="s">
        <v>152</v>
      </c>
      <c r="E47" s="67" t="s">
        <v>152</v>
      </c>
      <c r="F47" s="67" t="s">
        <v>152</v>
      </c>
      <c r="G47" s="107" t="s">
        <v>152</v>
      </c>
      <c r="H47" s="107" t="s">
        <v>152</v>
      </c>
      <c r="I47" s="107" t="s">
        <v>152</v>
      </c>
      <c r="J47" s="107" t="s">
        <v>152</v>
      </c>
      <c r="K47" s="107" t="s">
        <v>152</v>
      </c>
      <c r="L47" s="107" t="s">
        <v>152</v>
      </c>
      <c r="M47" s="107" t="s">
        <v>152</v>
      </c>
      <c r="N47" s="107" t="s">
        <v>152</v>
      </c>
      <c r="O47" s="107" t="s">
        <v>152</v>
      </c>
      <c r="P47" s="107" t="s">
        <v>152</v>
      </c>
      <c r="Q47" s="66">
        <v>0</v>
      </c>
      <c r="R47" s="295" t="s">
        <v>152</v>
      </c>
    </row>
    <row r="48" spans="1:18" s="63" customFormat="1" ht="16.2" thickBot="1" x14ac:dyDescent="0.35">
      <c r="A48" s="88" t="s">
        <v>36</v>
      </c>
      <c r="B48" s="87" t="s">
        <v>152</v>
      </c>
      <c r="C48" s="72" t="s">
        <v>152</v>
      </c>
      <c r="D48" s="72" t="s">
        <v>152</v>
      </c>
      <c r="E48" s="72" t="s">
        <v>152</v>
      </c>
      <c r="F48" s="72" t="s">
        <v>152</v>
      </c>
      <c r="G48" s="192" t="s">
        <v>152</v>
      </c>
      <c r="H48" s="192" t="s">
        <v>152</v>
      </c>
      <c r="I48" s="192" t="s">
        <v>152</v>
      </c>
      <c r="J48" s="192" t="s">
        <v>152</v>
      </c>
      <c r="K48" s="192" t="s">
        <v>152</v>
      </c>
      <c r="L48" s="192" t="s">
        <v>152</v>
      </c>
      <c r="M48" s="192" t="s">
        <v>152</v>
      </c>
      <c r="N48" s="192" t="s">
        <v>152</v>
      </c>
      <c r="O48" s="192" t="s">
        <v>152</v>
      </c>
      <c r="P48" s="192" t="s">
        <v>152</v>
      </c>
      <c r="Q48" s="71">
        <v>0</v>
      </c>
      <c r="R48" s="292" t="s">
        <v>152</v>
      </c>
    </row>
    <row r="49" spans="1:20" s="63" customFormat="1" ht="16.2" thickTop="1" x14ac:dyDescent="0.3">
      <c r="A49" s="89" t="s">
        <v>37</v>
      </c>
      <c r="B49" s="90" t="s">
        <v>152</v>
      </c>
      <c r="C49" s="73" t="s">
        <v>152</v>
      </c>
      <c r="D49" s="73" t="s">
        <v>152</v>
      </c>
      <c r="E49" s="73" t="s">
        <v>152</v>
      </c>
      <c r="F49" s="73" t="s">
        <v>152</v>
      </c>
      <c r="G49" s="273">
        <f t="shared" ref="G49:R49" si="2">SUM(G37:G48)</f>
        <v>0</v>
      </c>
      <c r="H49" s="273">
        <f t="shared" si="2"/>
        <v>0</v>
      </c>
      <c r="I49" s="273">
        <f t="shared" si="2"/>
        <v>0</v>
      </c>
      <c r="J49" s="273">
        <f t="shared" si="2"/>
        <v>0</v>
      </c>
      <c r="K49" s="273">
        <f t="shared" si="2"/>
        <v>0</v>
      </c>
      <c r="L49" s="273">
        <f t="shared" si="2"/>
        <v>0</v>
      </c>
      <c r="M49" s="273">
        <f t="shared" si="2"/>
        <v>0</v>
      </c>
      <c r="N49" s="273">
        <f t="shared" si="2"/>
        <v>0</v>
      </c>
      <c r="O49" s="273">
        <f t="shared" si="2"/>
        <v>0</v>
      </c>
      <c r="P49" s="273">
        <f t="shared" si="2"/>
        <v>0</v>
      </c>
      <c r="Q49" s="273">
        <f t="shared" si="2"/>
        <v>0</v>
      </c>
      <c r="R49" s="288">
        <f t="shared" si="2"/>
        <v>0</v>
      </c>
    </row>
    <row r="50" spans="1:20" s="113" customFormat="1" ht="6.6" x14ac:dyDescent="0.3">
      <c r="A50" s="371" t="s">
        <v>174</v>
      </c>
      <c r="B50" s="371"/>
      <c r="C50" s="371"/>
      <c r="D50" s="371"/>
      <c r="E50" s="371"/>
      <c r="F50" s="371"/>
      <c r="G50" s="371"/>
      <c r="H50" s="371"/>
      <c r="I50" s="371"/>
      <c r="J50" s="371"/>
      <c r="K50" s="371"/>
      <c r="L50" s="371"/>
      <c r="M50" s="371"/>
      <c r="N50" s="371"/>
      <c r="O50" s="371"/>
      <c r="P50" s="371"/>
      <c r="Q50" s="371"/>
      <c r="R50" s="371"/>
    </row>
    <row r="51" spans="1:20" s="111" customFormat="1" ht="13.8" x14ac:dyDescent="0.3">
      <c r="A51" s="373" t="s">
        <v>221</v>
      </c>
      <c r="B51" s="373"/>
      <c r="C51" s="373"/>
      <c r="D51" s="373"/>
      <c r="E51" s="373"/>
      <c r="F51" s="373"/>
      <c r="G51" s="373"/>
      <c r="H51" s="373"/>
      <c r="I51" s="373"/>
      <c r="J51" s="373"/>
      <c r="K51" s="373"/>
      <c r="L51" s="373"/>
      <c r="M51" s="373"/>
      <c r="N51" s="373"/>
      <c r="O51" s="373"/>
      <c r="P51" s="373"/>
      <c r="Q51" s="373"/>
      <c r="R51" s="373"/>
      <c r="S51" s="373"/>
    </row>
    <row r="52" spans="1:20" s="111" customFormat="1" ht="13.8" x14ac:dyDescent="0.3">
      <c r="A52" s="384" t="str">
        <f>'Local SUT'!A60</f>
        <v>Source:  Minnesota Department of Revenue, Tax Research Division, February 2021</v>
      </c>
      <c r="B52" s="384"/>
      <c r="C52" s="384"/>
      <c r="D52" s="384"/>
      <c r="E52" s="384"/>
      <c r="F52" s="384"/>
      <c r="G52" s="384"/>
      <c r="H52" s="384"/>
      <c r="I52" s="384"/>
      <c r="J52" s="384"/>
      <c r="K52" s="384"/>
      <c r="L52" s="384"/>
      <c r="M52" s="384"/>
      <c r="N52" s="384"/>
      <c r="O52" s="384"/>
      <c r="P52" s="384"/>
      <c r="Q52" s="384"/>
      <c r="R52" s="384"/>
      <c r="S52" s="384"/>
      <c r="T52" s="384"/>
    </row>
    <row r="53" spans="1:20" s="111" customFormat="1" ht="13.8" x14ac:dyDescent="0.3">
      <c r="A53" s="379" t="s">
        <v>151</v>
      </c>
      <c r="B53" s="379"/>
      <c r="C53" s="379"/>
      <c r="D53" s="379"/>
      <c r="E53" s="379"/>
      <c r="F53" s="379"/>
      <c r="G53" s="379"/>
      <c r="H53" s="379"/>
      <c r="I53" s="379"/>
      <c r="J53" s="379"/>
      <c r="K53" s="379"/>
      <c r="L53" s="379"/>
      <c r="M53" s="379"/>
      <c r="N53" s="379"/>
      <c r="O53" s="379"/>
      <c r="P53" s="379"/>
      <c r="Q53" s="379"/>
      <c r="R53" s="379"/>
    </row>
    <row r="54" spans="1:20" x14ac:dyDescent="0.3">
      <c r="R54" s="117"/>
    </row>
  </sheetData>
  <mergeCells count="11">
    <mergeCell ref="A1:T1"/>
    <mergeCell ref="A2:R2"/>
    <mergeCell ref="A3:R3"/>
    <mergeCell ref="A18:R18"/>
    <mergeCell ref="A34:R34"/>
    <mergeCell ref="A35:R35"/>
    <mergeCell ref="A50:R50"/>
    <mergeCell ref="A53:R53"/>
    <mergeCell ref="A19:R19"/>
    <mergeCell ref="A51:S51"/>
    <mergeCell ref="A52:T52"/>
  </mergeCells>
  <pageMargins left="0.5" right="0" top="0.75" bottom="0.75" header="0.3" footer="0.3"/>
  <pageSetup scale="86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A50459-35D8-4C46-8881-72640F734204}">
  <sheetPr codeName="Sheet40">
    <pageSetUpPr fitToPage="1"/>
  </sheetPr>
  <dimension ref="A1:U54"/>
  <sheetViews>
    <sheetView showGridLines="0" zoomScaleNormal="100" workbookViewId="0">
      <pane ySplit="1" topLeftCell="A2" activePane="bottomLeft" state="frozen"/>
      <selection pane="bottomLeft" sqref="A1:T1"/>
    </sheetView>
  </sheetViews>
  <sheetFormatPr defaultColWidth="12.5546875" defaultRowHeight="14.4" x14ac:dyDescent="0.3"/>
  <cols>
    <col min="1" max="1" width="12.5546875" style="180" customWidth="1"/>
    <col min="2" max="16" width="13.5546875" style="173" hidden="1" customWidth="1"/>
    <col min="17" max="17" width="13.5546875" style="173" customWidth="1"/>
    <col min="18" max="18" width="13.5546875" style="145" customWidth="1"/>
    <col min="19" max="16384" width="12.5546875" style="173"/>
  </cols>
  <sheetData>
    <row r="1" spans="1:21" s="112" customFormat="1" ht="21" x14ac:dyDescent="0.3">
      <c r="A1" s="380" t="s">
        <v>242</v>
      </c>
      <c r="B1" s="380"/>
      <c r="C1" s="380"/>
      <c r="D1" s="380"/>
      <c r="E1" s="380"/>
      <c r="F1" s="380"/>
      <c r="G1" s="380"/>
      <c r="H1" s="380"/>
      <c r="I1" s="380"/>
      <c r="J1" s="380"/>
      <c r="K1" s="380"/>
      <c r="L1" s="380"/>
      <c r="M1" s="380"/>
      <c r="N1" s="380"/>
      <c r="O1" s="380"/>
      <c r="P1" s="380"/>
      <c r="Q1" s="380"/>
      <c r="R1" s="380"/>
      <c r="S1" s="380"/>
      <c r="T1" s="380"/>
      <c r="U1" s="338"/>
    </row>
    <row r="2" spans="1:21" s="106" customFormat="1" ht="18" x14ac:dyDescent="0.3">
      <c r="A2" s="381" t="str">
        <f>'Local SUT'!A2</f>
        <v>CY 2004-2020</v>
      </c>
      <c r="B2" s="381"/>
      <c r="C2" s="381"/>
      <c r="D2" s="381"/>
      <c r="E2" s="381"/>
      <c r="F2" s="381"/>
      <c r="G2" s="381"/>
      <c r="H2" s="381"/>
      <c r="I2" s="381"/>
      <c r="J2" s="381"/>
      <c r="K2" s="381"/>
      <c r="L2" s="381"/>
      <c r="M2" s="381"/>
      <c r="N2" s="381"/>
      <c r="O2" s="381"/>
      <c r="P2" s="381"/>
      <c r="Q2" s="381"/>
      <c r="R2" s="381"/>
    </row>
    <row r="3" spans="1:21" s="106" customFormat="1" ht="18" x14ac:dyDescent="0.3">
      <c r="A3" s="370" t="s">
        <v>243</v>
      </c>
      <c r="B3" s="370"/>
      <c r="C3" s="370"/>
      <c r="D3" s="370"/>
      <c r="E3" s="370"/>
      <c r="F3" s="370"/>
      <c r="G3" s="370"/>
      <c r="H3" s="370"/>
      <c r="I3" s="370"/>
      <c r="J3" s="370"/>
      <c r="K3" s="370"/>
      <c r="L3" s="370"/>
      <c r="M3" s="370"/>
      <c r="N3" s="370"/>
      <c r="O3" s="370"/>
      <c r="P3" s="370"/>
      <c r="Q3" s="370"/>
      <c r="R3" s="370"/>
    </row>
    <row r="4" spans="1:21" s="63" customFormat="1" ht="15.6" x14ac:dyDescent="0.3">
      <c r="A4" s="77" t="s">
        <v>23</v>
      </c>
      <c r="B4" s="91">
        <v>2004</v>
      </c>
      <c r="C4" s="64">
        <v>2005</v>
      </c>
      <c r="D4" s="64">
        <v>2006</v>
      </c>
      <c r="E4" s="64">
        <v>2007</v>
      </c>
      <c r="F4" s="64">
        <v>2008</v>
      </c>
      <c r="G4" s="64">
        <v>2009</v>
      </c>
      <c r="H4" s="64">
        <v>2010</v>
      </c>
      <c r="I4" s="64">
        <v>2011</v>
      </c>
      <c r="J4" s="65">
        <v>2012</v>
      </c>
      <c r="K4" s="65">
        <v>2013</v>
      </c>
      <c r="L4" s="65">
        <v>2014</v>
      </c>
      <c r="M4" s="65">
        <v>2015</v>
      </c>
      <c r="N4" s="65">
        <v>2016</v>
      </c>
      <c r="O4" s="65">
        <v>2017</v>
      </c>
      <c r="P4" s="65">
        <v>2018</v>
      </c>
      <c r="Q4" s="336">
        <v>2019</v>
      </c>
      <c r="R4" s="337">
        <v>2020</v>
      </c>
    </row>
    <row r="5" spans="1:21" s="63" customFormat="1" ht="15.6" x14ac:dyDescent="0.3">
      <c r="A5" s="76" t="s">
        <v>24</v>
      </c>
      <c r="B5" s="108" t="s">
        <v>152</v>
      </c>
      <c r="C5" s="107" t="s">
        <v>152</v>
      </c>
      <c r="D5" s="107" t="s">
        <v>152</v>
      </c>
      <c r="E5" s="107" t="s">
        <v>152</v>
      </c>
      <c r="F5" s="107" t="s">
        <v>152</v>
      </c>
      <c r="G5" s="107" t="s">
        <v>152</v>
      </c>
      <c r="H5" s="107" t="s">
        <v>152</v>
      </c>
      <c r="I5" s="107" t="s">
        <v>152</v>
      </c>
      <c r="J5" s="107" t="s">
        <v>152</v>
      </c>
      <c r="K5" s="107" t="s">
        <v>152</v>
      </c>
      <c r="L5" s="107" t="s">
        <v>152</v>
      </c>
      <c r="M5" s="107" t="s">
        <v>152</v>
      </c>
      <c r="N5" s="107" t="s">
        <v>152</v>
      </c>
      <c r="O5" s="107" t="s">
        <v>152</v>
      </c>
      <c r="P5" s="107" t="s">
        <v>152</v>
      </c>
      <c r="Q5" s="107" t="s">
        <v>152</v>
      </c>
      <c r="R5" s="286">
        <v>24496</v>
      </c>
    </row>
    <row r="6" spans="1:21" s="63" customFormat="1" ht="15.6" x14ac:dyDescent="0.3">
      <c r="A6" s="75" t="s">
        <v>25</v>
      </c>
      <c r="B6" s="170" t="s">
        <v>152</v>
      </c>
      <c r="C6" s="67" t="s">
        <v>152</v>
      </c>
      <c r="D6" s="67" t="s">
        <v>152</v>
      </c>
      <c r="E6" s="67" t="s">
        <v>152</v>
      </c>
      <c r="F6" s="67" t="s">
        <v>152</v>
      </c>
      <c r="G6" s="107" t="s">
        <v>152</v>
      </c>
      <c r="H6" s="107" t="s">
        <v>152</v>
      </c>
      <c r="I6" s="107" t="s">
        <v>152</v>
      </c>
      <c r="J6" s="107" t="s">
        <v>152</v>
      </c>
      <c r="K6" s="107" t="s">
        <v>152</v>
      </c>
      <c r="L6" s="107" t="s">
        <v>152</v>
      </c>
      <c r="M6" s="107" t="s">
        <v>152</v>
      </c>
      <c r="N6" s="107" t="s">
        <v>152</v>
      </c>
      <c r="O6" s="107" t="s">
        <v>152</v>
      </c>
      <c r="P6" s="107" t="s">
        <v>152</v>
      </c>
      <c r="Q6" s="107" t="s">
        <v>152</v>
      </c>
      <c r="R6" s="287">
        <v>20152</v>
      </c>
    </row>
    <row r="7" spans="1:21" s="63" customFormat="1" ht="15.6" x14ac:dyDescent="0.3">
      <c r="A7" s="75" t="s">
        <v>26</v>
      </c>
      <c r="B7" s="170" t="s">
        <v>152</v>
      </c>
      <c r="C7" s="67" t="s">
        <v>152</v>
      </c>
      <c r="D7" s="67" t="s">
        <v>152</v>
      </c>
      <c r="E7" s="67" t="s">
        <v>152</v>
      </c>
      <c r="F7" s="67" t="s">
        <v>152</v>
      </c>
      <c r="G7" s="107" t="s">
        <v>152</v>
      </c>
      <c r="H7" s="107" t="s">
        <v>152</v>
      </c>
      <c r="I7" s="107" t="s">
        <v>152</v>
      </c>
      <c r="J7" s="107" t="s">
        <v>152</v>
      </c>
      <c r="K7" s="107" t="s">
        <v>152</v>
      </c>
      <c r="L7" s="107" t="s">
        <v>152</v>
      </c>
      <c r="M7" s="107" t="s">
        <v>152</v>
      </c>
      <c r="N7" s="107" t="s">
        <v>152</v>
      </c>
      <c r="O7" s="107" t="s">
        <v>152</v>
      </c>
      <c r="P7" s="107" t="s">
        <v>152</v>
      </c>
      <c r="Q7" s="107" t="s">
        <v>152</v>
      </c>
      <c r="R7" s="287">
        <v>18730</v>
      </c>
    </row>
    <row r="8" spans="1:21" s="63" customFormat="1" ht="15.6" x14ac:dyDescent="0.3">
      <c r="A8" s="75" t="s">
        <v>27</v>
      </c>
      <c r="B8" s="170" t="s">
        <v>152</v>
      </c>
      <c r="C8" s="67" t="s">
        <v>152</v>
      </c>
      <c r="D8" s="67" t="s">
        <v>152</v>
      </c>
      <c r="E8" s="67" t="s">
        <v>152</v>
      </c>
      <c r="F8" s="67" t="s">
        <v>152</v>
      </c>
      <c r="G8" s="107" t="s">
        <v>152</v>
      </c>
      <c r="H8" s="107" t="s">
        <v>152</v>
      </c>
      <c r="I8" s="107" t="s">
        <v>152</v>
      </c>
      <c r="J8" s="107" t="s">
        <v>152</v>
      </c>
      <c r="K8" s="107" t="s">
        <v>152</v>
      </c>
      <c r="L8" s="107" t="s">
        <v>152</v>
      </c>
      <c r="M8" s="107" t="s">
        <v>152</v>
      </c>
      <c r="N8" s="107" t="s">
        <v>152</v>
      </c>
      <c r="O8" s="107" t="s">
        <v>152</v>
      </c>
      <c r="P8" s="107" t="s">
        <v>152</v>
      </c>
      <c r="Q8" s="107" t="s">
        <v>152</v>
      </c>
      <c r="R8" s="287">
        <v>21870</v>
      </c>
    </row>
    <row r="9" spans="1:21" s="63" customFormat="1" ht="15.6" x14ac:dyDescent="0.3">
      <c r="A9" s="75" t="s">
        <v>28</v>
      </c>
      <c r="B9" s="170" t="s">
        <v>152</v>
      </c>
      <c r="C9" s="67" t="s">
        <v>152</v>
      </c>
      <c r="D9" s="67" t="s">
        <v>152</v>
      </c>
      <c r="E9" s="67" t="s">
        <v>152</v>
      </c>
      <c r="F9" s="67" t="s">
        <v>152</v>
      </c>
      <c r="G9" s="107" t="s">
        <v>152</v>
      </c>
      <c r="H9" s="107" t="s">
        <v>152</v>
      </c>
      <c r="I9" s="107" t="s">
        <v>152</v>
      </c>
      <c r="J9" s="107" t="s">
        <v>152</v>
      </c>
      <c r="K9" s="107" t="s">
        <v>152</v>
      </c>
      <c r="L9" s="107" t="s">
        <v>152</v>
      </c>
      <c r="M9" s="107" t="s">
        <v>152</v>
      </c>
      <c r="N9" s="107" t="s">
        <v>152</v>
      </c>
      <c r="O9" s="107" t="s">
        <v>152</v>
      </c>
      <c r="P9" s="107" t="s">
        <v>152</v>
      </c>
      <c r="Q9" s="107" t="s">
        <v>152</v>
      </c>
      <c r="R9" s="287">
        <v>23753</v>
      </c>
    </row>
    <row r="10" spans="1:21" s="63" customFormat="1" ht="15.6" x14ac:dyDescent="0.3">
      <c r="A10" s="75" t="s">
        <v>29</v>
      </c>
      <c r="B10" s="170" t="s">
        <v>152</v>
      </c>
      <c r="C10" s="67" t="s">
        <v>152</v>
      </c>
      <c r="D10" s="67" t="s">
        <v>152</v>
      </c>
      <c r="E10" s="67" t="s">
        <v>152</v>
      </c>
      <c r="F10" s="67" t="s">
        <v>152</v>
      </c>
      <c r="G10" s="107" t="s">
        <v>152</v>
      </c>
      <c r="H10" s="107" t="s">
        <v>152</v>
      </c>
      <c r="I10" s="107" t="s">
        <v>152</v>
      </c>
      <c r="J10" s="107" t="s">
        <v>152</v>
      </c>
      <c r="K10" s="107" t="s">
        <v>152</v>
      </c>
      <c r="L10" s="107" t="s">
        <v>152</v>
      </c>
      <c r="M10" s="107" t="s">
        <v>152</v>
      </c>
      <c r="N10" s="107" t="s">
        <v>152</v>
      </c>
      <c r="O10" s="107" t="s">
        <v>152</v>
      </c>
      <c r="P10" s="107" t="s">
        <v>152</v>
      </c>
      <c r="Q10" s="107" t="s">
        <v>152</v>
      </c>
      <c r="R10" s="287">
        <v>30258</v>
      </c>
    </row>
    <row r="11" spans="1:21" s="63" customFormat="1" ht="15.6" x14ac:dyDescent="0.3">
      <c r="A11" s="75" t="s">
        <v>30</v>
      </c>
      <c r="B11" s="170" t="s">
        <v>152</v>
      </c>
      <c r="C11" s="67" t="s">
        <v>152</v>
      </c>
      <c r="D11" s="67" t="s">
        <v>152</v>
      </c>
      <c r="E11" s="67" t="s">
        <v>152</v>
      </c>
      <c r="F11" s="67" t="s">
        <v>152</v>
      </c>
      <c r="G11" s="107" t="s">
        <v>152</v>
      </c>
      <c r="H11" s="107" t="s">
        <v>152</v>
      </c>
      <c r="I11" s="107" t="s">
        <v>152</v>
      </c>
      <c r="J11" s="107" t="s">
        <v>152</v>
      </c>
      <c r="K11" s="107" t="s">
        <v>152</v>
      </c>
      <c r="L11" s="107" t="s">
        <v>152</v>
      </c>
      <c r="M11" s="107" t="s">
        <v>152</v>
      </c>
      <c r="N11" s="107" t="s">
        <v>152</v>
      </c>
      <c r="O11" s="107" t="s">
        <v>152</v>
      </c>
      <c r="P11" s="107" t="s">
        <v>152</v>
      </c>
      <c r="Q11" s="107" t="s">
        <v>152</v>
      </c>
      <c r="R11" s="291" t="s">
        <v>152</v>
      </c>
    </row>
    <row r="12" spans="1:21" s="63" customFormat="1" ht="15.6" x14ac:dyDescent="0.3">
      <c r="A12" s="75" t="s">
        <v>31</v>
      </c>
      <c r="B12" s="170" t="s">
        <v>152</v>
      </c>
      <c r="C12" s="67" t="s">
        <v>152</v>
      </c>
      <c r="D12" s="67" t="s">
        <v>152</v>
      </c>
      <c r="E12" s="67" t="s">
        <v>152</v>
      </c>
      <c r="F12" s="67" t="s">
        <v>152</v>
      </c>
      <c r="G12" s="107" t="s">
        <v>152</v>
      </c>
      <c r="H12" s="107" t="s">
        <v>152</v>
      </c>
      <c r="I12" s="107" t="s">
        <v>152</v>
      </c>
      <c r="J12" s="107" t="s">
        <v>152</v>
      </c>
      <c r="K12" s="107" t="s">
        <v>152</v>
      </c>
      <c r="L12" s="107" t="s">
        <v>152</v>
      </c>
      <c r="M12" s="107" t="s">
        <v>152</v>
      </c>
      <c r="N12" s="107" t="s">
        <v>152</v>
      </c>
      <c r="O12" s="107" t="s">
        <v>152</v>
      </c>
      <c r="P12" s="107" t="s">
        <v>152</v>
      </c>
      <c r="Q12" s="174" t="s">
        <v>152</v>
      </c>
      <c r="R12" s="295" t="s">
        <v>152</v>
      </c>
    </row>
    <row r="13" spans="1:21" s="63" customFormat="1" ht="15.6" x14ac:dyDescent="0.3">
      <c r="A13" s="75" t="s">
        <v>32</v>
      </c>
      <c r="B13" s="170" t="s">
        <v>152</v>
      </c>
      <c r="C13" s="67" t="s">
        <v>152</v>
      </c>
      <c r="D13" s="67" t="s">
        <v>152</v>
      </c>
      <c r="E13" s="67" t="s">
        <v>152</v>
      </c>
      <c r="F13" s="67" t="s">
        <v>152</v>
      </c>
      <c r="G13" s="107" t="s">
        <v>152</v>
      </c>
      <c r="H13" s="107" t="s">
        <v>152</v>
      </c>
      <c r="I13" s="107" t="s">
        <v>152</v>
      </c>
      <c r="J13" s="107" t="s">
        <v>152</v>
      </c>
      <c r="K13" s="107" t="s">
        <v>152</v>
      </c>
      <c r="L13" s="107" t="s">
        <v>152</v>
      </c>
      <c r="M13" s="107" t="s">
        <v>152</v>
      </c>
      <c r="N13" s="107" t="s">
        <v>152</v>
      </c>
      <c r="O13" s="107" t="s">
        <v>152</v>
      </c>
      <c r="P13" s="107" t="s">
        <v>152</v>
      </c>
      <c r="Q13" s="107" t="s">
        <v>152</v>
      </c>
      <c r="R13" s="295" t="s">
        <v>152</v>
      </c>
    </row>
    <row r="14" spans="1:21" s="63" customFormat="1" ht="15.6" x14ac:dyDescent="0.3">
      <c r="A14" s="75" t="s">
        <v>33</v>
      </c>
      <c r="B14" s="170" t="s">
        <v>152</v>
      </c>
      <c r="C14" s="67" t="s">
        <v>152</v>
      </c>
      <c r="D14" s="67" t="s">
        <v>152</v>
      </c>
      <c r="E14" s="67" t="s">
        <v>152</v>
      </c>
      <c r="F14" s="67" t="s">
        <v>152</v>
      </c>
      <c r="G14" s="107" t="s">
        <v>152</v>
      </c>
      <c r="H14" s="107" t="s">
        <v>152</v>
      </c>
      <c r="I14" s="107" t="s">
        <v>152</v>
      </c>
      <c r="J14" s="107" t="s">
        <v>152</v>
      </c>
      <c r="K14" s="107" t="s">
        <v>152</v>
      </c>
      <c r="L14" s="107" t="s">
        <v>152</v>
      </c>
      <c r="M14" s="107" t="s">
        <v>152</v>
      </c>
      <c r="N14" s="107" t="s">
        <v>152</v>
      </c>
      <c r="O14" s="107" t="s">
        <v>152</v>
      </c>
      <c r="P14" s="107" t="s">
        <v>152</v>
      </c>
      <c r="Q14" s="271">
        <v>48</v>
      </c>
      <c r="R14" s="295" t="s">
        <v>152</v>
      </c>
    </row>
    <row r="15" spans="1:21" s="63" customFormat="1" ht="15.6" x14ac:dyDescent="0.3">
      <c r="A15" s="75" t="s">
        <v>34</v>
      </c>
      <c r="B15" s="170" t="s">
        <v>152</v>
      </c>
      <c r="C15" s="67" t="s">
        <v>152</v>
      </c>
      <c r="D15" s="67" t="s">
        <v>152</v>
      </c>
      <c r="E15" s="67" t="s">
        <v>152</v>
      </c>
      <c r="F15" s="67" t="s">
        <v>152</v>
      </c>
      <c r="G15" s="107" t="s">
        <v>152</v>
      </c>
      <c r="H15" s="107" t="s">
        <v>152</v>
      </c>
      <c r="I15" s="107" t="s">
        <v>152</v>
      </c>
      <c r="J15" s="107" t="s">
        <v>152</v>
      </c>
      <c r="K15" s="107" t="s">
        <v>152</v>
      </c>
      <c r="L15" s="107" t="s">
        <v>152</v>
      </c>
      <c r="M15" s="107" t="s">
        <v>152</v>
      </c>
      <c r="N15" s="107" t="s">
        <v>152</v>
      </c>
      <c r="O15" s="107" t="s">
        <v>152</v>
      </c>
      <c r="P15" s="107" t="s">
        <v>152</v>
      </c>
      <c r="Q15" s="66">
        <v>20957</v>
      </c>
      <c r="R15" s="295" t="s">
        <v>152</v>
      </c>
    </row>
    <row r="16" spans="1:21" s="63" customFormat="1" ht="16.2" thickBot="1" x14ac:dyDescent="0.35">
      <c r="A16" s="88" t="s">
        <v>36</v>
      </c>
      <c r="B16" s="87" t="s">
        <v>152</v>
      </c>
      <c r="C16" s="72" t="s">
        <v>152</v>
      </c>
      <c r="D16" s="72" t="s">
        <v>152</v>
      </c>
      <c r="E16" s="72" t="s">
        <v>152</v>
      </c>
      <c r="F16" s="72" t="s">
        <v>152</v>
      </c>
      <c r="G16" s="192" t="s">
        <v>152</v>
      </c>
      <c r="H16" s="192" t="s">
        <v>152</v>
      </c>
      <c r="I16" s="192" t="s">
        <v>152</v>
      </c>
      <c r="J16" s="192" t="s">
        <v>152</v>
      </c>
      <c r="K16" s="192" t="s">
        <v>152</v>
      </c>
      <c r="L16" s="192" t="s">
        <v>152</v>
      </c>
      <c r="M16" s="192" t="s">
        <v>152</v>
      </c>
      <c r="N16" s="192" t="s">
        <v>152</v>
      </c>
      <c r="O16" s="192" t="s">
        <v>152</v>
      </c>
      <c r="P16" s="192" t="s">
        <v>152</v>
      </c>
      <c r="Q16" s="71">
        <v>18631</v>
      </c>
      <c r="R16" s="292" t="s">
        <v>152</v>
      </c>
    </row>
    <row r="17" spans="1:18" s="63" customFormat="1" ht="16.2" thickTop="1" x14ac:dyDescent="0.3">
      <c r="A17" s="89" t="s">
        <v>37</v>
      </c>
      <c r="B17" s="90" t="s">
        <v>152</v>
      </c>
      <c r="C17" s="73" t="s">
        <v>152</v>
      </c>
      <c r="D17" s="73" t="s">
        <v>152</v>
      </c>
      <c r="E17" s="73" t="s">
        <v>152</v>
      </c>
      <c r="F17" s="73" t="s">
        <v>152</v>
      </c>
      <c r="G17" s="273">
        <f t="shared" ref="G17:R17" si="0">SUM(G5:G16)</f>
        <v>0</v>
      </c>
      <c r="H17" s="273">
        <f t="shared" si="0"/>
        <v>0</v>
      </c>
      <c r="I17" s="273">
        <f t="shared" si="0"/>
        <v>0</v>
      </c>
      <c r="J17" s="273">
        <f t="shared" si="0"/>
        <v>0</v>
      </c>
      <c r="K17" s="273">
        <f t="shared" si="0"/>
        <v>0</v>
      </c>
      <c r="L17" s="273">
        <f t="shared" si="0"/>
        <v>0</v>
      </c>
      <c r="M17" s="273">
        <f t="shared" si="0"/>
        <v>0</v>
      </c>
      <c r="N17" s="273">
        <f t="shared" si="0"/>
        <v>0</v>
      </c>
      <c r="O17" s="273">
        <f t="shared" si="0"/>
        <v>0</v>
      </c>
      <c r="P17" s="273">
        <f t="shared" si="0"/>
        <v>0</v>
      </c>
      <c r="Q17" s="273">
        <f t="shared" si="0"/>
        <v>39636</v>
      </c>
      <c r="R17" s="288">
        <f t="shared" si="0"/>
        <v>139259</v>
      </c>
    </row>
    <row r="18" spans="1:18" s="113" customFormat="1" ht="6.6" x14ac:dyDescent="0.3">
      <c r="A18" s="371" t="s">
        <v>174</v>
      </c>
      <c r="B18" s="371"/>
      <c r="C18" s="371"/>
      <c r="D18" s="371"/>
      <c r="E18" s="371"/>
      <c r="F18" s="371"/>
      <c r="G18" s="371"/>
      <c r="H18" s="371"/>
      <c r="I18" s="371"/>
      <c r="J18" s="371"/>
      <c r="K18" s="371"/>
      <c r="L18" s="371"/>
      <c r="M18" s="371"/>
      <c r="N18" s="371"/>
      <c r="O18" s="371"/>
      <c r="P18" s="371"/>
      <c r="Q18" s="371"/>
      <c r="R18" s="371"/>
    </row>
    <row r="19" spans="1:18" s="106" customFormat="1" ht="18" x14ac:dyDescent="0.3">
      <c r="A19" s="395" t="s">
        <v>244</v>
      </c>
      <c r="B19" s="395"/>
      <c r="C19" s="395"/>
      <c r="D19" s="395"/>
      <c r="E19" s="395"/>
      <c r="F19" s="395"/>
      <c r="G19" s="395"/>
      <c r="H19" s="395"/>
      <c r="I19" s="395"/>
      <c r="J19" s="395"/>
      <c r="K19" s="395"/>
      <c r="L19" s="395"/>
      <c r="M19" s="395"/>
      <c r="N19" s="395"/>
      <c r="O19" s="395"/>
      <c r="P19" s="395"/>
      <c r="Q19" s="395"/>
      <c r="R19" s="395"/>
    </row>
    <row r="20" spans="1:18" s="63" customFormat="1" ht="15.6" x14ac:dyDescent="0.3">
      <c r="A20" s="77" t="s">
        <v>23</v>
      </c>
      <c r="B20" s="91">
        <v>2005</v>
      </c>
      <c r="C20" s="64">
        <v>2005</v>
      </c>
      <c r="D20" s="64">
        <v>2006</v>
      </c>
      <c r="E20" s="64">
        <v>2007</v>
      </c>
      <c r="F20" s="64">
        <v>2008</v>
      </c>
      <c r="G20" s="64">
        <v>2009</v>
      </c>
      <c r="H20" s="64">
        <v>2010</v>
      </c>
      <c r="I20" s="64">
        <v>2011</v>
      </c>
      <c r="J20" s="65">
        <v>2012</v>
      </c>
      <c r="K20" s="65">
        <v>2013</v>
      </c>
      <c r="L20" s="65">
        <v>2014</v>
      </c>
      <c r="M20" s="65">
        <v>2015</v>
      </c>
      <c r="N20" s="65">
        <v>2016</v>
      </c>
      <c r="O20" s="65">
        <v>2017</v>
      </c>
      <c r="P20" s="65">
        <v>2018</v>
      </c>
      <c r="Q20" s="336">
        <v>2019</v>
      </c>
      <c r="R20" s="337">
        <v>2020</v>
      </c>
    </row>
    <row r="21" spans="1:18" s="63" customFormat="1" ht="15.6" x14ac:dyDescent="0.3">
      <c r="A21" s="76" t="s">
        <v>24</v>
      </c>
      <c r="B21" s="108" t="s">
        <v>152</v>
      </c>
      <c r="C21" s="107" t="s">
        <v>152</v>
      </c>
      <c r="D21" s="107" t="s">
        <v>152</v>
      </c>
      <c r="E21" s="107" t="s">
        <v>152</v>
      </c>
      <c r="F21" s="107" t="s">
        <v>152</v>
      </c>
      <c r="G21" s="107" t="s">
        <v>152</v>
      </c>
      <c r="H21" s="107" t="s">
        <v>152</v>
      </c>
      <c r="I21" s="107" t="s">
        <v>152</v>
      </c>
      <c r="J21" s="107" t="s">
        <v>152</v>
      </c>
      <c r="K21" s="107" t="s">
        <v>152</v>
      </c>
      <c r="L21" s="107" t="s">
        <v>152</v>
      </c>
      <c r="M21" s="107" t="s">
        <v>152</v>
      </c>
      <c r="N21" s="107" t="s">
        <v>152</v>
      </c>
      <c r="O21" s="107" t="s">
        <v>152</v>
      </c>
      <c r="P21" s="107" t="s">
        <v>152</v>
      </c>
      <c r="Q21" s="107" t="s">
        <v>152</v>
      </c>
      <c r="R21" s="286">
        <v>598</v>
      </c>
    </row>
    <row r="22" spans="1:18" s="63" customFormat="1" ht="15.6" x14ac:dyDescent="0.3">
      <c r="A22" s="75" t="s">
        <v>25</v>
      </c>
      <c r="B22" s="170" t="s">
        <v>152</v>
      </c>
      <c r="C22" s="67" t="s">
        <v>152</v>
      </c>
      <c r="D22" s="67" t="s">
        <v>152</v>
      </c>
      <c r="E22" s="67" t="s">
        <v>152</v>
      </c>
      <c r="F22" s="67" t="s">
        <v>152</v>
      </c>
      <c r="G22" s="107" t="s">
        <v>152</v>
      </c>
      <c r="H22" s="107" t="s">
        <v>152</v>
      </c>
      <c r="I22" s="107" t="s">
        <v>152</v>
      </c>
      <c r="J22" s="107" t="s">
        <v>152</v>
      </c>
      <c r="K22" s="107" t="s">
        <v>152</v>
      </c>
      <c r="L22" s="107" t="s">
        <v>152</v>
      </c>
      <c r="M22" s="107" t="s">
        <v>152</v>
      </c>
      <c r="N22" s="107" t="s">
        <v>152</v>
      </c>
      <c r="O22" s="107" t="s">
        <v>152</v>
      </c>
      <c r="P22" s="107" t="s">
        <v>152</v>
      </c>
      <c r="Q22" s="107" t="s">
        <v>152</v>
      </c>
      <c r="R22" s="287">
        <v>893</v>
      </c>
    </row>
    <row r="23" spans="1:18" s="63" customFormat="1" ht="15.6" x14ac:dyDescent="0.3">
      <c r="A23" s="75" t="s">
        <v>26</v>
      </c>
      <c r="B23" s="170" t="s">
        <v>152</v>
      </c>
      <c r="C23" s="67" t="s">
        <v>152</v>
      </c>
      <c r="D23" s="67" t="s">
        <v>152</v>
      </c>
      <c r="E23" s="67" t="s">
        <v>152</v>
      </c>
      <c r="F23" s="67" t="s">
        <v>152</v>
      </c>
      <c r="G23" s="107" t="s">
        <v>152</v>
      </c>
      <c r="H23" s="107" t="s">
        <v>152</v>
      </c>
      <c r="I23" s="107" t="s">
        <v>152</v>
      </c>
      <c r="J23" s="107" t="s">
        <v>152</v>
      </c>
      <c r="K23" s="107" t="s">
        <v>152</v>
      </c>
      <c r="L23" s="107" t="s">
        <v>152</v>
      </c>
      <c r="M23" s="107" t="s">
        <v>152</v>
      </c>
      <c r="N23" s="107" t="s">
        <v>152</v>
      </c>
      <c r="O23" s="107" t="s">
        <v>152</v>
      </c>
      <c r="P23" s="107" t="s">
        <v>152</v>
      </c>
      <c r="Q23" s="107" t="s">
        <v>152</v>
      </c>
      <c r="R23" s="287">
        <v>365</v>
      </c>
    </row>
    <row r="24" spans="1:18" s="63" customFormat="1" ht="15.6" x14ac:dyDescent="0.3">
      <c r="A24" s="75" t="s">
        <v>27</v>
      </c>
      <c r="B24" s="170" t="s">
        <v>152</v>
      </c>
      <c r="C24" s="67" t="s">
        <v>152</v>
      </c>
      <c r="D24" s="67" t="s">
        <v>152</v>
      </c>
      <c r="E24" s="67" t="s">
        <v>152</v>
      </c>
      <c r="F24" s="67" t="s">
        <v>152</v>
      </c>
      <c r="G24" s="107" t="s">
        <v>152</v>
      </c>
      <c r="H24" s="107" t="s">
        <v>152</v>
      </c>
      <c r="I24" s="107" t="s">
        <v>152</v>
      </c>
      <c r="J24" s="107" t="s">
        <v>152</v>
      </c>
      <c r="K24" s="107" t="s">
        <v>152</v>
      </c>
      <c r="L24" s="107" t="s">
        <v>152</v>
      </c>
      <c r="M24" s="107" t="s">
        <v>152</v>
      </c>
      <c r="N24" s="107" t="s">
        <v>152</v>
      </c>
      <c r="O24" s="107" t="s">
        <v>152</v>
      </c>
      <c r="P24" s="107" t="s">
        <v>152</v>
      </c>
      <c r="Q24" s="107" t="s">
        <v>152</v>
      </c>
      <c r="R24" s="287">
        <v>395</v>
      </c>
    </row>
    <row r="25" spans="1:18" s="63" customFormat="1" ht="15.6" x14ac:dyDescent="0.3">
      <c r="A25" s="75" t="s">
        <v>28</v>
      </c>
      <c r="B25" s="170" t="s">
        <v>152</v>
      </c>
      <c r="C25" s="67" t="s">
        <v>152</v>
      </c>
      <c r="D25" s="67" t="s">
        <v>152</v>
      </c>
      <c r="E25" s="67" t="s">
        <v>152</v>
      </c>
      <c r="F25" s="67" t="s">
        <v>152</v>
      </c>
      <c r="G25" s="107" t="s">
        <v>152</v>
      </c>
      <c r="H25" s="107" t="s">
        <v>152</v>
      </c>
      <c r="I25" s="107" t="s">
        <v>152</v>
      </c>
      <c r="J25" s="107" t="s">
        <v>152</v>
      </c>
      <c r="K25" s="107" t="s">
        <v>152</v>
      </c>
      <c r="L25" s="107" t="s">
        <v>152</v>
      </c>
      <c r="M25" s="107" t="s">
        <v>152</v>
      </c>
      <c r="N25" s="107" t="s">
        <v>152</v>
      </c>
      <c r="O25" s="107" t="s">
        <v>152</v>
      </c>
      <c r="P25" s="107" t="s">
        <v>152</v>
      </c>
      <c r="Q25" s="107" t="s">
        <v>152</v>
      </c>
      <c r="R25" s="287">
        <v>593</v>
      </c>
    </row>
    <row r="26" spans="1:18" s="63" customFormat="1" ht="15.6" x14ac:dyDescent="0.3">
      <c r="A26" s="75" t="s">
        <v>29</v>
      </c>
      <c r="B26" s="170" t="s">
        <v>152</v>
      </c>
      <c r="C26" s="67" t="s">
        <v>152</v>
      </c>
      <c r="D26" s="67" t="s">
        <v>152</v>
      </c>
      <c r="E26" s="67" t="s">
        <v>152</v>
      </c>
      <c r="F26" s="67" t="s">
        <v>152</v>
      </c>
      <c r="G26" s="107" t="s">
        <v>152</v>
      </c>
      <c r="H26" s="107" t="s">
        <v>152</v>
      </c>
      <c r="I26" s="107" t="s">
        <v>152</v>
      </c>
      <c r="J26" s="107" t="s">
        <v>152</v>
      </c>
      <c r="K26" s="107" t="s">
        <v>152</v>
      </c>
      <c r="L26" s="107" t="s">
        <v>152</v>
      </c>
      <c r="M26" s="107" t="s">
        <v>152</v>
      </c>
      <c r="N26" s="107" t="s">
        <v>152</v>
      </c>
      <c r="O26" s="107" t="s">
        <v>152</v>
      </c>
      <c r="P26" s="107" t="s">
        <v>152</v>
      </c>
      <c r="Q26" s="107" t="s">
        <v>152</v>
      </c>
      <c r="R26" s="287">
        <v>656</v>
      </c>
    </row>
    <row r="27" spans="1:18" s="63" customFormat="1" ht="15.6" x14ac:dyDescent="0.3">
      <c r="A27" s="75" t="s">
        <v>30</v>
      </c>
      <c r="B27" s="170" t="s">
        <v>152</v>
      </c>
      <c r="C27" s="67" t="s">
        <v>152</v>
      </c>
      <c r="D27" s="67" t="s">
        <v>152</v>
      </c>
      <c r="E27" s="67" t="s">
        <v>152</v>
      </c>
      <c r="F27" s="67" t="s">
        <v>152</v>
      </c>
      <c r="G27" s="107" t="s">
        <v>152</v>
      </c>
      <c r="H27" s="107" t="s">
        <v>152</v>
      </c>
      <c r="I27" s="107" t="s">
        <v>152</v>
      </c>
      <c r="J27" s="107" t="s">
        <v>152</v>
      </c>
      <c r="K27" s="107" t="s">
        <v>152</v>
      </c>
      <c r="L27" s="107" t="s">
        <v>152</v>
      </c>
      <c r="M27" s="107" t="s">
        <v>152</v>
      </c>
      <c r="N27" s="107" t="s">
        <v>152</v>
      </c>
      <c r="O27" s="107" t="s">
        <v>152</v>
      </c>
      <c r="P27" s="107" t="s">
        <v>152</v>
      </c>
      <c r="Q27" s="174" t="s">
        <v>152</v>
      </c>
      <c r="R27" s="291" t="s">
        <v>152</v>
      </c>
    </row>
    <row r="28" spans="1:18" s="63" customFormat="1" ht="15.6" x14ac:dyDescent="0.3">
      <c r="A28" s="75" t="s">
        <v>31</v>
      </c>
      <c r="B28" s="170" t="s">
        <v>152</v>
      </c>
      <c r="C28" s="67" t="s">
        <v>152</v>
      </c>
      <c r="D28" s="67" t="s">
        <v>152</v>
      </c>
      <c r="E28" s="67" t="s">
        <v>152</v>
      </c>
      <c r="F28" s="67" t="s">
        <v>152</v>
      </c>
      <c r="G28" s="107" t="s">
        <v>152</v>
      </c>
      <c r="H28" s="107" t="s">
        <v>152</v>
      </c>
      <c r="I28" s="107" t="s">
        <v>152</v>
      </c>
      <c r="J28" s="107" t="s">
        <v>152</v>
      </c>
      <c r="K28" s="107" t="s">
        <v>152</v>
      </c>
      <c r="L28" s="107" t="s">
        <v>152</v>
      </c>
      <c r="M28" s="107" t="s">
        <v>152</v>
      </c>
      <c r="N28" s="107" t="s">
        <v>152</v>
      </c>
      <c r="O28" s="107" t="s">
        <v>152</v>
      </c>
      <c r="P28" s="107" t="s">
        <v>152</v>
      </c>
      <c r="Q28" s="107" t="s">
        <v>152</v>
      </c>
      <c r="R28" s="295" t="s">
        <v>152</v>
      </c>
    </row>
    <row r="29" spans="1:18" s="63" customFormat="1" ht="15.6" x14ac:dyDescent="0.3">
      <c r="A29" s="75" t="s">
        <v>32</v>
      </c>
      <c r="B29" s="170" t="s">
        <v>152</v>
      </c>
      <c r="C29" s="67" t="s">
        <v>152</v>
      </c>
      <c r="D29" s="67" t="s">
        <v>152</v>
      </c>
      <c r="E29" s="67" t="s">
        <v>152</v>
      </c>
      <c r="F29" s="67" t="s">
        <v>152</v>
      </c>
      <c r="G29" s="107" t="s">
        <v>152</v>
      </c>
      <c r="H29" s="107" t="s">
        <v>152</v>
      </c>
      <c r="I29" s="107" t="s">
        <v>152</v>
      </c>
      <c r="J29" s="107" t="s">
        <v>152</v>
      </c>
      <c r="K29" s="107" t="s">
        <v>152</v>
      </c>
      <c r="L29" s="107" t="s">
        <v>152</v>
      </c>
      <c r="M29" s="107" t="s">
        <v>152</v>
      </c>
      <c r="N29" s="107" t="s">
        <v>152</v>
      </c>
      <c r="O29" s="107" t="s">
        <v>152</v>
      </c>
      <c r="P29" s="107" t="s">
        <v>152</v>
      </c>
      <c r="Q29" s="107" t="s">
        <v>152</v>
      </c>
      <c r="R29" s="295" t="s">
        <v>152</v>
      </c>
    </row>
    <row r="30" spans="1:18" s="63" customFormat="1" ht="15.6" x14ac:dyDescent="0.3">
      <c r="A30" s="75" t="s">
        <v>33</v>
      </c>
      <c r="B30" s="170" t="s">
        <v>152</v>
      </c>
      <c r="C30" s="67" t="s">
        <v>152</v>
      </c>
      <c r="D30" s="67" t="s">
        <v>152</v>
      </c>
      <c r="E30" s="67" t="s">
        <v>152</v>
      </c>
      <c r="F30" s="67" t="s">
        <v>152</v>
      </c>
      <c r="G30" s="107" t="s">
        <v>152</v>
      </c>
      <c r="H30" s="107" t="s">
        <v>152</v>
      </c>
      <c r="I30" s="107" t="s">
        <v>152</v>
      </c>
      <c r="J30" s="107" t="s">
        <v>152</v>
      </c>
      <c r="K30" s="107" t="s">
        <v>152</v>
      </c>
      <c r="L30" s="107" t="s">
        <v>152</v>
      </c>
      <c r="M30" s="107" t="s">
        <v>152</v>
      </c>
      <c r="N30" s="107" t="s">
        <v>152</v>
      </c>
      <c r="O30" s="107" t="s">
        <v>152</v>
      </c>
      <c r="P30" s="107" t="s">
        <v>152</v>
      </c>
      <c r="Q30" s="271">
        <v>0</v>
      </c>
      <c r="R30" s="295" t="s">
        <v>152</v>
      </c>
    </row>
    <row r="31" spans="1:18" s="63" customFormat="1" ht="15.6" x14ac:dyDescent="0.3">
      <c r="A31" s="75" t="s">
        <v>34</v>
      </c>
      <c r="B31" s="170" t="s">
        <v>152</v>
      </c>
      <c r="C31" s="67" t="s">
        <v>152</v>
      </c>
      <c r="D31" s="67" t="s">
        <v>152</v>
      </c>
      <c r="E31" s="67" t="s">
        <v>152</v>
      </c>
      <c r="F31" s="67" t="s">
        <v>152</v>
      </c>
      <c r="G31" s="107" t="s">
        <v>152</v>
      </c>
      <c r="H31" s="107" t="s">
        <v>152</v>
      </c>
      <c r="I31" s="107" t="s">
        <v>152</v>
      </c>
      <c r="J31" s="107" t="s">
        <v>152</v>
      </c>
      <c r="K31" s="107" t="s">
        <v>152</v>
      </c>
      <c r="L31" s="107" t="s">
        <v>152</v>
      </c>
      <c r="M31" s="107" t="s">
        <v>152</v>
      </c>
      <c r="N31" s="107" t="s">
        <v>152</v>
      </c>
      <c r="O31" s="107" t="s">
        <v>152</v>
      </c>
      <c r="P31" s="107" t="s">
        <v>152</v>
      </c>
      <c r="Q31" s="66">
        <v>277</v>
      </c>
      <c r="R31" s="295" t="s">
        <v>152</v>
      </c>
    </row>
    <row r="32" spans="1:18" s="63" customFormat="1" ht="16.2" thickBot="1" x14ac:dyDescent="0.35">
      <c r="A32" s="88" t="s">
        <v>36</v>
      </c>
      <c r="B32" s="87" t="s">
        <v>152</v>
      </c>
      <c r="C32" s="72" t="s">
        <v>152</v>
      </c>
      <c r="D32" s="72" t="s">
        <v>152</v>
      </c>
      <c r="E32" s="72" t="s">
        <v>152</v>
      </c>
      <c r="F32" s="72" t="s">
        <v>152</v>
      </c>
      <c r="G32" s="192" t="s">
        <v>152</v>
      </c>
      <c r="H32" s="192" t="s">
        <v>152</v>
      </c>
      <c r="I32" s="192" t="s">
        <v>152</v>
      </c>
      <c r="J32" s="192" t="s">
        <v>152</v>
      </c>
      <c r="K32" s="192" t="s">
        <v>152</v>
      </c>
      <c r="L32" s="192" t="s">
        <v>152</v>
      </c>
      <c r="M32" s="192" t="s">
        <v>152</v>
      </c>
      <c r="N32" s="192" t="s">
        <v>152</v>
      </c>
      <c r="O32" s="192" t="s">
        <v>152</v>
      </c>
      <c r="P32" s="192" t="s">
        <v>152</v>
      </c>
      <c r="Q32" s="71">
        <v>688</v>
      </c>
      <c r="R32" s="292" t="s">
        <v>152</v>
      </c>
    </row>
    <row r="33" spans="1:18" s="63" customFormat="1" ht="16.2" thickTop="1" x14ac:dyDescent="0.3">
      <c r="A33" s="89" t="s">
        <v>37</v>
      </c>
      <c r="B33" s="90" t="s">
        <v>152</v>
      </c>
      <c r="C33" s="73" t="s">
        <v>152</v>
      </c>
      <c r="D33" s="73" t="s">
        <v>152</v>
      </c>
      <c r="E33" s="73" t="s">
        <v>152</v>
      </c>
      <c r="F33" s="73" t="s">
        <v>152</v>
      </c>
      <c r="G33" s="273">
        <f t="shared" ref="G33:R33" si="1">SUM(G21:G32)</f>
        <v>0</v>
      </c>
      <c r="H33" s="273">
        <f t="shared" si="1"/>
        <v>0</v>
      </c>
      <c r="I33" s="273">
        <f t="shared" si="1"/>
        <v>0</v>
      </c>
      <c r="J33" s="273">
        <f t="shared" si="1"/>
        <v>0</v>
      </c>
      <c r="K33" s="273">
        <f t="shared" si="1"/>
        <v>0</v>
      </c>
      <c r="L33" s="273">
        <f t="shared" si="1"/>
        <v>0</v>
      </c>
      <c r="M33" s="273">
        <f t="shared" si="1"/>
        <v>0</v>
      </c>
      <c r="N33" s="273">
        <f t="shared" si="1"/>
        <v>0</v>
      </c>
      <c r="O33" s="273">
        <f t="shared" si="1"/>
        <v>0</v>
      </c>
      <c r="P33" s="273">
        <f t="shared" si="1"/>
        <v>0</v>
      </c>
      <c r="Q33" s="273">
        <f t="shared" si="1"/>
        <v>965</v>
      </c>
      <c r="R33" s="288">
        <f t="shared" si="1"/>
        <v>3500</v>
      </c>
    </row>
    <row r="34" spans="1:18" s="113" customFormat="1" ht="6.6" x14ac:dyDescent="0.3">
      <c r="A34" s="371" t="s">
        <v>174</v>
      </c>
      <c r="B34" s="371"/>
      <c r="C34" s="371"/>
      <c r="D34" s="371"/>
      <c r="E34" s="371"/>
      <c r="F34" s="371"/>
      <c r="G34" s="371"/>
      <c r="H34" s="371"/>
      <c r="I34" s="371"/>
      <c r="J34" s="371"/>
      <c r="K34" s="371"/>
      <c r="L34" s="371"/>
      <c r="M34" s="371"/>
      <c r="N34" s="371"/>
      <c r="O34" s="371"/>
      <c r="P34" s="371"/>
      <c r="Q34" s="371"/>
      <c r="R34" s="371"/>
    </row>
    <row r="35" spans="1:18" s="106" customFormat="1" ht="18" x14ac:dyDescent="0.3">
      <c r="A35" s="370" t="s">
        <v>245</v>
      </c>
      <c r="B35" s="370"/>
      <c r="C35" s="370"/>
      <c r="D35" s="370"/>
      <c r="E35" s="370"/>
      <c r="F35" s="370"/>
      <c r="G35" s="370"/>
      <c r="H35" s="370"/>
      <c r="I35" s="370"/>
      <c r="J35" s="370"/>
      <c r="K35" s="370"/>
      <c r="L35" s="370"/>
      <c r="M35" s="370"/>
      <c r="N35" s="370"/>
      <c r="O35" s="370"/>
      <c r="P35" s="370"/>
      <c r="Q35" s="370"/>
      <c r="R35" s="370"/>
    </row>
    <row r="36" spans="1:18" s="63" customFormat="1" ht="15.6" x14ac:dyDescent="0.3">
      <c r="A36" s="77" t="s">
        <v>23</v>
      </c>
      <c r="B36" s="91">
        <v>2005</v>
      </c>
      <c r="C36" s="64">
        <v>2005</v>
      </c>
      <c r="D36" s="64">
        <v>2006</v>
      </c>
      <c r="E36" s="64">
        <v>2007</v>
      </c>
      <c r="F36" s="64">
        <v>2008</v>
      </c>
      <c r="G36" s="64">
        <v>2009</v>
      </c>
      <c r="H36" s="64">
        <v>2010</v>
      </c>
      <c r="I36" s="64">
        <v>2011</v>
      </c>
      <c r="J36" s="65">
        <v>2012</v>
      </c>
      <c r="K36" s="65">
        <v>2013</v>
      </c>
      <c r="L36" s="65">
        <v>2014</v>
      </c>
      <c r="M36" s="65">
        <v>2015</v>
      </c>
      <c r="N36" s="65">
        <v>2016</v>
      </c>
      <c r="O36" s="65">
        <v>2017</v>
      </c>
      <c r="P36" s="65">
        <v>2018</v>
      </c>
      <c r="Q36" s="336">
        <v>2019</v>
      </c>
      <c r="R36" s="337">
        <v>2020</v>
      </c>
    </row>
    <row r="37" spans="1:18" s="63" customFormat="1" ht="15.6" x14ac:dyDescent="0.3">
      <c r="A37" s="76" t="s">
        <v>24</v>
      </c>
      <c r="B37" s="108" t="s">
        <v>152</v>
      </c>
      <c r="C37" s="107" t="s">
        <v>152</v>
      </c>
      <c r="D37" s="107" t="s">
        <v>152</v>
      </c>
      <c r="E37" s="107" t="s">
        <v>152</v>
      </c>
      <c r="F37" s="107" t="s">
        <v>152</v>
      </c>
      <c r="G37" s="107" t="s">
        <v>152</v>
      </c>
      <c r="H37" s="107" t="s">
        <v>152</v>
      </c>
      <c r="I37" s="107" t="s">
        <v>152</v>
      </c>
      <c r="J37" s="107" t="s">
        <v>152</v>
      </c>
      <c r="K37" s="107" t="s">
        <v>152</v>
      </c>
      <c r="L37" s="107" t="s">
        <v>152</v>
      </c>
      <c r="M37" s="107" t="s">
        <v>152</v>
      </c>
      <c r="N37" s="107" t="s">
        <v>152</v>
      </c>
      <c r="O37" s="107" t="s">
        <v>152</v>
      </c>
      <c r="P37" s="107" t="s">
        <v>152</v>
      </c>
      <c r="Q37" s="107" t="s">
        <v>152</v>
      </c>
      <c r="R37" s="286">
        <v>0</v>
      </c>
    </row>
    <row r="38" spans="1:18" s="63" customFormat="1" ht="15.6" x14ac:dyDescent="0.3">
      <c r="A38" s="75" t="s">
        <v>25</v>
      </c>
      <c r="B38" s="170" t="s">
        <v>152</v>
      </c>
      <c r="C38" s="67" t="s">
        <v>152</v>
      </c>
      <c r="D38" s="67" t="s">
        <v>152</v>
      </c>
      <c r="E38" s="67" t="s">
        <v>152</v>
      </c>
      <c r="F38" s="67" t="s">
        <v>152</v>
      </c>
      <c r="G38" s="107" t="s">
        <v>152</v>
      </c>
      <c r="H38" s="107" t="s">
        <v>152</v>
      </c>
      <c r="I38" s="107" t="s">
        <v>152</v>
      </c>
      <c r="J38" s="107" t="s">
        <v>152</v>
      </c>
      <c r="K38" s="107" t="s">
        <v>152</v>
      </c>
      <c r="L38" s="107" t="s">
        <v>152</v>
      </c>
      <c r="M38" s="107" t="s">
        <v>152</v>
      </c>
      <c r="N38" s="107" t="s">
        <v>152</v>
      </c>
      <c r="O38" s="107" t="s">
        <v>152</v>
      </c>
      <c r="P38" s="107" t="s">
        <v>152</v>
      </c>
      <c r="Q38" s="107" t="s">
        <v>152</v>
      </c>
      <c r="R38" s="287">
        <v>0</v>
      </c>
    </row>
    <row r="39" spans="1:18" s="63" customFormat="1" ht="15.6" x14ac:dyDescent="0.3">
      <c r="A39" s="75" t="s">
        <v>26</v>
      </c>
      <c r="B39" s="170" t="s">
        <v>152</v>
      </c>
      <c r="C39" s="67" t="s">
        <v>152</v>
      </c>
      <c r="D39" s="67" t="s">
        <v>152</v>
      </c>
      <c r="E39" s="67" t="s">
        <v>152</v>
      </c>
      <c r="F39" s="67" t="s">
        <v>152</v>
      </c>
      <c r="G39" s="107" t="s">
        <v>152</v>
      </c>
      <c r="H39" s="107" t="s">
        <v>152</v>
      </c>
      <c r="I39" s="107" t="s">
        <v>152</v>
      </c>
      <c r="J39" s="107" t="s">
        <v>152</v>
      </c>
      <c r="K39" s="107" t="s">
        <v>152</v>
      </c>
      <c r="L39" s="107" t="s">
        <v>152</v>
      </c>
      <c r="M39" s="107" t="s">
        <v>152</v>
      </c>
      <c r="N39" s="107" t="s">
        <v>152</v>
      </c>
      <c r="O39" s="107" t="s">
        <v>152</v>
      </c>
      <c r="P39" s="107" t="s">
        <v>152</v>
      </c>
      <c r="Q39" s="107" t="s">
        <v>152</v>
      </c>
      <c r="R39" s="287">
        <v>0</v>
      </c>
    </row>
    <row r="40" spans="1:18" s="63" customFormat="1" ht="15.6" x14ac:dyDescent="0.3">
      <c r="A40" s="75" t="s">
        <v>27</v>
      </c>
      <c r="B40" s="170" t="s">
        <v>152</v>
      </c>
      <c r="C40" s="67" t="s">
        <v>152</v>
      </c>
      <c r="D40" s="67" t="s">
        <v>152</v>
      </c>
      <c r="E40" s="67" t="s">
        <v>152</v>
      </c>
      <c r="F40" s="67" t="s">
        <v>152</v>
      </c>
      <c r="G40" s="107" t="s">
        <v>152</v>
      </c>
      <c r="H40" s="107" t="s">
        <v>152</v>
      </c>
      <c r="I40" s="107" t="s">
        <v>152</v>
      </c>
      <c r="J40" s="107" t="s">
        <v>152</v>
      </c>
      <c r="K40" s="107" t="s">
        <v>152</v>
      </c>
      <c r="L40" s="107" t="s">
        <v>152</v>
      </c>
      <c r="M40" s="107" t="s">
        <v>152</v>
      </c>
      <c r="N40" s="107" t="s">
        <v>152</v>
      </c>
      <c r="O40" s="107" t="s">
        <v>152</v>
      </c>
      <c r="P40" s="107" t="s">
        <v>152</v>
      </c>
      <c r="Q40" s="174" t="s">
        <v>152</v>
      </c>
      <c r="R40" s="287">
        <v>0</v>
      </c>
    </row>
    <row r="41" spans="1:18" s="63" customFormat="1" ht="15.6" x14ac:dyDescent="0.3">
      <c r="A41" s="75" t="s">
        <v>28</v>
      </c>
      <c r="B41" s="170" t="s">
        <v>152</v>
      </c>
      <c r="C41" s="67" t="s">
        <v>152</v>
      </c>
      <c r="D41" s="67" t="s">
        <v>152</v>
      </c>
      <c r="E41" s="67" t="s">
        <v>152</v>
      </c>
      <c r="F41" s="67" t="s">
        <v>152</v>
      </c>
      <c r="G41" s="107" t="s">
        <v>152</v>
      </c>
      <c r="H41" s="107" t="s">
        <v>152</v>
      </c>
      <c r="I41" s="107" t="s">
        <v>152</v>
      </c>
      <c r="J41" s="107" t="s">
        <v>152</v>
      </c>
      <c r="K41" s="107" t="s">
        <v>152</v>
      </c>
      <c r="L41" s="107" t="s">
        <v>152</v>
      </c>
      <c r="M41" s="107" t="s">
        <v>152</v>
      </c>
      <c r="N41" s="107" t="s">
        <v>152</v>
      </c>
      <c r="O41" s="107" t="s">
        <v>152</v>
      </c>
      <c r="P41" s="107" t="s">
        <v>152</v>
      </c>
      <c r="Q41" s="107" t="s">
        <v>152</v>
      </c>
      <c r="R41" s="287">
        <v>-22</v>
      </c>
    </row>
    <row r="42" spans="1:18" s="63" customFormat="1" ht="15.6" x14ac:dyDescent="0.3">
      <c r="A42" s="75" t="s">
        <v>29</v>
      </c>
      <c r="B42" s="170" t="s">
        <v>152</v>
      </c>
      <c r="C42" s="67" t="s">
        <v>152</v>
      </c>
      <c r="D42" s="67" t="s">
        <v>152</v>
      </c>
      <c r="E42" s="67" t="s">
        <v>152</v>
      </c>
      <c r="F42" s="67" t="s">
        <v>152</v>
      </c>
      <c r="G42" s="107" t="s">
        <v>152</v>
      </c>
      <c r="H42" s="107" t="s">
        <v>152</v>
      </c>
      <c r="I42" s="107" t="s">
        <v>152</v>
      </c>
      <c r="J42" s="107" t="s">
        <v>152</v>
      </c>
      <c r="K42" s="107" t="s">
        <v>152</v>
      </c>
      <c r="L42" s="107" t="s">
        <v>152</v>
      </c>
      <c r="M42" s="107" t="s">
        <v>152</v>
      </c>
      <c r="N42" s="107" t="s">
        <v>152</v>
      </c>
      <c r="O42" s="107" t="s">
        <v>152</v>
      </c>
      <c r="P42" s="107" t="s">
        <v>152</v>
      </c>
      <c r="Q42" s="107" t="s">
        <v>152</v>
      </c>
      <c r="R42" s="287">
        <v>0</v>
      </c>
    </row>
    <row r="43" spans="1:18" s="63" customFormat="1" ht="15.6" x14ac:dyDescent="0.3">
      <c r="A43" s="75" t="s">
        <v>30</v>
      </c>
      <c r="B43" s="170" t="s">
        <v>152</v>
      </c>
      <c r="C43" s="67" t="s">
        <v>152</v>
      </c>
      <c r="D43" s="67" t="s">
        <v>152</v>
      </c>
      <c r="E43" s="67" t="s">
        <v>152</v>
      </c>
      <c r="F43" s="67" t="s">
        <v>152</v>
      </c>
      <c r="G43" s="107" t="s">
        <v>152</v>
      </c>
      <c r="H43" s="107" t="s">
        <v>152</v>
      </c>
      <c r="I43" s="107" t="s">
        <v>152</v>
      </c>
      <c r="J43" s="107" t="s">
        <v>152</v>
      </c>
      <c r="K43" s="107" t="s">
        <v>152</v>
      </c>
      <c r="L43" s="107" t="s">
        <v>152</v>
      </c>
      <c r="M43" s="107" t="s">
        <v>152</v>
      </c>
      <c r="N43" s="107" t="s">
        <v>152</v>
      </c>
      <c r="O43" s="107" t="s">
        <v>152</v>
      </c>
      <c r="P43" s="107" t="s">
        <v>152</v>
      </c>
      <c r="Q43" s="107" t="s">
        <v>152</v>
      </c>
      <c r="R43" s="291" t="s">
        <v>152</v>
      </c>
    </row>
    <row r="44" spans="1:18" s="63" customFormat="1" ht="15.6" x14ac:dyDescent="0.3">
      <c r="A44" s="75" t="s">
        <v>31</v>
      </c>
      <c r="B44" s="170" t="s">
        <v>152</v>
      </c>
      <c r="C44" s="67" t="s">
        <v>152</v>
      </c>
      <c r="D44" s="67" t="s">
        <v>152</v>
      </c>
      <c r="E44" s="67" t="s">
        <v>152</v>
      </c>
      <c r="F44" s="67" t="s">
        <v>152</v>
      </c>
      <c r="G44" s="107" t="s">
        <v>152</v>
      </c>
      <c r="H44" s="107" t="s">
        <v>152</v>
      </c>
      <c r="I44" s="107" t="s">
        <v>152</v>
      </c>
      <c r="J44" s="107" t="s">
        <v>152</v>
      </c>
      <c r="K44" s="107" t="s">
        <v>152</v>
      </c>
      <c r="L44" s="107" t="s">
        <v>152</v>
      </c>
      <c r="M44" s="107" t="s">
        <v>152</v>
      </c>
      <c r="N44" s="107" t="s">
        <v>152</v>
      </c>
      <c r="O44" s="107" t="s">
        <v>152</v>
      </c>
      <c r="P44" s="107" t="s">
        <v>152</v>
      </c>
      <c r="Q44" s="107" t="s">
        <v>152</v>
      </c>
      <c r="R44" s="295" t="s">
        <v>152</v>
      </c>
    </row>
    <row r="45" spans="1:18" s="63" customFormat="1" ht="15.6" x14ac:dyDescent="0.3">
      <c r="A45" s="75" t="s">
        <v>32</v>
      </c>
      <c r="B45" s="170" t="s">
        <v>152</v>
      </c>
      <c r="C45" s="67" t="s">
        <v>152</v>
      </c>
      <c r="D45" s="67" t="s">
        <v>152</v>
      </c>
      <c r="E45" s="67" t="s">
        <v>152</v>
      </c>
      <c r="F45" s="67" t="s">
        <v>152</v>
      </c>
      <c r="G45" s="107" t="s">
        <v>152</v>
      </c>
      <c r="H45" s="107" t="s">
        <v>152</v>
      </c>
      <c r="I45" s="107" t="s">
        <v>152</v>
      </c>
      <c r="J45" s="107" t="s">
        <v>152</v>
      </c>
      <c r="K45" s="107" t="s">
        <v>152</v>
      </c>
      <c r="L45" s="107" t="s">
        <v>152</v>
      </c>
      <c r="M45" s="107" t="s">
        <v>152</v>
      </c>
      <c r="N45" s="107" t="s">
        <v>152</v>
      </c>
      <c r="O45" s="107" t="s">
        <v>152</v>
      </c>
      <c r="P45" s="107" t="s">
        <v>152</v>
      </c>
      <c r="Q45" s="107" t="s">
        <v>152</v>
      </c>
      <c r="R45" s="295" t="s">
        <v>152</v>
      </c>
    </row>
    <row r="46" spans="1:18" s="63" customFormat="1" ht="15.6" x14ac:dyDescent="0.3">
      <c r="A46" s="75" t="s">
        <v>33</v>
      </c>
      <c r="B46" s="170" t="s">
        <v>152</v>
      </c>
      <c r="C46" s="67" t="s">
        <v>152</v>
      </c>
      <c r="D46" s="67" t="s">
        <v>152</v>
      </c>
      <c r="E46" s="67" t="s">
        <v>152</v>
      </c>
      <c r="F46" s="67" t="s">
        <v>152</v>
      </c>
      <c r="G46" s="107" t="s">
        <v>152</v>
      </c>
      <c r="H46" s="107" t="s">
        <v>152</v>
      </c>
      <c r="I46" s="107" t="s">
        <v>152</v>
      </c>
      <c r="J46" s="107" t="s">
        <v>152</v>
      </c>
      <c r="K46" s="107" t="s">
        <v>152</v>
      </c>
      <c r="L46" s="107" t="s">
        <v>152</v>
      </c>
      <c r="M46" s="107" t="s">
        <v>152</v>
      </c>
      <c r="N46" s="107" t="s">
        <v>152</v>
      </c>
      <c r="O46" s="107" t="s">
        <v>152</v>
      </c>
      <c r="P46" s="107" t="s">
        <v>152</v>
      </c>
      <c r="Q46" s="271">
        <v>0</v>
      </c>
      <c r="R46" s="295" t="s">
        <v>152</v>
      </c>
    </row>
    <row r="47" spans="1:18" s="63" customFormat="1" ht="15.6" x14ac:dyDescent="0.3">
      <c r="A47" s="75" t="s">
        <v>34</v>
      </c>
      <c r="B47" s="170" t="s">
        <v>152</v>
      </c>
      <c r="C47" s="67" t="s">
        <v>152</v>
      </c>
      <c r="D47" s="67" t="s">
        <v>152</v>
      </c>
      <c r="E47" s="67" t="s">
        <v>152</v>
      </c>
      <c r="F47" s="67" t="s">
        <v>152</v>
      </c>
      <c r="G47" s="107" t="s">
        <v>152</v>
      </c>
      <c r="H47" s="107" t="s">
        <v>152</v>
      </c>
      <c r="I47" s="107" t="s">
        <v>152</v>
      </c>
      <c r="J47" s="107" t="s">
        <v>152</v>
      </c>
      <c r="K47" s="107" t="s">
        <v>152</v>
      </c>
      <c r="L47" s="107" t="s">
        <v>152</v>
      </c>
      <c r="M47" s="107" t="s">
        <v>152</v>
      </c>
      <c r="N47" s="107" t="s">
        <v>152</v>
      </c>
      <c r="O47" s="107" t="s">
        <v>152</v>
      </c>
      <c r="P47" s="107" t="s">
        <v>152</v>
      </c>
      <c r="Q47" s="66">
        <v>0</v>
      </c>
      <c r="R47" s="295" t="s">
        <v>152</v>
      </c>
    </row>
    <row r="48" spans="1:18" s="63" customFormat="1" ht="16.2" thickBot="1" x14ac:dyDescent="0.35">
      <c r="A48" s="88" t="s">
        <v>36</v>
      </c>
      <c r="B48" s="87" t="s">
        <v>152</v>
      </c>
      <c r="C48" s="72" t="s">
        <v>152</v>
      </c>
      <c r="D48" s="72" t="s">
        <v>152</v>
      </c>
      <c r="E48" s="72" t="s">
        <v>152</v>
      </c>
      <c r="F48" s="72" t="s">
        <v>152</v>
      </c>
      <c r="G48" s="192" t="s">
        <v>152</v>
      </c>
      <c r="H48" s="192" t="s">
        <v>152</v>
      </c>
      <c r="I48" s="192" t="s">
        <v>152</v>
      </c>
      <c r="J48" s="192" t="s">
        <v>152</v>
      </c>
      <c r="K48" s="192" t="s">
        <v>152</v>
      </c>
      <c r="L48" s="192" t="s">
        <v>152</v>
      </c>
      <c r="M48" s="192" t="s">
        <v>152</v>
      </c>
      <c r="N48" s="192" t="s">
        <v>152</v>
      </c>
      <c r="O48" s="192" t="s">
        <v>152</v>
      </c>
      <c r="P48" s="192" t="s">
        <v>152</v>
      </c>
      <c r="Q48" s="71">
        <v>0</v>
      </c>
      <c r="R48" s="292" t="s">
        <v>152</v>
      </c>
    </row>
    <row r="49" spans="1:20" s="63" customFormat="1" ht="16.2" thickTop="1" x14ac:dyDescent="0.3">
      <c r="A49" s="89" t="s">
        <v>37</v>
      </c>
      <c r="B49" s="90" t="s">
        <v>152</v>
      </c>
      <c r="C49" s="73" t="s">
        <v>152</v>
      </c>
      <c r="D49" s="73" t="s">
        <v>152</v>
      </c>
      <c r="E49" s="73" t="s">
        <v>152</v>
      </c>
      <c r="F49" s="73" t="s">
        <v>152</v>
      </c>
      <c r="G49" s="273">
        <f t="shared" ref="G49:R49" si="2">SUM(G37:G48)</f>
        <v>0</v>
      </c>
      <c r="H49" s="273">
        <f t="shared" si="2"/>
        <v>0</v>
      </c>
      <c r="I49" s="273">
        <f t="shared" si="2"/>
        <v>0</v>
      </c>
      <c r="J49" s="273">
        <f t="shared" si="2"/>
        <v>0</v>
      </c>
      <c r="K49" s="273">
        <f t="shared" si="2"/>
        <v>0</v>
      </c>
      <c r="L49" s="273">
        <f t="shared" si="2"/>
        <v>0</v>
      </c>
      <c r="M49" s="273">
        <f t="shared" si="2"/>
        <v>0</v>
      </c>
      <c r="N49" s="273">
        <f t="shared" si="2"/>
        <v>0</v>
      </c>
      <c r="O49" s="273">
        <f t="shared" si="2"/>
        <v>0</v>
      </c>
      <c r="P49" s="273">
        <f t="shared" si="2"/>
        <v>0</v>
      </c>
      <c r="Q49" s="273">
        <f t="shared" si="2"/>
        <v>0</v>
      </c>
      <c r="R49" s="288">
        <f t="shared" si="2"/>
        <v>-22</v>
      </c>
    </row>
    <row r="50" spans="1:20" s="113" customFormat="1" ht="6.6" x14ac:dyDescent="0.3">
      <c r="A50" s="371" t="s">
        <v>174</v>
      </c>
      <c r="B50" s="371"/>
      <c r="C50" s="371"/>
      <c r="D50" s="371"/>
      <c r="E50" s="371"/>
      <c r="F50" s="371"/>
      <c r="G50" s="371"/>
      <c r="H50" s="371"/>
      <c r="I50" s="371"/>
      <c r="J50" s="371"/>
      <c r="K50" s="371"/>
      <c r="L50" s="371"/>
      <c r="M50" s="371"/>
      <c r="N50" s="371"/>
      <c r="O50" s="371"/>
      <c r="P50" s="371"/>
      <c r="Q50" s="371"/>
      <c r="R50" s="371"/>
    </row>
    <row r="51" spans="1:20" s="111" customFormat="1" ht="13.8" x14ac:dyDescent="0.3">
      <c r="A51" s="373" t="s">
        <v>221</v>
      </c>
      <c r="B51" s="373"/>
      <c r="C51" s="373"/>
      <c r="D51" s="373"/>
      <c r="E51" s="373"/>
      <c r="F51" s="373"/>
      <c r="G51" s="373"/>
      <c r="H51" s="373"/>
      <c r="I51" s="373"/>
      <c r="J51" s="373"/>
      <c r="K51" s="373"/>
      <c r="L51" s="373"/>
      <c r="M51" s="373"/>
      <c r="N51" s="373"/>
      <c r="O51" s="373"/>
      <c r="P51" s="373"/>
      <c r="Q51" s="373"/>
      <c r="R51" s="373"/>
      <c r="S51" s="373"/>
    </row>
    <row r="52" spans="1:20" s="111" customFormat="1" ht="13.8" x14ac:dyDescent="0.3">
      <c r="A52" s="384" t="str">
        <f>'Local SUT'!A60</f>
        <v>Source:  Minnesota Department of Revenue, Tax Research Division, February 2021</v>
      </c>
      <c r="B52" s="384"/>
      <c r="C52" s="384"/>
      <c r="D52" s="384"/>
      <c r="E52" s="384"/>
      <c r="F52" s="384"/>
      <c r="G52" s="384"/>
      <c r="H52" s="384"/>
      <c r="I52" s="384"/>
      <c r="J52" s="384"/>
      <c r="K52" s="384"/>
      <c r="L52" s="384"/>
      <c r="M52" s="384"/>
      <c r="N52" s="384"/>
      <c r="O52" s="384"/>
      <c r="P52" s="384"/>
      <c r="Q52" s="384"/>
      <c r="R52" s="384"/>
      <c r="S52" s="384"/>
      <c r="T52" s="384"/>
    </row>
    <row r="53" spans="1:20" s="111" customFormat="1" ht="13.8" x14ac:dyDescent="0.3">
      <c r="A53" s="379" t="s">
        <v>151</v>
      </c>
      <c r="B53" s="379"/>
      <c r="C53" s="379"/>
      <c r="D53" s="379"/>
      <c r="E53" s="379"/>
      <c r="F53" s="379"/>
      <c r="G53" s="379"/>
      <c r="H53" s="379"/>
      <c r="I53" s="379"/>
      <c r="J53" s="379"/>
      <c r="K53" s="379"/>
      <c r="L53" s="379"/>
      <c r="M53" s="379"/>
      <c r="N53" s="379"/>
      <c r="O53" s="379"/>
      <c r="P53" s="379"/>
      <c r="Q53" s="379"/>
      <c r="R53" s="379"/>
    </row>
    <row r="54" spans="1:20" x14ac:dyDescent="0.3">
      <c r="R54" s="117"/>
    </row>
  </sheetData>
  <mergeCells count="11">
    <mergeCell ref="A34:R34"/>
    <mergeCell ref="A1:T1"/>
    <mergeCell ref="A2:R2"/>
    <mergeCell ref="A3:R3"/>
    <mergeCell ref="A18:R18"/>
    <mergeCell ref="A19:R19"/>
    <mergeCell ref="A35:R35"/>
    <mergeCell ref="A50:R50"/>
    <mergeCell ref="A51:S51"/>
    <mergeCell ref="A52:T52"/>
    <mergeCell ref="A53:R53"/>
  </mergeCells>
  <pageMargins left="0.5" right="0" top="0.75" bottom="0.75" header="0.3" footer="0.3"/>
  <pageSetup scale="86"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80DDE4-2A22-4E44-969E-BAE19D19944B}">
  <sheetPr codeName="Sheet41">
    <pageSetUpPr fitToPage="1"/>
  </sheetPr>
  <dimension ref="A1:U54"/>
  <sheetViews>
    <sheetView showGridLines="0" zoomScaleNormal="100" workbookViewId="0">
      <pane ySplit="1" topLeftCell="A2" activePane="bottomLeft" state="frozen"/>
      <selection pane="bottomLeft" sqref="A1:U1"/>
    </sheetView>
  </sheetViews>
  <sheetFormatPr defaultColWidth="12.5546875" defaultRowHeight="14.4" x14ac:dyDescent="0.3"/>
  <cols>
    <col min="1" max="1" width="12.5546875" style="180" customWidth="1"/>
    <col min="2" max="16" width="13.5546875" style="173" hidden="1" customWidth="1"/>
    <col min="17" max="17" width="13.5546875" style="173" customWidth="1"/>
    <col min="18" max="18" width="13.5546875" style="145" customWidth="1"/>
    <col min="19" max="16384" width="12.5546875" style="173"/>
  </cols>
  <sheetData>
    <row r="1" spans="1:21" s="112" customFormat="1" ht="21" x14ac:dyDescent="0.3">
      <c r="A1" s="380" t="s">
        <v>246</v>
      </c>
      <c r="B1" s="380"/>
      <c r="C1" s="380"/>
      <c r="D1" s="380"/>
      <c r="E1" s="380"/>
      <c r="F1" s="380"/>
      <c r="G1" s="380"/>
      <c r="H1" s="380"/>
      <c r="I1" s="380"/>
      <c r="J1" s="380"/>
      <c r="K1" s="380"/>
      <c r="L1" s="380"/>
      <c r="M1" s="380"/>
      <c r="N1" s="380"/>
      <c r="O1" s="380"/>
      <c r="P1" s="380"/>
      <c r="Q1" s="380"/>
      <c r="R1" s="380"/>
      <c r="S1" s="380"/>
      <c r="T1" s="380"/>
      <c r="U1" s="380"/>
    </row>
    <row r="2" spans="1:21" s="106" customFormat="1" ht="18" x14ac:dyDescent="0.3">
      <c r="A2" s="381" t="str">
        <f>'Local SUT'!A2</f>
        <v>CY 2004-2020</v>
      </c>
      <c r="B2" s="381"/>
      <c r="C2" s="381"/>
      <c r="D2" s="381"/>
      <c r="E2" s="381"/>
      <c r="F2" s="381"/>
      <c r="G2" s="381"/>
      <c r="H2" s="381"/>
      <c r="I2" s="381"/>
      <c r="J2" s="381"/>
      <c r="K2" s="381"/>
      <c r="L2" s="381"/>
      <c r="M2" s="381"/>
      <c r="N2" s="381"/>
      <c r="O2" s="381"/>
      <c r="P2" s="381"/>
      <c r="Q2" s="381"/>
      <c r="R2" s="381"/>
    </row>
    <row r="3" spans="1:21" s="106" customFormat="1" ht="18" x14ac:dyDescent="0.3">
      <c r="A3" s="370" t="s">
        <v>247</v>
      </c>
      <c r="B3" s="370"/>
      <c r="C3" s="370"/>
      <c r="D3" s="370"/>
      <c r="E3" s="370"/>
      <c r="F3" s="370"/>
      <c r="G3" s="370"/>
      <c r="H3" s="370"/>
      <c r="I3" s="370"/>
      <c r="J3" s="370"/>
      <c r="K3" s="370"/>
      <c r="L3" s="370"/>
      <c r="M3" s="370"/>
      <c r="N3" s="370"/>
      <c r="O3" s="370"/>
      <c r="P3" s="370"/>
      <c r="Q3" s="370"/>
      <c r="R3" s="370"/>
    </row>
    <row r="4" spans="1:21" s="63" customFormat="1" ht="15.6" x14ac:dyDescent="0.3">
      <c r="A4" s="77" t="s">
        <v>23</v>
      </c>
      <c r="B4" s="91">
        <v>2004</v>
      </c>
      <c r="C4" s="64">
        <v>2005</v>
      </c>
      <c r="D4" s="64">
        <v>2006</v>
      </c>
      <c r="E4" s="64">
        <v>2007</v>
      </c>
      <c r="F4" s="64">
        <v>2008</v>
      </c>
      <c r="G4" s="64">
        <v>2009</v>
      </c>
      <c r="H4" s="64">
        <v>2010</v>
      </c>
      <c r="I4" s="64">
        <v>2011</v>
      </c>
      <c r="J4" s="65">
        <v>2012</v>
      </c>
      <c r="K4" s="65">
        <v>2013</v>
      </c>
      <c r="L4" s="65">
        <v>2014</v>
      </c>
      <c r="M4" s="65">
        <v>2015</v>
      </c>
      <c r="N4" s="65">
        <v>2016</v>
      </c>
      <c r="O4" s="65">
        <v>2017</v>
      </c>
      <c r="P4" s="65">
        <v>2018</v>
      </c>
      <c r="Q4" s="336">
        <v>2019</v>
      </c>
      <c r="R4" s="337">
        <v>2020</v>
      </c>
    </row>
    <row r="5" spans="1:21" s="63" customFormat="1" ht="15.6" x14ac:dyDescent="0.3">
      <c r="A5" s="76" t="s">
        <v>24</v>
      </c>
      <c r="B5" s="108" t="s">
        <v>152</v>
      </c>
      <c r="C5" s="107" t="s">
        <v>152</v>
      </c>
      <c r="D5" s="107" t="s">
        <v>152</v>
      </c>
      <c r="E5" s="107" t="s">
        <v>152</v>
      </c>
      <c r="F5" s="107" t="s">
        <v>152</v>
      </c>
      <c r="G5" s="107" t="s">
        <v>152</v>
      </c>
      <c r="H5" s="107" t="s">
        <v>152</v>
      </c>
      <c r="I5" s="107" t="s">
        <v>152</v>
      </c>
      <c r="J5" s="107" t="s">
        <v>152</v>
      </c>
      <c r="K5" s="107" t="s">
        <v>152</v>
      </c>
      <c r="L5" s="107" t="s">
        <v>152</v>
      </c>
      <c r="M5" s="107" t="s">
        <v>152</v>
      </c>
      <c r="N5" s="107" t="s">
        <v>152</v>
      </c>
      <c r="O5" s="107" t="s">
        <v>152</v>
      </c>
      <c r="P5" s="107" t="s">
        <v>152</v>
      </c>
      <c r="Q5" s="107" t="s">
        <v>152</v>
      </c>
      <c r="R5" s="286">
        <v>126535</v>
      </c>
    </row>
    <row r="6" spans="1:21" s="63" customFormat="1" ht="15.6" x14ac:dyDescent="0.3">
      <c r="A6" s="75" t="s">
        <v>25</v>
      </c>
      <c r="B6" s="170" t="s">
        <v>152</v>
      </c>
      <c r="C6" s="67" t="s">
        <v>152</v>
      </c>
      <c r="D6" s="67" t="s">
        <v>152</v>
      </c>
      <c r="E6" s="67" t="s">
        <v>152</v>
      </c>
      <c r="F6" s="67" t="s">
        <v>152</v>
      </c>
      <c r="G6" s="107" t="s">
        <v>152</v>
      </c>
      <c r="H6" s="107" t="s">
        <v>152</v>
      </c>
      <c r="I6" s="107" t="s">
        <v>152</v>
      </c>
      <c r="J6" s="107" t="s">
        <v>152</v>
      </c>
      <c r="K6" s="107" t="s">
        <v>152</v>
      </c>
      <c r="L6" s="107" t="s">
        <v>152</v>
      </c>
      <c r="M6" s="107" t="s">
        <v>152</v>
      </c>
      <c r="N6" s="107" t="s">
        <v>152</v>
      </c>
      <c r="O6" s="107" t="s">
        <v>152</v>
      </c>
      <c r="P6" s="107" t="s">
        <v>152</v>
      </c>
      <c r="Q6" s="107" t="s">
        <v>152</v>
      </c>
      <c r="R6" s="287">
        <v>98345</v>
      </c>
    </row>
    <row r="7" spans="1:21" s="63" customFormat="1" ht="15.6" x14ac:dyDescent="0.3">
      <c r="A7" s="75" t="s">
        <v>26</v>
      </c>
      <c r="B7" s="170" t="s">
        <v>152</v>
      </c>
      <c r="C7" s="67" t="s">
        <v>152</v>
      </c>
      <c r="D7" s="67" t="s">
        <v>152</v>
      </c>
      <c r="E7" s="67" t="s">
        <v>152</v>
      </c>
      <c r="F7" s="67" t="s">
        <v>152</v>
      </c>
      <c r="G7" s="107" t="s">
        <v>152</v>
      </c>
      <c r="H7" s="107" t="s">
        <v>152</v>
      </c>
      <c r="I7" s="107" t="s">
        <v>152</v>
      </c>
      <c r="J7" s="107" t="s">
        <v>152</v>
      </c>
      <c r="K7" s="107" t="s">
        <v>152</v>
      </c>
      <c r="L7" s="107" t="s">
        <v>152</v>
      </c>
      <c r="M7" s="107" t="s">
        <v>152</v>
      </c>
      <c r="N7" s="107" t="s">
        <v>152</v>
      </c>
      <c r="O7" s="107" t="s">
        <v>152</v>
      </c>
      <c r="P7" s="107" t="s">
        <v>152</v>
      </c>
      <c r="Q7" s="107" t="s">
        <v>152</v>
      </c>
      <c r="R7" s="287">
        <v>92433</v>
      </c>
    </row>
    <row r="8" spans="1:21" s="63" customFormat="1" ht="15.6" x14ac:dyDescent="0.3">
      <c r="A8" s="75" t="s">
        <v>27</v>
      </c>
      <c r="B8" s="170" t="s">
        <v>152</v>
      </c>
      <c r="C8" s="67" t="s">
        <v>152</v>
      </c>
      <c r="D8" s="67" t="s">
        <v>152</v>
      </c>
      <c r="E8" s="67" t="s">
        <v>152</v>
      </c>
      <c r="F8" s="67" t="s">
        <v>152</v>
      </c>
      <c r="G8" s="107" t="s">
        <v>152</v>
      </c>
      <c r="H8" s="107" t="s">
        <v>152</v>
      </c>
      <c r="I8" s="107" t="s">
        <v>152</v>
      </c>
      <c r="J8" s="107" t="s">
        <v>152</v>
      </c>
      <c r="K8" s="107" t="s">
        <v>152</v>
      </c>
      <c r="L8" s="107" t="s">
        <v>152</v>
      </c>
      <c r="M8" s="107" t="s">
        <v>152</v>
      </c>
      <c r="N8" s="107" t="s">
        <v>152</v>
      </c>
      <c r="O8" s="107" t="s">
        <v>152</v>
      </c>
      <c r="P8" s="107" t="s">
        <v>152</v>
      </c>
      <c r="Q8" s="107" t="s">
        <v>152</v>
      </c>
      <c r="R8" s="287">
        <v>110957</v>
      </c>
    </row>
    <row r="9" spans="1:21" s="63" customFormat="1" ht="15.6" x14ac:dyDescent="0.3">
      <c r="A9" s="75" t="s">
        <v>28</v>
      </c>
      <c r="B9" s="170" t="s">
        <v>152</v>
      </c>
      <c r="C9" s="67" t="s">
        <v>152</v>
      </c>
      <c r="D9" s="67" t="s">
        <v>152</v>
      </c>
      <c r="E9" s="67" t="s">
        <v>152</v>
      </c>
      <c r="F9" s="67" t="s">
        <v>152</v>
      </c>
      <c r="G9" s="107" t="s">
        <v>152</v>
      </c>
      <c r="H9" s="107" t="s">
        <v>152</v>
      </c>
      <c r="I9" s="107" t="s">
        <v>152</v>
      </c>
      <c r="J9" s="107" t="s">
        <v>152</v>
      </c>
      <c r="K9" s="107" t="s">
        <v>152</v>
      </c>
      <c r="L9" s="107" t="s">
        <v>152</v>
      </c>
      <c r="M9" s="107" t="s">
        <v>152</v>
      </c>
      <c r="N9" s="107" t="s">
        <v>152</v>
      </c>
      <c r="O9" s="107" t="s">
        <v>152</v>
      </c>
      <c r="P9" s="107" t="s">
        <v>152</v>
      </c>
      <c r="Q9" s="107" t="s">
        <v>152</v>
      </c>
      <c r="R9" s="287">
        <v>131275</v>
      </c>
    </row>
    <row r="10" spans="1:21" s="63" customFormat="1" ht="15.6" x14ac:dyDescent="0.3">
      <c r="A10" s="75" t="s">
        <v>29</v>
      </c>
      <c r="B10" s="170" t="s">
        <v>152</v>
      </c>
      <c r="C10" s="67" t="s">
        <v>152</v>
      </c>
      <c r="D10" s="67" t="s">
        <v>152</v>
      </c>
      <c r="E10" s="67" t="s">
        <v>152</v>
      </c>
      <c r="F10" s="67" t="s">
        <v>152</v>
      </c>
      <c r="G10" s="107" t="s">
        <v>152</v>
      </c>
      <c r="H10" s="107" t="s">
        <v>152</v>
      </c>
      <c r="I10" s="107" t="s">
        <v>152</v>
      </c>
      <c r="J10" s="107" t="s">
        <v>152</v>
      </c>
      <c r="K10" s="107" t="s">
        <v>152</v>
      </c>
      <c r="L10" s="107" t="s">
        <v>152</v>
      </c>
      <c r="M10" s="107" t="s">
        <v>152</v>
      </c>
      <c r="N10" s="107" t="s">
        <v>152</v>
      </c>
      <c r="O10" s="107" t="s">
        <v>152</v>
      </c>
      <c r="P10" s="107" t="s">
        <v>152</v>
      </c>
      <c r="Q10" s="107" t="s">
        <v>152</v>
      </c>
      <c r="R10" s="287">
        <v>149826</v>
      </c>
    </row>
    <row r="11" spans="1:21" s="63" customFormat="1" ht="15.6" x14ac:dyDescent="0.3">
      <c r="A11" s="75" t="s">
        <v>30</v>
      </c>
      <c r="B11" s="170" t="s">
        <v>152</v>
      </c>
      <c r="C11" s="67" t="s">
        <v>152</v>
      </c>
      <c r="D11" s="67" t="s">
        <v>152</v>
      </c>
      <c r="E11" s="67" t="s">
        <v>152</v>
      </c>
      <c r="F11" s="67" t="s">
        <v>152</v>
      </c>
      <c r="G11" s="107" t="s">
        <v>152</v>
      </c>
      <c r="H11" s="107" t="s">
        <v>152</v>
      </c>
      <c r="I11" s="107" t="s">
        <v>152</v>
      </c>
      <c r="J11" s="107" t="s">
        <v>152</v>
      </c>
      <c r="K11" s="107" t="s">
        <v>152</v>
      </c>
      <c r="L11" s="107" t="s">
        <v>152</v>
      </c>
      <c r="M11" s="107" t="s">
        <v>152</v>
      </c>
      <c r="N11" s="107" t="s">
        <v>152</v>
      </c>
      <c r="O11" s="107" t="s">
        <v>152</v>
      </c>
      <c r="P11" s="107" t="s">
        <v>152</v>
      </c>
      <c r="Q11" s="107" t="s">
        <v>152</v>
      </c>
      <c r="R11" s="291" t="s">
        <v>152</v>
      </c>
    </row>
    <row r="12" spans="1:21" s="63" customFormat="1" ht="15.6" x14ac:dyDescent="0.3">
      <c r="A12" s="75" t="s">
        <v>31</v>
      </c>
      <c r="B12" s="170" t="s">
        <v>152</v>
      </c>
      <c r="C12" s="67" t="s">
        <v>152</v>
      </c>
      <c r="D12" s="67" t="s">
        <v>152</v>
      </c>
      <c r="E12" s="67" t="s">
        <v>152</v>
      </c>
      <c r="F12" s="67" t="s">
        <v>152</v>
      </c>
      <c r="G12" s="107" t="s">
        <v>152</v>
      </c>
      <c r="H12" s="107" t="s">
        <v>152</v>
      </c>
      <c r="I12" s="107" t="s">
        <v>152</v>
      </c>
      <c r="J12" s="107" t="s">
        <v>152</v>
      </c>
      <c r="K12" s="107" t="s">
        <v>152</v>
      </c>
      <c r="L12" s="107" t="s">
        <v>152</v>
      </c>
      <c r="M12" s="107" t="s">
        <v>152</v>
      </c>
      <c r="N12" s="107" t="s">
        <v>152</v>
      </c>
      <c r="O12" s="107" t="s">
        <v>152</v>
      </c>
      <c r="P12" s="107" t="s">
        <v>152</v>
      </c>
      <c r="Q12" s="174" t="s">
        <v>152</v>
      </c>
      <c r="R12" s="295" t="s">
        <v>152</v>
      </c>
    </row>
    <row r="13" spans="1:21" s="63" customFormat="1" ht="15.6" x14ac:dyDescent="0.3">
      <c r="A13" s="75" t="s">
        <v>32</v>
      </c>
      <c r="B13" s="170" t="s">
        <v>152</v>
      </c>
      <c r="C13" s="67" t="s">
        <v>152</v>
      </c>
      <c r="D13" s="67" t="s">
        <v>152</v>
      </c>
      <c r="E13" s="67" t="s">
        <v>152</v>
      </c>
      <c r="F13" s="67" t="s">
        <v>152</v>
      </c>
      <c r="G13" s="107" t="s">
        <v>152</v>
      </c>
      <c r="H13" s="107" t="s">
        <v>152</v>
      </c>
      <c r="I13" s="107" t="s">
        <v>152</v>
      </c>
      <c r="J13" s="107" t="s">
        <v>152</v>
      </c>
      <c r="K13" s="107" t="s">
        <v>152</v>
      </c>
      <c r="L13" s="107" t="s">
        <v>152</v>
      </c>
      <c r="M13" s="107" t="s">
        <v>152</v>
      </c>
      <c r="N13" s="107" t="s">
        <v>152</v>
      </c>
      <c r="O13" s="107" t="s">
        <v>152</v>
      </c>
      <c r="P13" s="107" t="s">
        <v>152</v>
      </c>
      <c r="Q13" s="107" t="s">
        <v>152</v>
      </c>
      <c r="R13" s="295" t="s">
        <v>152</v>
      </c>
    </row>
    <row r="14" spans="1:21" s="63" customFormat="1" ht="15.6" x14ac:dyDescent="0.3">
      <c r="A14" s="75" t="s">
        <v>33</v>
      </c>
      <c r="B14" s="170" t="s">
        <v>152</v>
      </c>
      <c r="C14" s="67" t="s">
        <v>152</v>
      </c>
      <c r="D14" s="67" t="s">
        <v>152</v>
      </c>
      <c r="E14" s="67" t="s">
        <v>152</v>
      </c>
      <c r="F14" s="67" t="s">
        <v>152</v>
      </c>
      <c r="G14" s="107" t="s">
        <v>152</v>
      </c>
      <c r="H14" s="107" t="s">
        <v>152</v>
      </c>
      <c r="I14" s="107" t="s">
        <v>152</v>
      </c>
      <c r="J14" s="107" t="s">
        <v>152</v>
      </c>
      <c r="K14" s="107" t="s">
        <v>152</v>
      </c>
      <c r="L14" s="107" t="s">
        <v>152</v>
      </c>
      <c r="M14" s="107" t="s">
        <v>152</v>
      </c>
      <c r="N14" s="107" t="s">
        <v>152</v>
      </c>
      <c r="O14" s="107" t="s">
        <v>152</v>
      </c>
      <c r="P14" s="107" t="s">
        <v>152</v>
      </c>
      <c r="Q14" s="271">
        <v>15</v>
      </c>
      <c r="R14" s="295" t="s">
        <v>152</v>
      </c>
    </row>
    <row r="15" spans="1:21" s="63" customFormat="1" ht="15.6" x14ac:dyDescent="0.3">
      <c r="A15" s="75" t="s">
        <v>34</v>
      </c>
      <c r="B15" s="170" t="s">
        <v>152</v>
      </c>
      <c r="C15" s="67" t="s">
        <v>152</v>
      </c>
      <c r="D15" s="67" t="s">
        <v>152</v>
      </c>
      <c r="E15" s="67" t="s">
        <v>152</v>
      </c>
      <c r="F15" s="67" t="s">
        <v>152</v>
      </c>
      <c r="G15" s="107" t="s">
        <v>152</v>
      </c>
      <c r="H15" s="107" t="s">
        <v>152</v>
      </c>
      <c r="I15" s="107" t="s">
        <v>152</v>
      </c>
      <c r="J15" s="107" t="s">
        <v>152</v>
      </c>
      <c r="K15" s="107" t="s">
        <v>152</v>
      </c>
      <c r="L15" s="107" t="s">
        <v>152</v>
      </c>
      <c r="M15" s="107" t="s">
        <v>152</v>
      </c>
      <c r="N15" s="107" t="s">
        <v>152</v>
      </c>
      <c r="O15" s="107" t="s">
        <v>152</v>
      </c>
      <c r="P15" s="107" t="s">
        <v>152</v>
      </c>
      <c r="Q15" s="66">
        <v>111411</v>
      </c>
      <c r="R15" s="295" t="s">
        <v>152</v>
      </c>
    </row>
    <row r="16" spans="1:21" s="63" customFormat="1" ht="16.2" thickBot="1" x14ac:dyDescent="0.35">
      <c r="A16" s="88" t="s">
        <v>36</v>
      </c>
      <c r="B16" s="87" t="s">
        <v>152</v>
      </c>
      <c r="C16" s="72" t="s">
        <v>152</v>
      </c>
      <c r="D16" s="72" t="s">
        <v>152</v>
      </c>
      <c r="E16" s="72" t="s">
        <v>152</v>
      </c>
      <c r="F16" s="72" t="s">
        <v>152</v>
      </c>
      <c r="G16" s="192" t="s">
        <v>152</v>
      </c>
      <c r="H16" s="192" t="s">
        <v>152</v>
      </c>
      <c r="I16" s="192" t="s">
        <v>152</v>
      </c>
      <c r="J16" s="192" t="s">
        <v>152</v>
      </c>
      <c r="K16" s="192" t="s">
        <v>152</v>
      </c>
      <c r="L16" s="192" t="s">
        <v>152</v>
      </c>
      <c r="M16" s="192" t="s">
        <v>152</v>
      </c>
      <c r="N16" s="192" t="s">
        <v>152</v>
      </c>
      <c r="O16" s="192" t="s">
        <v>152</v>
      </c>
      <c r="P16" s="192" t="s">
        <v>152</v>
      </c>
      <c r="Q16" s="71">
        <v>116469</v>
      </c>
      <c r="R16" s="292" t="s">
        <v>152</v>
      </c>
    </row>
    <row r="17" spans="1:18" s="63" customFormat="1" ht="16.2" thickTop="1" x14ac:dyDescent="0.3">
      <c r="A17" s="89" t="s">
        <v>37</v>
      </c>
      <c r="B17" s="90" t="s">
        <v>152</v>
      </c>
      <c r="C17" s="73" t="s">
        <v>152</v>
      </c>
      <c r="D17" s="73" t="s">
        <v>152</v>
      </c>
      <c r="E17" s="73" t="s">
        <v>152</v>
      </c>
      <c r="F17" s="73" t="s">
        <v>152</v>
      </c>
      <c r="G17" s="273">
        <f t="shared" ref="G17:R17" si="0">SUM(G5:G16)</f>
        <v>0</v>
      </c>
      <c r="H17" s="273">
        <f t="shared" si="0"/>
        <v>0</v>
      </c>
      <c r="I17" s="273">
        <f t="shared" si="0"/>
        <v>0</v>
      </c>
      <c r="J17" s="273">
        <f t="shared" si="0"/>
        <v>0</v>
      </c>
      <c r="K17" s="273">
        <f t="shared" si="0"/>
        <v>0</v>
      </c>
      <c r="L17" s="273">
        <f t="shared" si="0"/>
        <v>0</v>
      </c>
      <c r="M17" s="273">
        <f t="shared" si="0"/>
        <v>0</v>
      </c>
      <c r="N17" s="273">
        <f t="shared" si="0"/>
        <v>0</v>
      </c>
      <c r="O17" s="273">
        <f t="shared" si="0"/>
        <v>0</v>
      </c>
      <c r="P17" s="273">
        <f t="shared" si="0"/>
        <v>0</v>
      </c>
      <c r="Q17" s="273">
        <f t="shared" si="0"/>
        <v>227895</v>
      </c>
      <c r="R17" s="288">
        <f t="shared" si="0"/>
        <v>709371</v>
      </c>
    </row>
    <row r="18" spans="1:18" s="113" customFormat="1" ht="6.6" x14ac:dyDescent="0.3">
      <c r="A18" s="371" t="s">
        <v>174</v>
      </c>
      <c r="B18" s="371"/>
      <c r="C18" s="371"/>
      <c r="D18" s="371"/>
      <c r="E18" s="371"/>
      <c r="F18" s="371"/>
      <c r="G18" s="371"/>
      <c r="H18" s="371"/>
      <c r="I18" s="371"/>
      <c r="J18" s="371"/>
      <c r="K18" s="371"/>
      <c r="L18" s="371"/>
      <c r="M18" s="371"/>
      <c r="N18" s="371"/>
      <c r="O18" s="371"/>
      <c r="P18" s="371"/>
      <c r="Q18" s="371"/>
      <c r="R18" s="371"/>
    </row>
    <row r="19" spans="1:18" s="106" customFormat="1" ht="18" x14ac:dyDescent="0.3">
      <c r="A19" s="395" t="s">
        <v>248</v>
      </c>
      <c r="B19" s="395"/>
      <c r="C19" s="395"/>
      <c r="D19" s="395"/>
      <c r="E19" s="395"/>
      <c r="F19" s="395"/>
      <c r="G19" s="395"/>
      <c r="H19" s="395"/>
      <c r="I19" s="395"/>
      <c r="J19" s="395"/>
      <c r="K19" s="395"/>
      <c r="L19" s="395"/>
      <c r="M19" s="395"/>
      <c r="N19" s="395"/>
      <c r="O19" s="395"/>
      <c r="P19" s="395"/>
      <c r="Q19" s="395"/>
      <c r="R19" s="395"/>
    </row>
    <row r="20" spans="1:18" s="63" customFormat="1" ht="15.6" x14ac:dyDescent="0.3">
      <c r="A20" s="77" t="s">
        <v>23</v>
      </c>
      <c r="B20" s="91">
        <v>2005</v>
      </c>
      <c r="C20" s="64">
        <v>2005</v>
      </c>
      <c r="D20" s="64">
        <v>2006</v>
      </c>
      <c r="E20" s="64">
        <v>2007</v>
      </c>
      <c r="F20" s="64">
        <v>2008</v>
      </c>
      <c r="G20" s="64">
        <v>2009</v>
      </c>
      <c r="H20" s="64">
        <v>2010</v>
      </c>
      <c r="I20" s="64">
        <v>2011</v>
      </c>
      <c r="J20" s="65">
        <v>2012</v>
      </c>
      <c r="K20" s="65">
        <v>2013</v>
      </c>
      <c r="L20" s="65">
        <v>2014</v>
      </c>
      <c r="M20" s="65">
        <v>2015</v>
      </c>
      <c r="N20" s="65">
        <v>2016</v>
      </c>
      <c r="O20" s="65">
        <v>2017</v>
      </c>
      <c r="P20" s="65">
        <v>2018</v>
      </c>
      <c r="Q20" s="336">
        <v>2019</v>
      </c>
      <c r="R20" s="337">
        <v>2020</v>
      </c>
    </row>
    <row r="21" spans="1:18" s="63" customFormat="1" ht="15.6" x14ac:dyDescent="0.3">
      <c r="A21" s="76" t="s">
        <v>24</v>
      </c>
      <c r="B21" s="108" t="s">
        <v>152</v>
      </c>
      <c r="C21" s="107" t="s">
        <v>152</v>
      </c>
      <c r="D21" s="107" t="s">
        <v>152</v>
      </c>
      <c r="E21" s="107" t="s">
        <v>152</v>
      </c>
      <c r="F21" s="107" t="s">
        <v>152</v>
      </c>
      <c r="G21" s="107" t="s">
        <v>152</v>
      </c>
      <c r="H21" s="107" t="s">
        <v>152</v>
      </c>
      <c r="I21" s="107" t="s">
        <v>152</v>
      </c>
      <c r="J21" s="107" t="s">
        <v>152</v>
      </c>
      <c r="K21" s="107" t="s">
        <v>152</v>
      </c>
      <c r="L21" s="107" t="s">
        <v>152</v>
      </c>
      <c r="M21" s="107" t="s">
        <v>152</v>
      </c>
      <c r="N21" s="107" t="s">
        <v>152</v>
      </c>
      <c r="O21" s="107" t="s">
        <v>152</v>
      </c>
      <c r="P21" s="107" t="s">
        <v>152</v>
      </c>
      <c r="Q21" s="107" t="s">
        <v>152</v>
      </c>
      <c r="R21" s="286">
        <v>2607</v>
      </c>
    </row>
    <row r="22" spans="1:18" s="63" customFormat="1" ht="15.6" x14ac:dyDescent="0.3">
      <c r="A22" s="75" t="s">
        <v>25</v>
      </c>
      <c r="B22" s="170" t="s">
        <v>152</v>
      </c>
      <c r="C22" s="67" t="s">
        <v>152</v>
      </c>
      <c r="D22" s="67" t="s">
        <v>152</v>
      </c>
      <c r="E22" s="67" t="s">
        <v>152</v>
      </c>
      <c r="F22" s="67" t="s">
        <v>152</v>
      </c>
      <c r="G22" s="107" t="s">
        <v>152</v>
      </c>
      <c r="H22" s="107" t="s">
        <v>152</v>
      </c>
      <c r="I22" s="107" t="s">
        <v>152</v>
      </c>
      <c r="J22" s="107" t="s">
        <v>152</v>
      </c>
      <c r="K22" s="107" t="s">
        <v>152</v>
      </c>
      <c r="L22" s="107" t="s">
        <v>152</v>
      </c>
      <c r="M22" s="107" t="s">
        <v>152</v>
      </c>
      <c r="N22" s="107" t="s">
        <v>152</v>
      </c>
      <c r="O22" s="107" t="s">
        <v>152</v>
      </c>
      <c r="P22" s="107" t="s">
        <v>152</v>
      </c>
      <c r="Q22" s="107" t="s">
        <v>152</v>
      </c>
      <c r="R22" s="287">
        <v>2302</v>
      </c>
    </row>
    <row r="23" spans="1:18" s="63" customFormat="1" ht="15.6" x14ac:dyDescent="0.3">
      <c r="A23" s="75" t="s">
        <v>26</v>
      </c>
      <c r="B23" s="170" t="s">
        <v>152</v>
      </c>
      <c r="C23" s="67" t="s">
        <v>152</v>
      </c>
      <c r="D23" s="67" t="s">
        <v>152</v>
      </c>
      <c r="E23" s="67" t="s">
        <v>152</v>
      </c>
      <c r="F23" s="67" t="s">
        <v>152</v>
      </c>
      <c r="G23" s="107" t="s">
        <v>152</v>
      </c>
      <c r="H23" s="107" t="s">
        <v>152</v>
      </c>
      <c r="I23" s="107" t="s">
        <v>152</v>
      </c>
      <c r="J23" s="107" t="s">
        <v>152</v>
      </c>
      <c r="K23" s="107" t="s">
        <v>152</v>
      </c>
      <c r="L23" s="107" t="s">
        <v>152</v>
      </c>
      <c r="M23" s="107" t="s">
        <v>152</v>
      </c>
      <c r="N23" s="107" t="s">
        <v>152</v>
      </c>
      <c r="O23" s="107" t="s">
        <v>152</v>
      </c>
      <c r="P23" s="107" t="s">
        <v>152</v>
      </c>
      <c r="Q23" s="107" t="s">
        <v>152</v>
      </c>
      <c r="R23" s="287">
        <v>2499</v>
      </c>
    </row>
    <row r="24" spans="1:18" s="63" customFormat="1" ht="15.6" x14ac:dyDescent="0.3">
      <c r="A24" s="75" t="s">
        <v>27</v>
      </c>
      <c r="B24" s="170" t="s">
        <v>152</v>
      </c>
      <c r="C24" s="67" t="s">
        <v>152</v>
      </c>
      <c r="D24" s="67" t="s">
        <v>152</v>
      </c>
      <c r="E24" s="67" t="s">
        <v>152</v>
      </c>
      <c r="F24" s="67" t="s">
        <v>152</v>
      </c>
      <c r="G24" s="107" t="s">
        <v>152</v>
      </c>
      <c r="H24" s="107" t="s">
        <v>152</v>
      </c>
      <c r="I24" s="107" t="s">
        <v>152</v>
      </c>
      <c r="J24" s="107" t="s">
        <v>152</v>
      </c>
      <c r="K24" s="107" t="s">
        <v>152</v>
      </c>
      <c r="L24" s="107" t="s">
        <v>152</v>
      </c>
      <c r="M24" s="107" t="s">
        <v>152</v>
      </c>
      <c r="N24" s="107" t="s">
        <v>152</v>
      </c>
      <c r="O24" s="107" t="s">
        <v>152</v>
      </c>
      <c r="P24" s="107" t="s">
        <v>152</v>
      </c>
      <c r="Q24" s="107" t="s">
        <v>152</v>
      </c>
      <c r="R24" s="287">
        <v>1984</v>
      </c>
    </row>
    <row r="25" spans="1:18" s="63" customFormat="1" ht="15.6" x14ac:dyDescent="0.3">
      <c r="A25" s="75" t="s">
        <v>28</v>
      </c>
      <c r="B25" s="170" t="s">
        <v>152</v>
      </c>
      <c r="C25" s="67" t="s">
        <v>152</v>
      </c>
      <c r="D25" s="67" t="s">
        <v>152</v>
      </c>
      <c r="E25" s="67" t="s">
        <v>152</v>
      </c>
      <c r="F25" s="67" t="s">
        <v>152</v>
      </c>
      <c r="G25" s="107" t="s">
        <v>152</v>
      </c>
      <c r="H25" s="107" t="s">
        <v>152</v>
      </c>
      <c r="I25" s="107" t="s">
        <v>152</v>
      </c>
      <c r="J25" s="107" t="s">
        <v>152</v>
      </c>
      <c r="K25" s="107" t="s">
        <v>152</v>
      </c>
      <c r="L25" s="107" t="s">
        <v>152</v>
      </c>
      <c r="M25" s="107" t="s">
        <v>152</v>
      </c>
      <c r="N25" s="107" t="s">
        <v>152</v>
      </c>
      <c r="O25" s="107" t="s">
        <v>152</v>
      </c>
      <c r="P25" s="107" t="s">
        <v>152</v>
      </c>
      <c r="Q25" s="107" t="s">
        <v>152</v>
      </c>
      <c r="R25" s="287">
        <v>1934</v>
      </c>
    </row>
    <row r="26" spans="1:18" s="63" customFormat="1" ht="15.6" x14ac:dyDescent="0.3">
      <c r="A26" s="75" t="s">
        <v>29</v>
      </c>
      <c r="B26" s="170" t="s">
        <v>152</v>
      </c>
      <c r="C26" s="67" t="s">
        <v>152</v>
      </c>
      <c r="D26" s="67" t="s">
        <v>152</v>
      </c>
      <c r="E26" s="67" t="s">
        <v>152</v>
      </c>
      <c r="F26" s="67" t="s">
        <v>152</v>
      </c>
      <c r="G26" s="107" t="s">
        <v>152</v>
      </c>
      <c r="H26" s="107" t="s">
        <v>152</v>
      </c>
      <c r="I26" s="107" t="s">
        <v>152</v>
      </c>
      <c r="J26" s="107" t="s">
        <v>152</v>
      </c>
      <c r="K26" s="107" t="s">
        <v>152</v>
      </c>
      <c r="L26" s="107" t="s">
        <v>152</v>
      </c>
      <c r="M26" s="107" t="s">
        <v>152</v>
      </c>
      <c r="N26" s="107" t="s">
        <v>152</v>
      </c>
      <c r="O26" s="107" t="s">
        <v>152</v>
      </c>
      <c r="P26" s="107" t="s">
        <v>152</v>
      </c>
      <c r="Q26" s="107" t="s">
        <v>152</v>
      </c>
      <c r="R26" s="287">
        <v>2591</v>
      </c>
    </row>
    <row r="27" spans="1:18" s="63" customFormat="1" ht="15.6" x14ac:dyDescent="0.3">
      <c r="A27" s="75" t="s">
        <v>30</v>
      </c>
      <c r="B27" s="170" t="s">
        <v>152</v>
      </c>
      <c r="C27" s="67" t="s">
        <v>152</v>
      </c>
      <c r="D27" s="67" t="s">
        <v>152</v>
      </c>
      <c r="E27" s="67" t="s">
        <v>152</v>
      </c>
      <c r="F27" s="67" t="s">
        <v>152</v>
      </c>
      <c r="G27" s="107" t="s">
        <v>152</v>
      </c>
      <c r="H27" s="107" t="s">
        <v>152</v>
      </c>
      <c r="I27" s="107" t="s">
        <v>152</v>
      </c>
      <c r="J27" s="107" t="s">
        <v>152</v>
      </c>
      <c r="K27" s="107" t="s">
        <v>152</v>
      </c>
      <c r="L27" s="107" t="s">
        <v>152</v>
      </c>
      <c r="M27" s="107" t="s">
        <v>152</v>
      </c>
      <c r="N27" s="107" t="s">
        <v>152</v>
      </c>
      <c r="O27" s="107" t="s">
        <v>152</v>
      </c>
      <c r="P27" s="107" t="s">
        <v>152</v>
      </c>
      <c r="Q27" s="174" t="s">
        <v>152</v>
      </c>
      <c r="R27" s="291" t="s">
        <v>152</v>
      </c>
    </row>
    <row r="28" spans="1:18" s="63" customFormat="1" ht="15.6" x14ac:dyDescent="0.3">
      <c r="A28" s="75" t="s">
        <v>31</v>
      </c>
      <c r="B28" s="170" t="s">
        <v>152</v>
      </c>
      <c r="C28" s="67" t="s">
        <v>152</v>
      </c>
      <c r="D28" s="67" t="s">
        <v>152</v>
      </c>
      <c r="E28" s="67" t="s">
        <v>152</v>
      </c>
      <c r="F28" s="67" t="s">
        <v>152</v>
      </c>
      <c r="G28" s="107" t="s">
        <v>152</v>
      </c>
      <c r="H28" s="107" t="s">
        <v>152</v>
      </c>
      <c r="I28" s="107" t="s">
        <v>152</v>
      </c>
      <c r="J28" s="107" t="s">
        <v>152</v>
      </c>
      <c r="K28" s="107" t="s">
        <v>152</v>
      </c>
      <c r="L28" s="107" t="s">
        <v>152</v>
      </c>
      <c r="M28" s="107" t="s">
        <v>152</v>
      </c>
      <c r="N28" s="107" t="s">
        <v>152</v>
      </c>
      <c r="O28" s="107" t="s">
        <v>152</v>
      </c>
      <c r="P28" s="107" t="s">
        <v>152</v>
      </c>
      <c r="Q28" s="107" t="s">
        <v>152</v>
      </c>
      <c r="R28" s="295" t="s">
        <v>152</v>
      </c>
    </row>
    <row r="29" spans="1:18" s="63" customFormat="1" ht="15.6" x14ac:dyDescent="0.3">
      <c r="A29" s="75" t="s">
        <v>32</v>
      </c>
      <c r="B29" s="170" t="s">
        <v>152</v>
      </c>
      <c r="C29" s="67" t="s">
        <v>152</v>
      </c>
      <c r="D29" s="67" t="s">
        <v>152</v>
      </c>
      <c r="E29" s="67" t="s">
        <v>152</v>
      </c>
      <c r="F29" s="67" t="s">
        <v>152</v>
      </c>
      <c r="G29" s="107" t="s">
        <v>152</v>
      </c>
      <c r="H29" s="107" t="s">
        <v>152</v>
      </c>
      <c r="I29" s="107" t="s">
        <v>152</v>
      </c>
      <c r="J29" s="107" t="s">
        <v>152</v>
      </c>
      <c r="K29" s="107" t="s">
        <v>152</v>
      </c>
      <c r="L29" s="107" t="s">
        <v>152</v>
      </c>
      <c r="M29" s="107" t="s">
        <v>152</v>
      </c>
      <c r="N29" s="107" t="s">
        <v>152</v>
      </c>
      <c r="O29" s="107" t="s">
        <v>152</v>
      </c>
      <c r="P29" s="107" t="s">
        <v>152</v>
      </c>
      <c r="Q29" s="107" t="s">
        <v>152</v>
      </c>
      <c r="R29" s="295" t="s">
        <v>152</v>
      </c>
    </row>
    <row r="30" spans="1:18" s="63" customFormat="1" ht="15.6" x14ac:dyDescent="0.3">
      <c r="A30" s="75" t="s">
        <v>33</v>
      </c>
      <c r="B30" s="170" t="s">
        <v>152</v>
      </c>
      <c r="C30" s="67" t="s">
        <v>152</v>
      </c>
      <c r="D30" s="67" t="s">
        <v>152</v>
      </c>
      <c r="E30" s="67" t="s">
        <v>152</v>
      </c>
      <c r="F30" s="67" t="s">
        <v>152</v>
      </c>
      <c r="G30" s="107" t="s">
        <v>152</v>
      </c>
      <c r="H30" s="107" t="s">
        <v>152</v>
      </c>
      <c r="I30" s="107" t="s">
        <v>152</v>
      </c>
      <c r="J30" s="107" t="s">
        <v>152</v>
      </c>
      <c r="K30" s="107" t="s">
        <v>152</v>
      </c>
      <c r="L30" s="107" t="s">
        <v>152</v>
      </c>
      <c r="M30" s="107" t="s">
        <v>152</v>
      </c>
      <c r="N30" s="107" t="s">
        <v>152</v>
      </c>
      <c r="O30" s="107" t="s">
        <v>152</v>
      </c>
      <c r="P30" s="107" t="s">
        <v>152</v>
      </c>
      <c r="Q30" s="271">
        <v>0</v>
      </c>
      <c r="R30" s="295" t="s">
        <v>152</v>
      </c>
    </row>
    <row r="31" spans="1:18" s="63" customFormat="1" ht="15.6" x14ac:dyDescent="0.3">
      <c r="A31" s="75" t="s">
        <v>34</v>
      </c>
      <c r="B31" s="170" t="s">
        <v>152</v>
      </c>
      <c r="C31" s="67" t="s">
        <v>152</v>
      </c>
      <c r="D31" s="67" t="s">
        <v>152</v>
      </c>
      <c r="E31" s="67" t="s">
        <v>152</v>
      </c>
      <c r="F31" s="67" t="s">
        <v>152</v>
      </c>
      <c r="G31" s="107" t="s">
        <v>152</v>
      </c>
      <c r="H31" s="107" t="s">
        <v>152</v>
      </c>
      <c r="I31" s="107" t="s">
        <v>152</v>
      </c>
      <c r="J31" s="107" t="s">
        <v>152</v>
      </c>
      <c r="K31" s="107" t="s">
        <v>152</v>
      </c>
      <c r="L31" s="107" t="s">
        <v>152</v>
      </c>
      <c r="M31" s="107" t="s">
        <v>152</v>
      </c>
      <c r="N31" s="107" t="s">
        <v>152</v>
      </c>
      <c r="O31" s="107" t="s">
        <v>152</v>
      </c>
      <c r="P31" s="107" t="s">
        <v>152</v>
      </c>
      <c r="Q31" s="66">
        <v>1811</v>
      </c>
      <c r="R31" s="295" t="s">
        <v>152</v>
      </c>
    </row>
    <row r="32" spans="1:18" s="63" customFormat="1" ht="16.2" thickBot="1" x14ac:dyDescent="0.35">
      <c r="A32" s="88" t="s">
        <v>36</v>
      </c>
      <c r="B32" s="87" t="s">
        <v>152</v>
      </c>
      <c r="C32" s="72" t="s">
        <v>152</v>
      </c>
      <c r="D32" s="72" t="s">
        <v>152</v>
      </c>
      <c r="E32" s="72" t="s">
        <v>152</v>
      </c>
      <c r="F32" s="72" t="s">
        <v>152</v>
      </c>
      <c r="G32" s="192" t="s">
        <v>152</v>
      </c>
      <c r="H32" s="192" t="s">
        <v>152</v>
      </c>
      <c r="I32" s="192" t="s">
        <v>152</v>
      </c>
      <c r="J32" s="192" t="s">
        <v>152</v>
      </c>
      <c r="K32" s="192" t="s">
        <v>152</v>
      </c>
      <c r="L32" s="192" t="s">
        <v>152</v>
      </c>
      <c r="M32" s="192" t="s">
        <v>152</v>
      </c>
      <c r="N32" s="192" t="s">
        <v>152</v>
      </c>
      <c r="O32" s="192" t="s">
        <v>152</v>
      </c>
      <c r="P32" s="192" t="s">
        <v>152</v>
      </c>
      <c r="Q32" s="71">
        <v>1961</v>
      </c>
      <c r="R32" s="292" t="s">
        <v>152</v>
      </c>
    </row>
    <row r="33" spans="1:18" s="63" customFormat="1" ht="16.2" thickTop="1" x14ac:dyDescent="0.3">
      <c r="A33" s="89" t="s">
        <v>37</v>
      </c>
      <c r="B33" s="90" t="s">
        <v>152</v>
      </c>
      <c r="C33" s="73" t="s">
        <v>152</v>
      </c>
      <c r="D33" s="73" t="s">
        <v>152</v>
      </c>
      <c r="E33" s="73" t="s">
        <v>152</v>
      </c>
      <c r="F33" s="73" t="s">
        <v>152</v>
      </c>
      <c r="G33" s="273">
        <f t="shared" ref="G33:R33" si="1">SUM(G21:G32)</f>
        <v>0</v>
      </c>
      <c r="H33" s="273">
        <f t="shared" si="1"/>
        <v>0</v>
      </c>
      <c r="I33" s="273">
        <f t="shared" si="1"/>
        <v>0</v>
      </c>
      <c r="J33" s="273">
        <f t="shared" si="1"/>
        <v>0</v>
      </c>
      <c r="K33" s="273">
        <f t="shared" si="1"/>
        <v>0</v>
      </c>
      <c r="L33" s="273">
        <f t="shared" si="1"/>
        <v>0</v>
      </c>
      <c r="M33" s="273">
        <f t="shared" si="1"/>
        <v>0</v>
      </c>
      <c r="N33" s="273">
        <f t="shared" si="1"/>
        <v>0</v>
      </c>
      <c r="O33" s="273">
        <f t="shared" si="1"/>
        <v>0</v>
      </c>
      <c r="P33" s="273">
        <f t="shared" si="1"/>
        <v>0</v>
      </c>
      <c r="Q33" s="273">
        <f t="shared" si="1"/>
        <v>3772</v>
      </c>
      <c r="R33" s="288">
        <f t="shared" si="1"/>
        <v>13917</v>
      </c>
    </row>
    <row r="34" spans="1:18" s="113" customFormat="1" ht="6.6" x14ac:dyDescent="0.3">
      <c r="A34" s="371" t="s">
        <v>174</v>
      </c>
      <c r="B34" s="371"/>
      <c r="C34" s="371"/>
      <c r="D34" s="371"/>
      <c r="E34" s="371"/>
      <c r="F34" s="371"/>
      <c r="G34" s="371"/>
      <c r="H34" s="371"/>
      <c r="I34" s="371"/>
      <c r="J34" s="371"/>
      <c r="K34" s="371"/>
      <c r="L34" s="371"/>
      <c r="M34" s="371"/>
      <c r="N34" s="371"/>
      <c r="O34" s="371"/>
      <c r="P34" s="371"/>
      <c r="Q34" s="371"/>
      <c r="R34" s="371"/>
    </row>
    <row r="35" spans="1:18" s="106" customFormat="1" ht="18" x14ac:dyDescent="0.3">
      <c r="A35" s="370" t="s">
        <v>249</v>
      </c>
      <c r="B35" s="370"/>
      <c r="C35" s="370"/>
      <c r="D35" s="370"/>
      <c r="E35" s="370"/>
      <c r="F35" s="370"/>
      <c r="G35" s="370"/>
      <c r="H35" s="370"/>
      <c r="I35" s="370"/>
      <c r="J35" s="370"/>
      <c r="K35" s="370"/>
      <c r="L35" s="370"/>
      <c r="M35" s="370"/>
      <c r="N35" s="370"/>
      <c r="O35" s="370"/>
      <c r="P35" s="370"/>
      <c r="Q35" s="370"/>
      <c r="R35" s="370"/>
    </row>
    <row r="36" spans="1:18" s="63" customFormat="1" ht="15.6" x14ac:dyDescent="0.3">
      <c r="A36" s="77" t="s">
        <v>23</v>
      </c>
      <c r="B36" s="91">
        <v>2005</v>
      </c>
      <c r="C36" s="64">
        <v>2005</v>
      </c>
      <c r="D36" s="64">
        <v>2006</v>
      </c>
      <c r="E36" s="64">
        <v>2007</v>
      </c>
      <c r="F36" s="64">
        <v>2008</v>
      </c>
      <c r="G36" s="64">
        <v>2009</v>
      </c>
      <c r="H36" s="64">
        <v>2010</v>
      </c>
      <c r="I36" s="64">
        <v>2011</v>
      </c>
      <c r="J36" s="65">
        <v>2012</v>
      </c>
      <c r="K36" s="65">
        <v>2013</v>
      </c>
      <c r="L36" s="65">
        <v>2014</v>
      </c>
      <c r="M36" s="65">
        <v>2015</v>
      </c>
      <c r="N36" s="65">
        <v>2016</v>
      </c>
      <c r="O36" s="65">
        <v>2017</v>
      </c>
      <c r="P36" s="65">
        <v>2018</v>
      </c>
      <c r="Q36" s="336">
        <v>2019</v>
      </c>
      <c r="R36" s="337">
        <v>2020</v>
      </c>
    </row>
    <row r="37" spans="1:18" s="63" customFormat="1" ht="15.6" x14ac:dyDescent="0.3">
      <c r="A37" s="76" t="s">
        <v>24</v>
      </c>
      <c r="B37" s="108" t="s">
        <v>152</v>
      </c>
      <c r="C37" s="107" t="s">
        <v>152</v>
      </c>
      <c r="D37" s="107" t="s">
        <v>152</v>
      </c>
      <c r="E37" s="107" t="s">
        <v>152</v>
      </c>
      <c r="F37" s="107" t="s">
        <v>152</v>
      </c>
      <c r="G37" s="107" t="s">
        <v>152</v>
      </c>
      <c r="H37" s="107" t="s">
        <v>152</v>
      </c>
      <c r="I37" s="107" t="s">
        <v>152</v>
      </c>
      <c r="J37" s="107" t="s">
        <v>152</v>
      </c>
      <c r="K37" s="107" t="s">
        <v>152</v>
      </c>
      <c r="L37" s="107" t="s">
        <v>152</v>
      </c>
      <c r="M37" s="107" t="s">
        <v>152</v>
      </c>
      <c r="N37" s="107" t="s">
        <v>152</v>
      </c>
      <c r="O37" s="107" t="s">
        <v>152</v>
      </c>
      <c r="P37" s="107" t="s">
        <v>152</v>
      </c>
      <c r="Q37" s="107" t="s">
        <v>152</v>
      </c>
      <c r="R37" s="286">
        <v>0</v>
      </c>
    </row>
    <row r="38" spans="1:18" s="63" customFormat="1" ht="15.6" x14ac:dyDescent="0.3">
      <c r="A38" s="75" t="s">
        <v>25</v>
      </c>
      <c r="B38" s="170" t="s">
        <v>152</v>
      </c>
      <c r="C38" s="67" t="s">
        <v>152</v>
      </c>
      <c r="D38" s="67" t="s">
        <v>152</v>
      </c>
      <c r="E38" s="67" t="s">
        <v>152</v>
      </c>
      <c r="F38" s="67" t="s">
        <v>152</v>
      </c>
      <c r="G38" s="107" t="s">
        <v>152</v>
      </c>
      <c r="H38" s="107" t="s">
        <v>152</v>
      </c>
      <c r="I38" s="107" t="s">
        <v>152</v>
      </c>
      <c r="J38" s="107" t="s">
        <v>152</v>
      </c>
      <c r="K38" s="107" t="s">
        <v>152</v>
      </c>
      <c r="L38" s="107" t="s">
        <v>152</v>
      </c>
      <c r="M38" s="107" t="s">
        <v>152</v>
      </c>
      <c r="N38" s="107" t="s">
        <v>152</v>
      </c>
      <c r="O38" s="107" t="s">
        <v>152</v>
      </c>
      <c r="P38" s="107" t="s">
        <v>152</v>
      </c>
      <c r="Q38" s="107" t="s">
        <v>152</v>
      </c>
      <c r="R38" s="287">
        <v>0</v>
      </c>
    </row>
    <row r="39" spans="1:18" s="63" customFormat="1" ht="15.6" x14ac:dyDescent="0.3">
      <c r="A39" s="75" t="s">
        <v>26</v>
      </c>
      <c r="B39" s="170" t="s">
        <v>152</v>
      </c>
      <c r="C39" s="67" t="s">
        <v>152</v>
      </c>
      <c r="D39" s="67" t="s">
        <v>152</v>
      </c>
      <c r="E39" s="67" t="s">
        <v>152</v>
      </c>
      <c r="F39" s="67" t="s">
        <v>152</v>
      </c>
      <c r="G39" s="107" t="s">
        <v>152</v>
      </c>
      <c r="H39" s="107" t="s">
        <v>152</v>
      </c>
      <c r="I39" s="107" t="s">
        <v>152</v>
      </c>
      <c r="J39" s="107" t="s">
        <v>152</v>
      </c>
      <c r="K39" s="107" t="s">
        <v>152</v>
      </c>
      <c r="L39" s="107" t="s">
        <v>152</v>
      </c>
      <c r="M39" s="107" t="s">
        <v>152</v>
      </c>
      <c r="N39" s="107" t="s">
        <v>152</v>
      </c>
      <c r="O39" s="107" t="s">
        <v>152</v>
      </c>
      <c r="P39" s="107" t="s">
        <v>152</v>
      </c>
      <c r="Q39" s="107" t="s">
        <v>152</v>
      </c>
      <c r="R39" s="287">
        <v>0</v>
      </c>
    </row>
    <row r="40" spans="1:18" s="63" customFormat="1" ht="15.6" x14ac:dyDescent="0.3">
      <c r="A40" s="75" t="s">
        <v>27</v>
      </c>
      <c r="B40" s="170" t="s">
        <v>152</v>
      </c>
      <c r="C40" s="67" t="s">
        <v>152</v>
      </c>
      <c r="D40" s="67" t="s">
        <v>152</v>
      </c>
      <c r="E40" s="67" t="s">
        <v>152</v>
      </c>
      <c r="F40" s="67" t="s">
        <v>152</v>
      </c>
      <c r="G40" s="107" t="s">
        <v>152</v>
      </c>
      <c r="H40" s="107" t="s">
        <v>152</v>
      </c>
      <c r="I40" s="107" t="s">
        <v>152</v>
      </c>
      <c r="J40" s="107" t="s">
        <v>152</v>
      </c>
      <c r="K40" s="107" t="s">
        <v>152</v>
      </c>
      <c r="L40" s="107" t="s">
        <v>152</v>
      </c>
      <c r="M40" s="107" t="s">
        <v>152</v>
      </c>
      <c r="N40" s="107" t="s">
        <v>152</v>
      </c>
      <c r="O40" s="107" t="s">
        <v>152</v>
      </c>
      <c r="P40" s="107" t="s">
        <v>152</v>
      </c>
      <c r="Q40" s="174" t="s">
        <v>152</v>
      </c>
      <c r="R40" s="287">
        <v>0</v>
      </c>
    </row>
    <row r="41" spans="1:18" s="63" customFormat="1" ht="15.6" x14ac:dyDescent="0.3">
      <c r="A41" s="75" t="s">
        <v>28</v>
      </c>
      <c r="B41" s="170" t="s">
        <v>152</v>
      </c>
      <c r="C41" s="67" t="s">
        <v>152</v>
      </c>
      <c r="D41" s="67" t="s">
        <v>152</v>
      </c>
      <c r="E41" s="67" t="s">
        <v>152</v>
      </c>
      <c r="F41" s="67" t="s">
        <v>152</v>
      </c>
      <c r="G41" s="107" t="s">
        <v>152</v>
      </c>
      <c r="H41" s="107" t="s">
        <v>152</v>
      </c>
      <c r="I41" s="107" t="s">
        <v>152</v>
      </c>
      <c r="J41" s="107" t="s">
        <v>152</v>
      </c>
      <c r="K41" s="107" t="s">
        <v>152</v>
      </c>
      <c r="L41" s="107" t="s">
        <v>152</v>
      </c>
      <c r="M41" s="107" t="s">
        <v>152</v>
      </c>
      <c r="N41" s="107" t="s">
        <v>152</v>
      </c>
      <c r="O41" s="107" t="s">
        <v>152</v>
      </c>
      <c r="P41" s="107" t="s">
        <v>152</v>
      </c>
      <c r="Q41" s="107" t="s">
        <v>152</v>
      </c>
      <c r="R41" s="287">
        <v>0</v>
      </c>
    </row>
    <row r="42" spans="1:18" s="63" customFormat="1" ht="15.6" x14ac:dyDescent="0.3">
      <c r="A42" s="75" t="s">
        <v>29</v>
      </c>
      <c r="B42" s="170" t="s">
        <v>152</v>
      </c>
      <c r="C42" s="67" t="s">
        <v>152</v>
      </c>
      <c r="D42" s="67" t="s">
        <v>152</v>
      </c>
      <c r="E42" s="67" t="s">
        <v>152</v>
      </c>
      <c r="F42" s="67" t="s">
        <v>152</v>
      </c>
      <c r="G42" s="107" t="s">
        <v>152</v>
      </c>
      <c r="H42" s="107" t="s">
        <v>152</v>
      </c>
      <c r="I42" s="107" t="s">
        <v>152</v>
      </c>
      <c r="J42" s="107" t="s">
        <v>152</v>
      </c>
      <c r="K42" s="107" t="s">
        <v>152</v>
      </c>
      <c r="L42" s="107" t="s">
        <v>152</v>
      </c>
      <c r="M42" s="107" t="s">
        <v>152</v>
      </c>
      <c r="N42" s="107" t="s">
        <v>152</v>
      </c>
      <c r="O42" s="107" t="s">
        <v>152</v>
      </c>
      <c r="P42" s="107" t="s">
        <v>152</v>
      </c>
      <c r="Q42" s="107" t="s">
        <v>152</v>
      </c>
      <c r="R42" s="287">
        <v>0</v>
      </c>
    </row>
    <row r="43" spans="1:18" s="63" customFormat="1" ht="15.6" x14ac:dyDescent="0.3">
      <c r="A43" s="75" t="s">
        <v>30</v>
      </c>
      <c r="B43" s="170" t="s">
        <v>152</v>
      </c>
      <c r="C43" s="67" t="s">
        <v>152</v>
      </c>
      <c r="D43" s="67" t="s">
        <v>152</v>
      </c>
      <c r="E43" s="67" t="s">
        <v>152</v>
      </c>
      <c r="F43" s="67" t="s">
        <v>152</v>
      </c>
      <c r="G43" s="107" t="s">
        <v>152</v>
      </c>
      <c r="H43" s="107" t="s">
        <v>152</v>
      </c>
      <c r="I43" s="107" t="s">
        <v>152</v>
      </c>
      <c r="J43" s="107" t="s">
        <v>152</v>
      </c>
      <c r="K43" s="107" t="s">
        <v>152</v>
      </c>
      <c r="L43" s="107" t="s">
        <v>152</v>
      </c>
      <c r="M43" s="107" t="s">
        <v>152</v>
      </c>
      <c r="N43" s="107" t="s">
        <v>152</v>
      </c>
      <c r="O43" s="107" t="s">
        <v>152</v>
      </c>
      <c r="P43" s="107" t="s">
        <v>152</v>
      </c>
      <c r="Q43" s="107" t="s">
        <v>152</v>
      </c>
      <c r="R43" s="291" t="s">
        <v>152</v>
      </c>
    </row>
    <row r="44" spans="1:18" s="63" customFormat="1" ht="15.6" x14ac:dyDescent="0.3">
      <c r="A44" s="75" t="s">
        <v>31</v>
      </c>
      <c r="B44" s="170" t="s">
        <v>152</v>
      </c>
      <c r="C44" s="67" t="s">
        <v>152</v>
      </c>
      <c r="D44" s="67" t="s">
        <v>152</v>
      </c>
      <c r="E44" s="67" t="s">
        <v>152</v>
      </c>
      <c r="F44" s="67" t="s">
        <v>152</v>
      </c>
      <c r="G44" s="107" t="s">
        <v>152</v>
      </c>
      <c r="H44" s="107" t="s">
        <v>152</v>
      </c>
      <c r="I44" s="107" t="s">
        <v>152</v>
      </c>
      <c r="J44" s="107" t="s">
        <v>152</v>
      </c>
      <c r="K44" s="107" t="s">
        <v>152</v>
      </c>
      <c r="L44" s="107" t="s">
        <v>152</v>
      </c>
      <c r="M44" s="107" t="s">
        <v>152</v>
      </c>
      <c r="N44" s="107" t="s">
        <v>152</v>
      </c>
      <c r="O44" s="107" t="s">
        <v>152</v>
      </c>
      <c r="P44" s="107" t="s">
        <v>152</v>
      </c>
      <c r="Q44" s="107" t="s">
        <v>152</v>
      </c>
      <c r="R44" s="295" t="s">
        <v>152</v>
      </c>
    </row>
    <row r="45" spans="1:18" s="63" customFormat="1" ht="15.6" x14ac:dyDescent="0.3">
      <c r="A45" s="75" t="s">
        <v>32</v>
      </c>
      <c r="B45" s="170" t="s">
        <v>152</v>
      </c>
      <c r="C45" s="67" t="s">
        <v>152</v>
      </c>
      <c r="D45" s="67" t="s">
        <v>152</v>
      </c>
      <c r="E45" s="67" t="s">
        <v>152</v>
      </c>
      <c r="F45" s="67" t="s">
        <v>152</v>
      </c>
      <c r="G45" s="107" t="s">
        <v>152</v>
      </c>
      <c r="H45" s="107" t="s">
        <v>152</v>
      </c>
      <c r="I45" s="107" t="s">
        <v>152</v>
      </c>
      <c r="J45" s="107" t="s">
        <v>152</v>
      </c>
      <c r="K45" s="107" t="s">
        <v>152</v>
      </c>
      <c r="L45" s="107" t="s">
        <v>152</v>
      </c>
      <c r="M45" s="107" t="s">
        <v>152</v>
      </c>
      <c r="N45" s="107" t="s">
        <v>152</v>
      </c>
      <c r="O45" s="107" t="s">
        <v>152</v>
      </c>
      <c r="P45" s="107" t="s">
        <v>152</v>
      </c>
      <c r="Q45" s="107" t="s">
        <v>152</v>
      </c>
      <c r="R45" s="295" t="s">
        <v>152</v>
      </c>
    </row>
    <row r="46" spans="1:18" s="63" customFormat="1" ht="15.6" x14ac:dyDescent="0.3">
      <c r="A46" s="75" t="s">
        <v>33</v>
      </c>
      <c r="B46" s="170" t="s">
        <v>152</v>
      </c>
      <c r="C46" s="67" t="s">
        <v>152</v>
      </c>
      <c r="D46" s="67" t="s">
        <v>152</v>
      </c>
      <c r="E46" s="67" t="s">
        <v>152</v>
      </c>
      <c r="F46" s="67" t="s">
        <v>152</v>
      </c>
      <c r="G46" s="107" t="s">
        <v>152</v>
      </c>
      <c r="H46" s="107" t="s">
        <v>152</v>
      </c>
      <c r="I46" s="107" t="s">
        <v>152</v>
      </c>
      <c r="J46" s="107" t="s">
        <v>152</v>
      </c>
      <c r="K46" s="107" t="s">
        <v>152</v>
      </c>
      <c r="L46" s="107" t="s">
        <v>152</v>
      </c>
      <c r="M46" s="107" t="s">
        <v>152</v>
      </c>
      <c r="N46" s="107" t="s">
        <v>152</v>
      </c>
      <c r="O46" s="107" t="s">
        <v>152</v>
      </c>
      <c r="P46" s="107" t="s">
        <v>152</v>
      </c>
      <c r="Q46" s="271">
        <v>0</v>
      </c>
      <c r="R46" s="295" t="s">
        <v>152</v>
      </c>
    </row>
    <row r="47" spans="1:18" s="63" customFormat="1" ht="15.6" x14ac:dyDescent="0.3">
      <c r="A47" s="75" t="s">
        <v>34</v>
      </c>
      <c r="B47" s="170" t="s">
        <v>152</v>
      </c>
      <c r="C47" s="67" t="s">
        <v>152</v>
      </c>
      <c r="D47" s="67" t="s">
        <v>152</v>
      </c>
      <c r="E47" s="67" t="s">
        <v>152</v>
      </c>
      <c r="F47" s="67" t="s">
        <v>152</v>
      </c>
      <c r="G47" s="107" t="s">
        <v>152</v>
      </c>
      <c r="H47" s="107" t="s">
        <v>152</v>
      </c>
      <c r="I47" s="107" t="s">
        <v>152</v>
      </c>
      <c r="J47" s="107" t="s">
        <v>152</v>
      </c>
      <c r="K47" s="107" t="s">
        <v>152</v>
      </c>
      <c r="L47" s="107" t="s">
        <v>152</v>
      </c>
      <c r="M47" s="107" t="s">
        <v>152</v>
      </c>
      <c r="N47" s="107" t="s">
        <v>152</v>
      </c>
      <c r="O47" s="107" t="s">
        <v>152</v>
      </c>
      <c r="P47" s="107" t="s">
        <v>152</v>
      </c>
      <c r="Q47" s="66">
        <v>0</v>
      </c>
      <c r="R47" s="295" t="s">
        <v>152</v>
      </c>
    </row>
    <row r="48" spans="1:18" s="63" customFormat="1" ht="16.2" thickBot="1" x14ac:dyDescent="0.35">
      <c r="A48" s="88" t="s">
        <v>36</v>
      </c>
      <c r="B48" s="87" t="s">
        <v>152</v>
      </c>
      <c r="C48" s="72" t="s">
        <v>152</v>
      </c>
      <c r="D48" s="72" t="s">
        <v>152</v>
      </c>
      <c r="E48" s="72" t="s">
        <v>152</v>
      </c>
      <c r="F48" s="72" t="s">
        <v>152</v>
      </c>
      <c r="G48" s="192" t="s">
        <v>152</v>
      </c>
      <c r="H48" s="192" t="s">
        <v>152</v>
      </c>
      <c r="I48" s="192" t="s">
        <v>152</v>
      </c>
      <c r="J48" s="192" t="s">
        <v>152</v>
      </c>
      <c r="K48" s="192" t="s">
        <v>152</v>
      </c>
      <c r="L48" s="192" t="s">
        <v>152</v>
      </c>
      <c r="M48" s="192" t="s">
        <v>152</v>
      </c>
      <c r="N48" s="192" t="s">
        <v>152</v>
      </c>
      <c r="O48" s="192" t="s">
        <v>152</v>
      </c>
      <c r="P48" s="192" t="s">
        <v>152</v>
      </c>
      <c r="Q48" s="71">
        <v>0</v>
      </c>
      <c r="R48" s="292" t="s">
        <v>152</v>
      </c>
    </row>
    <row r="49" spans="1:20" s="63" customFormat="1" ht="16.2" thickTop="1" x14ac:dyDescent="0.3">
      <c r="A49" s="89" t="s">
        <v>37</v>
      </c>
      <c r="B49" s="90" t="s">
        <v>152</v>
      </c>
      <c r="C49" s="73" t="s">
        <v>152</v>
      </c>
      <c r="D49" s="73" t="s">
        <v>152</v>
      </c>
      <c r="E49" s="73" t="s">
        <v>152</v>
      </c>
      <c r="F49" s="73" t="s">
        <v>152</v>
      </c>
      <c r="G49" s="273">
        <f t="shared" ref="G49:R49" si="2">SUM(G37:G48)</f>
        <v>0</v>
      </c>
      <c r="H49" s="273">
        <f t="shared" si="2"/>
        <v>0</v>
      </c>
      <c r="I49" s="273">
        <f t="shared" si="2"/>
        <v>0</v>
      </c>
      <c r="J49" s="273">
        <f t="shared" si="2"/>
        <v>0</v>
      </c>
      <c r="K49" s="273">
        <f t="shared" si="2"/>
        <v>0</v>
      </c>
      <c r="L49" s="273">
        <f t="shared" si="2"/>
        <v>0</v>
      </c>
      <c r="M49" s="273">
        <f t="shared" si="2"/>
        <v>0</v>
      </c>
      <c r="N49" s="273">
        <f t="shared" si="2"/>
        <v>0</v>
      </c>
      <c r="O49" s="273">
        <f t="shared" si="2"/>
        <v>0</v>
      </c>
      <c r="P49" s="273">
        <f t="shared" si="2"/>
        <v>0</v>
      </c>
      <c r="Q49" s="273">
        <f t="shared" si="2"/>
        <v>0</v>
      </c>
      <c r="R49" s="288">
        <f t="shared" si="2"/>
        <v>0</v>
      </c>
    </row>
    <row r="50" spans="1:20" s="113" customFormat="1" ht="6.6" x14ac:dyDescent="0.3">
      <c r="A50" s="371" t="s">
        <v>174</v>
      </c>
      <c r="B50" s="371"/>
      <c r="C50" s="371"/>
      <c r="D50" s="371"/>
      <c r="E50" s="371"/>
      <c r="F50" s="371"/>
      <c r="G50" s="371"/>
      <c r="H50" s="371"/>
      <c r="I50" s="371"/>
      <c r="J50" s="371"/>
      <c r="K50" s="371"/>
      <c r="L50" s="371"/>
      <c r="M50" s="371"/>
      <c r="N50" s="371"/>
      <c r="O50" s="371"/>
      <c r="P50" s="371"/>
      <c r="Q50" s="371"/>
      <c r="R50" s="371"/>
    </row>
    <row r="51" spans="1:20" s="111" customFormat="1" ht="13.8" x14ac:dyDescent="0.3">
      <c r="A51" s="373" t="s">
        <v>221</v>
      </c>
      <c r="B51" s="373"/>
      <c r="C51" s="373"/>
      <c r="D51" s="373"/>
      <c r="E51" s="373"/>
      <c r="F51" s="373"/>
      <c r="G51" s="373"/>
      <c r="H51" s="373"/>
      <c r="I51" s="373"/>
      <c r="J51" s="373"/>
      <c r="K51" s="373"/>
      <c r="L51" s="373"/>
      <c r="M51" s="373"/>
      <c r="N51" s="373"/>
      <c r="O51" s="373"/>
      <c r="P51" s="373"/>
      <c r="Q51" s="373"/>
      <c r="R51" s="373"/>
      <c r="S51" s="373"/>
    </row>
    <row r="52" spans="1:20" s="111" customFormat="1" ht="13.8" x14ac:dyDescent="0.3">
      <c r="A52" s="384" t="str">
        <f>'Local SUT'!A60</f>
        <v>Source:  Minnesota Department of Revenue, Tax Research Division, February 2021</v>
      </c>
      <c r="B52" s="384"/>
      <c r="C52" s="384"/>
      <c r="D52" s="384"/>
      <c r="E52" s="384"/>
      <c r="F52" s="384"/>
      <c r="G52" s="384"/>
      <c r="H52" s="384"/>
      <c r="I52" s="384"/>
      <c r="J52" s="384"/>
      <c r="K52" s="384"/>
      <c r="L52" s="384"/>
      <c r="M52" s="384"/>
      <c r="N52" s="384"/>
      <c r="O52" s="384"/>
      <c r="P52" s="384"/>
      <c r="Q52" s="384"/>
      <c r="R52" s="384"/>
      <c r="S52" s="384"/>
      <c r="T52" s="384"/>
    </row>
    <row r="53" spans="1:20" s="111" customFormat="1" ht="13.8" x14ac:dyDescent="0.3">
      <c r="A53" s="379" t="s">
        <v>151</v>
      </c>
      <c r="B53" s="379"/>
      <c r="C53" s="379"/>
      <c r="D53" s="379"/>
      <c r="E53" s="379"/>
      <c r="F53" s="379"/>
      <c r="G53" s="379"/>
      <c r="H53" s="379"/>
      <c r="I53" s="379"/>
      <c r="J53" s="379"/>
      <c r="K53" s="379"/>
      <c r="L53" s="379"/>
      <c r="M53" s="379"/>
      <c r="N53" s="379"/>
      <c r="O53" s="379"/>
      <c r="P53" s="379"/>
      <c r="Q53" s="379"/>
      <c r="R53" s="379"/>
    </row>
    <row r="54" spans="1:20" x14ac:dyDescent="0.3">
      <c r="R54" s="117"/>
    </row>
  </sheetData>
  <mergeCells count="11">
    <mergeCell ref="A1:U1"/>
    <mergeCell ref="A34:R34"/>
    <mergeCell ref="A2:R2"/>
    <mergeCell ref="A3:R3"/>
    <mergeCell ref="A18:R18"/>
    <mergeCell ref="A19:R19"/>
    <mergeCell ref="A35:R35"/>
    <mergeCell ref="A50:R50"/>
    <mergeCell ref="A51:S51"/>
    <mergeCell ref="A52:T52"/>
    <mergeCell ref="A53:R53"/>
  </mergeCells>
  <pageMargins left="0.5" right="0" top="0.75" bottom="0.75" header="0.3" footer="0.3"/>
  <pageSetup scale="86"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584939-27A4-43B6-9526-2733947A0818}">
  <sheetPr codeName="Sheet42">
    <pageSetUpPr fitToPage="1"/>
  </sheetPr>
  <dimension ref="A1:U54"/>
  <sheetViews>
    <sheetView showGridLines="0" zoomScaleNormal="100" workbookViewId="0">
      <pane ySplit="1" topLeftCell="A2" activePane="bottomLeft" state="frozen"/>
      <selection pane="bottomLeft" sqref="A1:T1"/>
    </sheetView>
  </sheetViews>
  <sheetFormatPr defaultColWidth="12.5546875" defaultRowHeight="14.4" x14ac:dyDescent="0.3"/>
  <cols>
    <col min="1" max="1" width="12.5546875" style="180" customWidth="1"/>
    <col min="2" max="16" width="13.5546875" style="173" hidden="1" customWidth="1"/>
    <col min="17" max="17" width="13.5546875" style="173" customWidth="1"/>
    <col min="18" max="18" width="13.5546875" style="145" customWidth="1"/>
    <col min="19" max="16384" width="12.5546875" style="173"/>
  </cols>
  <sheetData>
    <row r="1" spans="1:21" s="112" customFormat="1" ht="21" x14ac:dyDescent="0.3">
      <c r="A1" s="380" t="s">
        <v>250</v>
      </c>
      <c r="B1" s="380"/>
      <c r="C1" s="380"/>
      <c r="D1" s="380"/>
      <c r="E1" s="380"/>
      <c r="F1" s="380"/>
      <c r="G1" s="380"/>
      <c r="H1" s="380"/>
      <c r="I1" s="380"/>
      <c r="J1" s="380"/>
      <c r="K1" s="380"/>
      <c r="L1" s="380"/>
      <c r="M1" s="380"/>
      <c r="N1" s="380"/>
      <c r="O1" s="380"/>
      <c r="P1" s="380"/>
      <c r="Q1" s="380"/>
      <c r="R1" s="380"/>
      <c r="S1" s="380"/>
      <c r="T1" s="380"/>
      <c r="U1" s="338"/>
    </row>
    <row r="2" spans="1:21" s="106" customFormat="1" ht="18" x14ac:dyDescent="0.3">
      <c r="A2" s="381" t="str">
        <f>'Local SUT'!A2</f>
        <v>CY 2004-2020</v>
      </c>
      <c r="B2" s="381"/>
      <c r="C2" s="381"/>
      <c r="D2" s="381"/>
      <c r="E2" s="381"/>
      <c r="F2" s="381"/>
      <c r="G2" s="381"/>
      <c r="H2" s="381"/>
      <c r="I2" s="381"/>
      <c r="J2" s="381"/>
      <c r="K2" s="381"/>
      <c r="L2" s="381"/>
      <c r="M2" s="381"/>
      <c r="N2" s="381"/>
      <c r="O2" s="381"/>
      <c r="P2" s="381"/>
      <c r="Q2" s="381"/>
      <c r="R2" s="381"/>
    </row>
    <row r="3" spans="1:21" s="106" customFormat="1" ht="18" x14ac:dyDescent="0.3">
      <c r="A3" s="370" t="s">
        <v>251</v>
      </c>
      <c r="B3" s="370"/>
      <c r="C3" s="370"/>
      <c r="D3" s="370"/>
      <c r="E3" s="370"/>
      <c r="F3" s="370"/>
      <c r="G3" s="370"/>
      <c r="H3" s="370"/>
      <c r="I3" s="370"/>
      <c r="J3" s="370"/>
      <c r="K3" s="370"/>
      <c r="L3" s="370"/>
      <c r="M3" s="370"/>
      <c r="N3" s="370"/>
      <c r="O3" s="370"/>
      <c r="P3" s="370"/>
      <c r="Q3" s="370"/>
      <c r="R3" s="370"/>
    </row>
    <row r="4" spans="1:21" s="63" customFormat="1" ht="15.6" x14ac:dyDescent="0.3">
      <c r="A4" s="77" t="s">
        <v>23</v>
      </c>
      <c r="B4" s="91">
        <v>2004</v>
      </c>
      <c r="C4" s="64">
        <v>2005</v>
      </c>
      <c r="D4" s="64">
        <v>2006</v>
      </c>
      <c r="E4" s="64">
        <v>2007</v>
      </c>
      <c r="F4" s="64">
        <v>2008</v>
      </c>
      <c r="G4" s="64">
        <v>2009</v>
      </c>
      <c r="H4" s="64">
        <v>2010</v>
      </c>
      <c r="I4" s="64">
        <v>2011</v>
      </c>
      <c r="J4" s="65">
        <v>2012</v>
      </c>
      <c r="K4" s="65">
        <v>2013</v>
      </c>
      <c r="L4" s="65">
        <v>2014</v>
      </c>
      <c r="M4" s="65">
        <v>2015</v>
      </c>
      <c r="N4" s="65">
        <v>2016</v>
      </c>
      <c r="O4" s="65">
        <v>2017</v>
      </c>
      <c r="P4" s="65">
        <v>2018</v>
      </c>
      <c r="Q4" s="336">
        <v>2019</v>
      </c>
      <c r="R4" s="337">
        <v>2020</v>
      </c>
    </row>
    <row r="5" spans="1:21" s="63" customFormat="1" ht="15.6" x14ac:dyDescent="0.3">
      <c r="A5" s="76" t="s">
        <v>24</v>
      </c>
      <c r="B5" s="108" t="s">
        <v>152</v>
      </c>
      <c r="C5" s="107" t="s">
        <v>152</v>
      </c>
      <c r="D5" s="107" t="s">
        <v>152</v>
      </c>
      <c r="E5" s="107" t="s">
        <v>152</v>
      </c>
      <c r="F5" s="107" t="s">
        <v>152</v>
      </c>
      <c r="G5" s="107" t="s">
        <v>152</v>
      </c>
      <c r="H5" s="107" t="s">
        <v>152</v>
      </c>
      <c r="I5" s="107" t="s">
        <v>152</v>
      </c>
      <c r="J5" s="107" t="s">
        <v>152</v>
      </c>
      <c r="K5" s="107" t="s">
        <v>152</v>
      </c>
      <c r="L5" s="107" t="s">
        <v>152</v>
      </c>
      <c r="M5" s="107" t="s">
        <v>152</v>
      </c>
      <c r="N5" s="107" t="s">
        <v>152</v>
      </c>
      <c r="O5" s="107" t="s">
        <v>152</v>
      </c>
      <c r="P5" s="107" t="s">
        <v>152</v>
      </c>
      <c r="Q5" s="107" t="s">
        <v>152</v>
      </c>
      <c r="R5" s="286">
        <v>241422</v>
      </c>
    </row>
    <row r="6" spans="1:21" s="63" customFormat="1" ht="15.6" x14ac:dyDescent="0.3">
      <c r="A6" s="75" t="s">
        <v>25</v>
      </c>
      <c r="B6" s="170" t="s">
        <v>152</v>
      </c>
      <c r="C6" s="67" t="s">
        <v>152</v>
      </c>
      <c r="D6" s="67" t="s">
        <v>152</v>
      </c>
      <c r="E6" s="67" t="s">
        <v>152</v>
      </c>
      <c r="F6" s="67" t="s">
        <v>152</v>
      </c>
      <c r="G6" s="107" t="s">
        <v>152</v>
      </c>
      <c r="H6" s="107" t="s">
        <v>152</v>
      </c>
      <c r="I6" s="107" t="s">
        <v>152</v>
      </c>
      <c r="J6" s="107" t="s">
        <v>152</v>
      </c>
      <c r="K6" s="107" t="s">
        <v>152</v>
      </c>
      <c r="L6" s="107" t="s">
        <v>152</v>
      </c>
      <c r="M6" s="107" t="s">
        <v>152</v>
      </c>
      <c r="N6" s="107" t="s">
        <v>152</v>
      </c>
      <c r="O6" s="107" t="s">
        <v>152</v>
      </c>
      <c r="P6" s="107" t="s">
        <v>152</v>
      </c>
      <c r="Q6" s="107" t="s">
        <v>152</v>
      </c>
      <c r="R6" s="287">
        <v>218145</v>
      </c>
    </row>
    <row r="7" spans="1:21" s="63" customFormat="1" ht="15.6" x14ac:dyDescent="0.3">
      <c r="A7" s="75" t="s">
        <v>26</v>
      </c>
      <c r="B7" s="170" t="s">
        <v>152</v>
      </c>
      <c r="C7" s="67" t="s">
        <v>152</v>
      </c>
      <c r="D7" s="67" t="s">
        <v>152</v>
      </c>
      <c r="E7" s="67" t="s">
        <v>152</v>
      </c>
      <c r="F7" s="67" t="s">
        <v>152</v>
      </c>
      <c r="G7" s="107" t="s">
        <v>152</v>
      </c>
      <c r="H7" s="107" t="s">
        <v>152</v>
      </c>
      <c r="I7" s="107" t="s">
        <v>152</v>
      </c>
      <c r="J7" s="107" t="s">
        <v>152</v>
      </c>
      <c r="K7" s="107" t="s">
        <v>152</v>
      </c>
      <c r="L7" s="107" t="s">
        <v>152</v>
      </c>
      <c r="M7" s="107" t="s">
        <v>152</v>
      </c>
      <c r="N7" s="107" t="s">
        <v>152</v>
      </c>
      <c r="O7" s="107" t="s">
        <v>152</v>
      </c>
      <c r="P7" s="107" t="s">
        <v>152</v>
      </c>
      <c r="Q7" s="107" t="s">
        <v>152</v>
      </c>
      <c r="R7" s="287">
        <v>186676</v>
      </c>
    </row>
    <row r="8" spans="1:21" s="63" customFormat="1" ht="15.6" x14ac:dyDescent="0.3">
      <c r="A8" s="75" t="s">
        <v>27</v>
      </c>
      <c r="B8" s="170" t="s">
        <v>152</v>
      </c>
      <c r="C8" s="67" t="s">
        <v>152</v>
      </c>
      <c r="D8" s="67" t="s">
        <v>152</v>
      </c>
      <c r="E8" s="67" t="s">
        <v>152</v>
      </c>
      <c r="F8" s="67" t="s">
        <v>152</v>
      </c>
      <c r="G8" s="107" t="s">
        <v>152</v>
      </c>
      <c r="H8" s="107" t="s">
        <v>152</v>
      </c>
      <c r="I8" s="107" t="s">
        <v>152</v>
      </c>
      <c r="J8" s="107" t="s">
        <v>152</v>
      </c>
      <c r="K8" s="107" t="s">
        <v>152</v>
      </c>
      <c r="L8" s="107" t="s">
        <v>152</v>
      </c>
      <c r="M8" s="107" t="s">
        <v>152</v>
      </c>
      <c r="N8" s="107" t="s">
        <v>152</v>
      </c>
      <c r="O8" s="107" t="s">
        <v>152</v>
      </c>
      <c r="P8" s="107" t="s">
        <v>152</v>
      </c>
      <c r="Q8" s="107" t="s">
        <v>152</v>
      </c>
      <c r="R8" s="287">
        <v>204826</v>
      </c>
    </row>
    <row r="9" spans="1:21" s="63" customFormat="1" ht="15.6" x14ac:dyDescent="0.3">
      <c r="A9" s="75" t="s">
        <v>28</v>
      </c>
      <c r="B9" s="170" t="s">
        <v>152</v>
      </c>
      <c r="C9" s="67" t="s">
        <v>152</v>
      </c>
      <c r="D9" s="67" t="s">
        <v>152</v>
      </c>
      <c r="E9" s="67" t="s">
        <v>152</v>
      </c>
      <c r="F9" s="67" t="s">
        <v>152</v>
      </c>
      <c r="G9" s="107" t="s">
        <v>152</v>
      </c>
      <c r="H9" s="107" t="s">
        <v>152</v>
      </c>
      <c r="I9" s="107" t="s">
        <v>152</v>
      </c>
      <c r="J9" s="107" t="s">
        <v>152</v>
      </c>
      <c r="K9" s="107" t="s">
        <v>152</v>
      </c>
      <c r="L9" s="107" t="s">
        <v>152</v>
      </c>
      <c r="M9" s="107" t="s">
        <v>152</v>
      </c>
      <c r="N9" s="107" t="s">
        <v>152</v>
      </c>
      <c r="O9" s="107" t="s">
        <v>152</v>
      </c>
      <c r="P9" s="107" t="s">
        <v>152</v>
      </c>
      <c r="Q9" s="107" t="s">
        <v>152</v>
      </c>
      <c r="R9" s="287">
        <v>245576</v>
      </c>
    </row>
    <row r="10" spans="1:21" s="63" customFormat="1" ht="15.6" x14ac:dyDescent="0.3">
      <c r="A10" s="75" t="s">
        <v>29</v>
      </c>
      <c r="B10" s="170" t="s">
        <v>152</v>
      </c>
      <c r="C10" s="67" t="s">
        <v>152</v>
      </c>
      <c r="D10" s="67" t="s">
        <v>152</v>
      </c>
      <c r="E10" s="67" t="s">
        <v>152</v>
      </c>
      <c r="F10" s="67" t="s">
        <v>152</v>
      </c>
      <c r="G10" s="107" t="s">
        <v>152</v>
      </c>
      <c r="H10" s="107" t="s">
        <v>152</v>
      </c>
      <c r="I10" s="107" t="s">
        <v>152</v>
      </c>
      <c r="J10" s="107" t="s">
        <v>152</v>
      </c>
      <c r="K10" s="107" t="s">
        <v>152</v>
      </c>
      <c r="L10" s="107" t="s">
        <v>152</v>
      </c>
      <c r="M10" s="107" t="s">
        <v>152</v>
      </c>
      <c r="N10" s="107" t="s">
        <v>152</v>
      </c>
      <c r="O10" s="107" t="s">
        <v>152</v>
      </c>
      <c r="P10" s="107" t="s">
        <v>152</v>
      </c>
      <c r="Q10" s="107" t="s">
        <v>152</v>
      </c>
      <c r="R10" s="287">
        <v>253853</v>
      </c>
    </row>
    <row r="11" spans="1:21" s="63" customFormat="1" ht="15.6" x14ac:dyDescent="0.3">
      <c r="A11" s="75" t="s">
        <v>30</v>
      </c>
      <c r="B11" s="170" t="s">
        <v>152</v>
      </c>
      <c r="C11" s="67" t="s">
        <v>152</v>
      </c>
      <c r="D11" s="67" t="s">
        <v>152</v>
      </c>
      <c r="E11" s="67" t="s">
        <v>152</v>
      </c>
      <c r="F11" s="67" t="s">
        <v>152</v>
      </c>
      <c r="G11" s="107" t="s">
        <v>152</v>
      </c>
      <c r="H11" s="107" t="s">
        <v>152</v>
      </c>
      <c r="I11" s="107" t="s">
        <v>152</v>
      </c>
      <c r="J11" s="107" t="s">
        <v>152</v>
      </c>
      <c r="K11" s="107" t="s">
        <v>152</v>
      </c>
      <c r="L11" s="107" t="s">
        <v>152</v>
      </c>
      <c r="M11" s="107" t="s">
        <v>152</v>
      </c>
      <c r="N11" s="107" t="s">
        <v>152</v>
      </c>
      <c r="O11" s="107" t="s">
        <v>152</v>
      </c>
      <c r="P11" s="107" t="s">
        <v>152</v>
      </c>
      <c r="Q11" s="107" t="s">
        <v>152</v>
      </c>
      <c r="R11" s="291" t="s">
        <v>152</v>
      </c>
    </row>
    <row r="12" spans="1:21" s="63" customFormat="1" ht="15.6" x14ac:dyDescent="0.3">
      <c r="A12" s="75" t="s">
        <v>31</v>
      </c>
      <c r="B12" s="170" t="s">
        <v>152</v>
      </c>
      <c r="C12" s="67" t="s">
        <v>152</v>
      </c>
      <c r="D12" s="67" t="s">
        <v>152</v>
      </c>
      <c r="E12" s="67" t="s">
        <v>152</v>
      </c>
      <c r="F12" s="67" t="s">
        <v>152</v>
      </c>
      <c r="G12" s="107" t="s">
        <v>152</v>
      </c>
      <c r="H12" s="107" t="s">
        <v>152</v>
      </c>
      <c r="I12" s="107" t="s">
        <v>152</v>
      </c>
      <c r="J12" s="107" t="s">
        <v>152</v>
      </c>
      <c r="K12" s="107" t="s">
        <v>152</v>
      </c>
      <c r="L12" s="107" t="s">
        <v>152</v>
      </c>
      <c r="M12" s="107" t="s">
        <v>152</v>
      </c>
      <c r="N12" s="107" t="s">
        <v>152</v>
      </c>
      <c r="O12" s="107" t="s">
        <v>152</v>
      </c>
      <c r="P12" s="107" t="s">
        <v>152</v>
      </c>
      <c r="Q12" s="174" t="s">
        <v>152</v>
      </c>
      <c r="R12" s="295" t="s">
        <v>152</v>
      </c>
    </row>
    <row r="13" spans="1:21" s="63" customFormat="1" ht="15.6" x14ac:dyDescent="0.3">
      <c r="A13" s="75" t="s">
        <v>32</v>
      </c>
      <c r="B13" s="170" t="s">
        <v>152</v>
      </c>
      <c r="C13" s="67" t="s">
        <v>152</v>
      </c>
      <c r="D13" s="67" t="s">
        <v>152</v>
      </c>
      <c r="E13" s="67" t="s">
        <v>152</v>
      </c>
      <c r="F13" s="67" t="s">
        <v>152</v>
      </c>
      <c r="G13" s="107" t="s">
        <v>152</v>
      </c>
      <c r="H13" s="107" t="s">
        <v>152</v>
      </c>
      <c r="I13" s="107" t="s">
        <v>152</v>
      </c>
      <c r="J13" s="107" t="s">
        <v>152</v>
      </c>
      <c r="K13" s="107" t="s">
        <v>152</v>
      </c>
      <c r="L13" s="107" t="s">
        <v>152</v>
      </c>
      <c r="M13" s="107" t="s">
        <v>152</v>
      </c>
      <c r="N13" s="107" t="s">
        <v>152</v>
      </c>
      <c r="O13" s="107" t="s">
        <v>152</v>
      </c>
      <c r="P13" s="107" t="s">
        <v>152</v>
      </c>
      <c r="Q13" s="107" t="s">
        <v>152</v>
      </c>
      <c r="R13" s="295" t="s">
        <v>152</v>
      </c>
    </row>
    <row r="14" spans="1:21" s="63" customFormat="1" ht="15.6" x14ac:dyDescent="0.3">
      <c r="A14" s="75" t="s">
        <v>33</v>
      </c>
      <c r="B14" s="170" t="s">
        <v>152</v>
      </c>
      <c r="C14" s="67" t="s">
        <v>152</v>
      </c>
      <c r="D14" s="67" t="s">
        <v>152</v>
      </c>
      <c r="E14" s="67" t="s">
        <v>152</v>
      </c>
      <c r="F14" s="67" t="s">
        <v>152</v>
      </c>
      <c r="G14" s="107" t="s">
        <v>152</v>
      </c>
      <c r="H14" s="107" t="s">
        <v>152</v>
      </c>
      <c r="I14" s="107" t="s">
        <v>152</v>
      </c>
      <c r="J14" s="107" t="s">
        <v>152</v>
      </c>
      <c r="K14" s="107" t="s">
        <v>152</v>
      </c>
      <c r="L14" s="107" t="s">
        <v>152</v>
      </c>
      <c r="M14" s="107" t="s">
        <v>152</v>
      </c>
      <c r="N14" s="107" t="s">
        <v>152</v>
      </c>
      <c r="O14" s="107" t="s">
        <v>152</v>
      </c>
      <c r="P14" s="107" t="s">
        <v>152</v>
      </c>
      <c r="Q14" s="271">
        <v>86</v>
      </c>
      <c r="R14" s="295" t="s">
        <v>152</v>
      </c>
    </row>
    <row r="15" spans="1:21" s="63" customFormat="1" ht="15.6" x14ac:dyDescent="0.3">
      <c r="A15" s="75" t="s">
        <v>34</v>
      </c>
      <c r="B15" s="170" t="s">
        <v>152</v>
      </c>
      <c r="C15" s="67" t="s">
        <v>152</v>
      </c>
      <c r="D15" s="67" t="s">
        <v>152</v>
      </c>
      <c r="E15" s="67" t="s">
        <v>152</v>
      </c>
      <c r="F15" s="67" t="s">
        <v>152</v>
      </c>
      <c r="G15" s="107" t="s">
        <v>152</v>
      </c>
      <c r="H15" s="107" t="s">
        <v>152</v>
      </c>
      <c r="I15" s="107" t="s">
        <v>152</v>
      </c>
      <c r="J15" s="107" t="s">
        <v>152</v>
      </c>
      <c r="K15" s="107" t="s">
        <v>152</v>
      </c>
      <c r="L15" s="107" t="s">
        <v>152</v>
      </c>
      <c r="M15" s="107" t="s">
        <v>152</v>
      </c>
      <c r="N15" s="107" t="s">
        <v>152</v>
      </c>
      <c r="O15" s="107" t="s">
        <v>152</v>
      </c>
      <c r="P15" s="107" t="s">
        <v>152</v>
      </c>
      <c r="Q15" s="66">
        <v>213985</v>
      </c>
      <c r="R15" s="295" t="s">
        <v>152</v>
      </c>
    </row>
    <row r="16" spans="1:21" s="63" customFormat="1" ht="16.2" thickBot="1" x14ac:dyDescent="0.35">
      <c r="A16" s="88" t="s">
        <v>36</v>
      </c>
      <c r="B16" s="87" t="s">
        <v>152</v>
      </c>
      <c r="C16" s="72" t="s">
        <v>152</v>
      </c>
      <c r="D16" s="72" t="s">
        <v>152</v>
      </c>
      <c r="E16" s="72" t="s">
        <v>152</v>
      </c>
      <c r="F16" s="72" t="s">
        <v>152</v>
      </c>
      <c r="G16" s="192" t="s">
        <v>152</v>
      </c>
      <c r="H16" s="192" t="s">
        <v>152</v>
      </c>
      <c r="I16" s="192" t="s">
        <v>152</v>
      </c>
      <c r="J16" s="192" t="s">
        <v>152</v>
      </c>
      <c r="K16" s="192" t="s">
        <v>152</v>
      </c>
      <c r="L16" s="192" t="s">
        <v>152</v>
      </c>
      <c r="M16" s="192" t="s">
        <v>152</v>
      </c>
      <c r="N16" s="192" t="s">
        <v>152</v>
      </c>
      <c r="O16" s="192" t="s">
        <v>152</v>
      </c>
      <c r="P16" s="192" t="s">
        <v>152</v>
      </c>
      <c r="Q16" s="71">
        <v>197322</v>
      </c>
      <c r="R16" s="292" t="s">
        <v>152</v>
      </c>
    </row>
    <row r="17" spans="1:18" s="63" customFormat="1" ht="16.2" thickTop="1" x14ac:dyDescent="0.3">
      <c r="A17" s="89" t="s">
        <v>37</v>
      </c>
      <c r="B17" s="90" t="s">
        <v>152</v>
      </c>
      <c r="C17" s="73" t="s">
        <v>152</v>
      </c>
      <c r="D17" s="73" t="s">
        <v>152</v>
      </c>
      <c r="E17" s="73" t="s">
        <v>152</v>
      </c>
      <c r="F17" s="73" t="s">
        <v>152</v>
      </c>
      <c r="G17" s="273">
        <f t="shared" ref="G17:R17" si="0">SUM(G5:G16)</f>
        <v>0</v>
      </c>
      <c r="H17" s="273">
        <f t="shared" si="0"/>
        <v>0</v>
      </c>
      <c r="I17" s="273">
        <f t="shared" si="0"/>
        <v>0</v>
      </c>
      <c r="J17" s="273">
        <f t="shared" si="0"/>
        <v>0</v>
      </c>
      <c r="K17" s="273">
        <f t="shared" si="0"/>
        <v>0</v>
      </c>
      <c r="L17" s="273">
        <f t="shared" si="0"/>
        <v>0</v>
      </c>
      <c r="M17" s="273">
        <f t="shared" si="0"/>
        <v>0</v>
      </c>
      <c r="N17" s="273">
        <f t="shared" si="0"/>
        <v>0</v>
      </c>
      <c r="O17" s="273">
        <f t="shared" si="0"/>
        <v>0</v>
      </c>
      <c r="P17" s="273">
        <f t="shared" si="0"/>
        <v>0</v>
      </c>
      <c r="Q17" s="273">
        <f t="shared" si="0"/>
        <v>411393</v>
      </c>
      <c r="R17" s="288">
        <f t="shared" si="0"/>
        <v>1350498</v>
      </c>
    </row>
    <row r="18" spans="1:18" s="113" customFormat="1" ht="6.6" x14ac:dyDescent="0.3">
      <c r="A18" s="371" t="s">
        <v>174</v>
      </c>
      <c r="B18" s="371"/>
      <c r="C18" s="371"/>
      <c r="D18" s="371"/>
      <c r="E18" s="371"/>
      <c r="F18" s="371"/>
      <c r="G18" s="371"/>
      <c r="H18" s="371"/>
      <c r="I18" s="371"/>
      <c r="J18" s="371"/>
      <c r="K18" s="371"/>
      <c r="L18" s="371"/>
      <c r="M18" s="371"/>
      <c r="N18" s="371"/>
      <c r="O18" s="371"/>
      <c r="P18" s="371"/>
      <c r="Q18" s="371"/>
      <c r="R18" s="371"/>
    </row>
    <row r="19" spans="1:18" s="106" customFormat="1" ht="18" x14ac:dyDescent="0.3">
      <c r="A19" s="395" t="s">
        <v>252</v>
      </c>
      <c r="B19" s="395"/>
      <c r="C19" s="395"/>
      <c r="D19" s="395"/>
      <c r="E19" s="395"/>
      <c r="F19" s="395"/>
      <c r="G19" s="395"/>
      <c r="H19" s="395"/>
      <c r="I19" s="395"/>
      <c r="J19" s="395"/>
      <c r="K19" s="395"/>
      <c r="L19" s="395"/>
      <c r="M19" s="395"/>
      <c r="N19" s="395"/>
      <c r="O19" s="395"/>
      <c r="P19" s="395"/>
      <c r="Q19" s="395"/>
      <c r="R19" s="395"/>
    </row>
    <row r="20" spans="1:18" s="63" customFormat="1" ht="15.6" x14ac:dyDescent="0.3">
      <c r="A20" s="77" t="s">
        <v>23</v>
      </c>
      <c r="B20" s="91">
        <v>2005</v>
      </c>
      <c r="C20" s="64">
        <v>2005</v>
      </c>
      <c r="D20" s="64">
        <v>2006</v>
      </c>
      <c r="E20" s="64">
        <v>2007</v>
      </c>
      <c r="F20" s="64">
        <v>2008</v>
      </c>
      <c r="G20" s="64">
        <v>2009</v>
      </c>
      <c r="H20" s="64">
        <v>2010</v>
      </c>
      <c r="I20" s="64">
        <v>2011</v>
      </c>
      <c r="J20" s="65">
        <v>2012</v>
      </c>
      <c r="K20" s="65">
        <v>2013</v>
      </c>
      <c r="L20" s="65">
        <v>2014</v>
      </c>
      <c r="M20" s="65">
        <v>2015</v>
      </c>
      <c r="N20" s="65">
        <v>2016</v>
      </c>
      <c r="O20" s="65">
        <v>2017</v>
      </c>
      <c r="P20" s="65">
        <v>2018</v>
      </c>
      <c r="Q20" s="336">
        <v>2019</v>
      </c>
      <c r="R20" s="337">
        <v>2020</v>
      </c>
    </row>
    <row r="21" spans="1:18" s="63" customFormat="1" ht="15.6" x14ac:dyDescent="0.3">
      <c r="A21" s="76" t="s">
        <v>24</v>
      </c>
      <c r="B21" s="108" t="s">
        <v>152</v>
      </c>
      <c r="C21" s="107" t="s">
        <v>152</v>
      </c>
      <c r="D21" s="107" t="s">
        <v>152</v>
      </c>
      <c r="E21" s="107" t="s">
        <v>152</v>
      </c>
      <c r="F21" s="107" t="s">
        <v>152</v>
      </c>
      <c r="G21" s="107" t="s">
        <v>152</v>
      </c>
      <c r="H21" s="107" t="s">
        <v>152</v>
      </c>
      <c r="I21" s="107" t="s">
        <v>152</v>
      </c>
      <c r="J21" s="107" t="s">
        <v>152</v>
      </c>
      <c r="K21" s="107" t="s">
        <v>152</v>
      </c>
      <c r="L21" s="107" t="s">
        <v>152</v>
      </c>
      <c r="M21" s="107" t="s">
        <v>152</v>
      </c>
      <c r="N21" s="107" t="s">
        <v>152</v>
      </c>
      <c r="O21" s="107" t="s">
        <v>152</v>
      </c>
      <c r="P21" s="107" t="s">
        <v>152</v>
      </c>
      <c r="Q21" s="107" t="s">
        <v>152</v>
      </c>
      <c r="R21" s="286">
        <v>8979</v>
      </c>
    </row>
    <row r="22" spans="1:18" s="63" customFormat="1" ht="15.6" x14ac:dyDescent="0.3">
      <c r="A22" s="75" t="s">
        <v>25</v>
      </c>
      <c r="B22" s="170" t="s">
        <v>152</v>
      </c>
      <c r="C22" s="67" t="s">
        <v>152</v>
      </c>
      <c r="D22" s="67" t="s">
        <v>152</v>
      </c>
      <c r="E22" s="67" t="s">
        <v>152</v>
      </c>
      <c r="F22" s="67" t="s">
        <v>152</v>
      </c>
      <c r="G22" s="107" t="s">
        <v>152</v>
      </c>
      <c r="H22" s="107" t="s">
        <v>152</v>
      </c>
      <c r="I22" s="107" t="s">
        <v>152</v>
      </c>
      <c r="J22" s="107" t="s">
        <v>152</v>
      </c>
      <c r="K22" s="107" t="s">
        <v>152</v>
      </c>
      <c r="L22" s="107" t="s">
        <v>152</v>
      </c>
      <c r="M22" s="107" t="s">
        <v>152</v>
      </c>
      <c r="N22" s="107" t="s">
        <v>152</v>
      </c>
      <c r="O22" s="107" t="s">
        <v>152</v>
      </c>
      <c r="P22" s="107" t="s">
        <v>152</v>
      </c>
      <c r="Q22" s="107" t="s">
        <v>152</v>
      </c>
      <c r="R22" s="287">
        <v>5172</v>
      </c>
    </row>
    <row r="23" spans="1:18" s="63" customFormat="1" ht="15.6" x14ac:dyDescent="0.3">
      <c r="A23" s="75" t="s">
        <v>26</v>
      </c>
      <c r="B23" s="170" t="s">
        <v>152</v>
      </c>
      <c r="C23" s="67" t="s">
        <v>152</v>
      </c>
      <c r="D23" s="67" t="s">
        <v>152</v>
      </c>
      <c r="E23" s="67" t="s">
        <v>152</v>
      </c>
      <c r="F23" s="67" t="s">
        <v>152</v>
      </c>
      <c r="G23" s="107" t="s">
        <v>152</v>
      </c>
      <c r="H23" s="107" t="s">
        <v>152</v>
      </c>
      <c r="I23" s="107" t="s">
        <v>152</v>
      </c>
      <c r="J23" s="107" t="s">
        <v>152</v>
      </c>
      <c r="K23" s="107" t="s">
        <v>152</v>
      </c>
      <c r="L23" s="107" t="s">
        <v>152</v>
      </c>
      <c r="M23" s="107" t="s">
        <v>152</v>
      </c>
      <c r="N23" s="107" t="s">
        <v>152</v>
      </c>
      <c r="O23" s="107" t="s">
        <v>152</v>
      </c>
      <c r="P23" s="107" t="s">
        <v>152</v>
      </c>
      <c r="Q23" s="107" t="s">
        <v>152</v>
      </c>
      <c r="R23" s="287">
        <v>8661</v>
      </c>
    </row>
    <row r="24" spans="1:18" s="63" customFormat="1" ht="15.6" x14ac:dyDescent="0.3">
      <c r="A24" s="75" t="s">
        <v>27</v>
      </c>
      <c r="B24" s="170" t="s">
        <v>152</v>
      </c>
      <c r="C24" s="67" t="s">
        <v>152</v>
      </c>
      <c r="D24" s="67" t="s">
        <v>152</v>
      </c>
      <c r="E24" s="67" t="s">
        <v>152</v>
      </c>
      <c r="F24" s="67" t="s">
        <v>152</v>
      </c>
      <c r="G24" s="107" t="s">
        <v>152</v>
      </c>
      <c r="H24" s="107" t="s">
        <v>152</v>
      </c>
      <c r="I24" s="107" t="s">
        <v>152</v>
      </c>
      <c r="J24" s="107" t="s">
        <v>152</v>
      </c>
      <c r="K24" s="107" t="s">
        <v>152</v>
      </c>
      <c r="L24" s="107" t="s">
        <v>152</v>
      </c>
      <c r="M24" s="107" t="s">
        <v>152</v>
      </c>
      <c r="N24" s="107" t="s">
        <v>152</v>
      </c>
      <c r="O24" s="107" t="s">
        <v>152</v>
      </c>
      <c r="P24" s="107" t="s">
        <v>152</v>
      </c>
      <c r="Q24" s="107" t="s">
        <v>152</v>
      </c>
      <c r="R24" s="287">
        <v>18524</v>
      </c>
    </row>
    <row r="25" spans="1:18" s="63" customFormat="1" ht="15.6" x14ac:dyDescent="0.3">
      <c r="A25" s="75" t="s">
        <v>28</v>
      </c>
      <c r="B25" s="170" t="s">
        <v>152</v>
      </c>
      <c r="C25" s="67" t="s">
        <v>152</v>
      </c>
      <c r="D25" s="67" t="s">
        <v>152</v>
      </c>
      <c r="E25" s="67" t="s">
        <v>152</v>
      </c>
      <c r="F25" s="67" t="s">
        <v>152</v>
      </c>
      <c r="G25" s="107" t="s">
        <v>152</v>
      </c>
      <c r="H25" s="107" t="s">
        <v>152</v>
      </c>
      <c r="I25" s="107" t="s">
        <v>152</v>
      </c>
      <c r="J25" s="107" t="s">
        <v>152</v>
      </c>
      <c r="K25" s="107" t="s">
        <v>152</v>
      </c>
      <c r="L25" s="107" t="s">
        <v>152</v>
      </c>
      <c r="M25" s="107" t="s">
        <v>152</v>
      </c>
      <c r="N25" s="107" t="s">
        <v>152</v>
      </c>
      <c r="O25" s="107" t="s">
        <v>152</v>
      </c>
      <c r="P25" s="107" t="s">
        <v>152</v>
      </c>
      <c r="Q25" s="107" t="s">
        <v>152</v>
      </c>
      <c r="R25" s="287">
        <v>6018</v>
      </c>
    </row>
    <row r="26" spans="1:18" s="63" customFormat="1" ht="15.6" x14ac:dyDescent="0.3">
      <c r="A26" s="75" t="s">
        <v>29</v>
      </c>
      <c r="B26" s="170" t="s">
        <v>152</v>
      </c>
      <c r="C26" s="67" t="s">
        <v>152</v>
      </c>
      <c r="D26" s="67" t="s">
        <v>152</v>
      </c>
      <c r="E26" s="67" t="s">
        <v>152</v>
      </c>
      <c r="F26" s="67" t="s">
        <v>152</v>
      </c>
      <c r="G26" s="107" t="s">
        <v>152</v>
      </c>
      <c r="H26" s="107" t="s">
        <v>152</v>
      </c>
      <c r="I26" s="107" t="s">
        <v>152</v>
      </c>
      <c r="J26" s="107" t="s">
        <v>152</v>
      </c>
      <c r="K26" s="107" t="s">
        <v>152</v>
      </c>
      <c r="L26" s="107" t="s">
        <v>152</v>
      </c>
      <c r="M26" s="107" t="s">
        <v>152</v>
      </c>
      <c r="N26" s="107" t="s">
        <v>152</v>
      </c>
      <c r="O26" s="107" t="s">
        <v>152</v>
      </c>
      <c r="P26" s="107" t="s">
        <v>152</v>
      </c>
      <c r="Q26" s="107" t="s">
        <v>152</v>
      </c>
      <c r="R26" s="287">
        <v>4526</v>
      </c>
    </row>
    <row r="27" spans="1:18" s="63" customFormat="1" ht="15.6" x14ac:dyDescent="0.3">
      <c r="A27" s="75" t="s">
        <v>30</v>
      </c>
      <c r="B27" s="170" t="s">
        <v>152</v>
      </c>
      <c r="C27" s="67" t="s">
        <v>152</v>
      </c>
      <c r="D27" s="67" t="s">
        <v>152</v>
      </c>
      <c r="E27" s="67" t="s">
        <v>152</v>
      </c>
      <c r="F27" s="67" t="s">
        <v>152</v>
      </c>
      <c r="G27" s="107" t="s">
        <v>152</v>
      </c>
      <c r="H27" s="107" t="s">
        <v>152</v>
      </c>
      <c r="I27" s="107" t="s">
        <v>152</v>
      </c>
      <c r="J27" s="107" t="s">
        <v>152</v>
      </c>
      <c r="K27" s="107" t="s">
        <v>152</v>
      </c>
      <c r="L27" s="107" t="s">
        <v>152</v>
      </c>
      <c r="M27" s="107" t="s">
        <v>152</v>
      </c>
      <c r="N27" s="107" t="s">
        <v>152</v>
      </c>
      <c r="O27" s="107" t="s">
        <v>152</v>
      </c>
      <c r="P27" s="107" t="s">
        <v>152</v>
      </c>
      <c r="Q27" s="174" t="s">
        <v>152</v>
      </c>
      <c r="R27" s="291" t="s">
        <v>152</v>
      </c>
    </row>
    <row r="28" spans="1:18" s="63" customFormat="1" ht="15.6" x14ac:dyDescent="0.3">
      <c r="A28" s="75" t="s">
        <v>31</v>
      </c>
      <c r="B28" s="170" t="s">
        <v>152</v>
      </c>
      <c r="C28" s="67" t="s">
        <v>152</v>
      </c>
      <c r="D28" s="67" t="s">
        <v>152</v>
      </c>
      <c r="E28" s="67" t="s">
        <v>152</v>
      </c>
      <c r="F28" s="67" t="s">
        <v>152</v>
      </c>
      <c r="G28" s="107" t="s">
        <v>152</v>
      </c>
      <c r="H28" s="107" t="s">
        <v>152</v>
      </c>
      <c r="I28" s="107" t="s">
        <v>152</v>
      </c>
      <c r="J28" s="107" t="s">
        <v>152</v>
      </c>
      <c r="K28" s="107" t="s">
        <v>152</v>
      </c>
      <c r="L28" s="107" t="s">
        <v>152</v>
      </c>
      <c r="M28" s="107" t="s">
        <v>152</v>
      </c>
      <c r="N28" s="107" t="s">
        <v>152</v>
      </c>
      <c r="O28" s="107" t="s">
        <v>152</v>
      </c>
      <c r="P28" s="107" t="s">
        <v>152</v>
      </c>
      <c r="Q28" s="107" t="s">
        <v>152</v>
      </c>
      <c r="R28" s="295" t="s">
        <v>152</v>
      </c>
    </row>
    <row r="29" spans="1:18" s="63" customFormat="1" ht="15.6" x14ac:dyDescent="0.3">
      <c r="A29" s="75" t="s">
        <v>32</v>
      </c>
      <c r="B29" s="170" t="s">
        <v>152</v>
      </c>
      <c r="C29" s="67" t="s">
        <v>152</v>
      </c>
      <c r="D29" s="67" t="s">
        <v>152</v>
      </c>
      <c r="E29" s="67" t="s">
        <v>152</v>
      </c>
      <c r="F29" s="67" t="s">
        <v>152</v>
      </c>
      <c r="G29" s="107" t="s">
        <v>152</v>
      </c>
      <c r="H29" s="107" t="s">
        <v>152</v>
      </c>
      <c r="I29" s="107" t="s">
        <v>152</v>
      </c>
      <c r="J29" s="107" t="s">
        <v>152</v>
      </c>
      <c r="K29" s="107" t="s">
        <v>152</v>
      </c>
      <c r="L29" s="107" t="s">
        <v>152</v>
      </c>
      <c r="M29" s="107" t="s">
        <v>152</v>
      </c>
      <c r="N29" s="107" t="s">
        <v>152</v>
      </c>
      <c r="O29" s="107" t="s">
        <v>152</v>
      </c>
      <c r="P29" s="107" t="s">
        <v>152</v>
      </c>
      <c r="Q29" s="107" t="s">
        <v>152</v>
      </c>
      <c r="R29" s="295" t="s">
        <v>152</v>
      </c>
    </row>
    <row r="30" spans="1:18" s="63" customFormat="1" ht="15.6" x14ac:dyDescent="0.3">
      <c r="A30" s="75" t="s">
        <v>33</v>
      </c>
      <c r="B30" s="170" t="s">
        <v>152</v>
      </c>
      <c r="C30" s="67" t="s">
        <v>152</v>
      </c>
      <c r="D30" s="67" t="s">
        <v>152</v>
      </c>
      <c r="E30" s="67" t="s">
        <v>152</v>
      </c>
      <c r="F30" s="67" t="s">
        <v>152</v>
      </c>
      <c r="G30" s="107" t="s">
        <v>152</v>
      </c>
      <c r="H30" s="107" t="s">
        <v>152</v>
      </c>
      <c r="I30" s="107" t="s">
        <v>152</v>
      </c>
      <c r="J30" s="107" t="s">
        <v>152</v>
      </c>
      <c r="K30" s="107" t="s">
        <v>152</v>
      </c>
      <c r="L30" s="107" t="s">
        <v>152</v>
      </c>
      <c r="M30" s="107" t="s">
        <v>152</v>
      </c>
      <c r="N30" s="107" t="s">
        <v>152</v>
      </c>
      <c r="O30" s="107" t="s">
        <v>152</v>
      </c>
      <c r="P30" s="107" t="s">
        <v>152</v>
      </c>
      <c r="Q30" s="271">
        <v>0</v>
      </c>
      <c r="R30" s="295" t="s">
        <v>152</v>
      </c>
    </row>
    <row r="31" spans="1:18" s="63" customFormat="1" ht="15.6" x14ac:dyDescent="0.3">
      <c r="A31" s="75" t="s">
        <v>34</v>
      </c>
      <c r="B31" s="170" t="s">
        <v>152</v>
      </c>
      <c r="C31" s="67" t="s">
        <v>152</v>
      </c>
      <c r="D31" s="67" t="s">
        <v>152</v>
      </c>
      <c r="E31" s="67" t="s">
        <v>152</v>
      </c>
      <c r="F31" s="67" t="s">
        <v>152</v>
      </c>
      <c r="G31" s="107" t="s">
        <v>152</v>
      </c>
      <c r="H31" s="107" t="s">
        <v>152</v>
      </c>
      <c r="I31" s="107" t="s">
        <v>152</v>
      </c>
      <c r="J31" s="107" t="s">
        <v>152</v>
      </c>
      <c r="K31" s="107" t="s">
        <v>152</v>
      </c>
      <c r="L31" s="107" t="s">
        <v>152</v>
      </c>
      <c r="M31" s="107" t="s">
        <v>152</v>
      </c>
      <c r="N31" s="107" t="s">
        <v>152</v>
      </c>
      <c r="O31" s="107" t="s">
        <v>152</v>
      </c>
      <c r="P31" s="107" t="s">
        <v>152</v>
      </c>
      <c r="Q31" s="66">
        <v>7654</v>
      </c>
      <c r="R31" s="295" t="s">
        <v>152</v>
      </c>
    </row>
    <row r="32" spans="1:18" s="63" customFormat="1" ht="16.2" thickBot="1" x14ac:dyDescent="0.35">
      <c r="A32" s="88" t="s">
        <v>36</v>
      </c>
      <c r="B32" s="87" t="s">
        <v>152</v>
      </c>
      <c r="C32" s="72" t="s">
        <v>152</v>
      </c>
      <c r="D32" s="72" t="s">
        <v>152</v>
      </c>
      <c r="E32" s="72" t="s">
        <v>152</v>
      </c>
      <c r="F32" s="72" t="s">
        <v>152</v>
      </c>
      <c r="G32" s="192" t="s">
        <v>152</v>
      </c>
      <c r="H32" s="192" t="s">
        <v>152</v>
      </c>
      <c r="I32" s="192" t="s">
        <v>152</v>
      </c>
      <c r="J32" s="192" t="s">
        <v>152</v>
      </c>
      <c r="K32" s="192" t="s">
        <v>152</v>
      </c>
      <c r="L32" s="192" t="s">
        <v>152</v>
      </c>
      <c r="M32" s="192" t="s">
        <v>152</v>
      </c>
      <c r="N32" s="192" t="s">
        <v>152</v>
      </c>
      <c r="O32" s="192" t="s">
        <v>152</v>
      </c>
      <c r="P32" s="192" t="s">
        <v>152</v>
      </c>
      <c r="Q32" s="71">
        <v>10736</v>
      </c>
      <c r="R32" s="292" t="s">
        <v>152</v>
      </c>
    </row>
    <row r="33" spans="1:18" s="63" customFormat="1" ht="16.2" thickTop="1" x14ac:dyDescent="0.3">
      <c r="A33" s="89" t="s">
        <v>37</v>
      </c>
      <c r="B33" s="90" t="s">
        <v>152</v>
      </c>
      <c r="C33" s="73" t="s">
        <v>152</v>
      </c>
      <c r="D33" s="73" t="s">
        <v>152</v>
      </c>
      <c r="E33" s="73" t="s">
        <v>152</v>
      </c>
      <c r="F33" s="73" t="s">
        <v>152</v>
      </c>
      <c r="G33" s="273">
        <f t="shared" ref="G33:R33" si="1">SUM(G21:G32)</f>
        <v>0</v>
      </c>
      <c r="H33" s="273">
        <f t="shared" si="1"/>
        <v>0</v>
      </c>
      <c r="I33" s="273">
        <f t="shared" si="1"/>
        <v>0</v>
      </c>
      <c r="J33" s="273">
        <f t="shared" si="1"/>
        <v>0</v>
      </c>
      <c r="K33" s="273">
        <f t="shared" si="1"/>
        <v>0</v>
      </c>
      <c r="L33" s="273">
        <f t="shared" si="1"/>
        <v>0</v>
      </c>
      <c r="M33" s="273">
        <f t="shared" si="1"/>
        <v>0</v>
      </c>
      <c r="N33" s="273">
        <f t="shared" si="1"/>
        <v>0</v>
      </c>
      <c r="O33" s="273">
        <f t="shared" si="1"/>
        <v>0</v>
      </c>
      <c r="P33" s="273">
        <f t="shared" si="1"/>
        <v>0</v>
      </c>
      <c r="Q33" s="273">
        <f t="shared" si="1"/>
        <v>18390</v>
      </c>
      <c r="R33" s="288">
        <f t="shared" si="1"/>
        <v>51880</v>
      </c>
    </row>
    <row r="34" spans="1:18" s="113" customFormat="1" ht="6.6" x14ac:dyDescent="0.3">
      <c r="A34" s="371" t="s">
        <v>174</v>
      </c>
      <c r="B34" s="371"/>
      <c r="C34" s="371"/>
      <c r="D34" s="371"/>
      <c r="E34" s="371"/>
      <c r="F34" s="371"/>
      <c r="G34" s="371"/>
      <c r="H34" s="371"/>
      <c r="I34" s="371"/>
      <c r="J34" s="371"/>
      <c r="K34" s="371"/>
      <c r="L34" s="371"/>
      <c r="M34" s="371"/>
      <c r="N34" s="371"/>
      <c r="O34" s="371"/>
      <c r="P34" s="371"/>
      <c r="Q34" s="371"/>
      <c r="R34" s="371"/>
    </row>
    <row r="35" spans="1:18" s="106" customFormat="1" ht="18" x14ac:dyDescent="0.3">
      <c r="A35" s="370" t="s">
        <v>253</v>
      </c>
      <c r="B35" s="370"/>
      <c r="C35" s="370"/>
      <c r="D35" s="370"/>
      <c r="E35" s="370"/>
      <c r="F35" s="370"/>
      <c r="G35" s="370"/>
      <c r="H35" s="370"/>
      <c r="I35" s="370"/>
      <c r="J35" s="370"/>
      <c r="K35" s="370"/>
      <c r="L35" s="370"/>
      <c r="M35" s="370"/>
      <c r="N35" s="370"/>
      <c r="O35" s="370"/>
      <c r="P35" s="370"/>
      <c r="Q35" s="370"/>
      <c r="R35" s="370"/>
    </row>
    <row r="36" spans="1:18" s="63" customFormat="1" ht="15.6" x14ac:dyDescent="0.3">
      <c r="A36" s="77" t="s">
        <v>23</v>
      </c>
      <c r="B36" s="91">
        <v>2005</v>
      </c>
      <c r="C36" s="64">
        <v>2005</v>
      </c>
      <c r="D36" s="64">
        <v>2006</v>
      </c>
      <c r="E36" s="64">
        <v>2007</v>
      </c>
      <c r="F36" s="64">
        <v>2008</v>
      </c>
      <c r="G36" s="64">
        <v>2009</v>
      </c>
      <c r="H36" s="64">
        <v>2010</v>
      </c>
      <c r="I36" s="64">
        <v>2011</v>
      </c>
      <c r="J36" s="65">
        <v>2012</v>
      </c>
      <c r="K36" s="65">
        <v>2013</v>
      </c>
      <c r="L36" s="65">
        <v>2014</v>
      </c>
      <c r="M36" s="65">
        <v>2015</v>
      </c>
      <c r="N36" s="65">
        <v>2016</v>
      </c>
      <c r="O36" s="65">
        <v>2017</v>
      </c>
      <c r="P36" s="65">
        <v>2018</v>
      </c>
      <c r="Q36" s="336">
        <v>2019</v>
      </c>
      <c r="R36" s="337">
        <v>2020</v>
      </c>
    </row>
    <row r="37" spans="1:18" s="63" customFormat="1" ht="15.6" x14ac:dyDescent="0.3">
      <c r="A37" s="76" t="s">
        <v>24</v>
      </c>
      <c r="B37" s="108" t="s">
        <v>152</v>
      </c>
      <c r="C37" s="107" t="s">
        <v>152</v>
      </c>
      <c r="D37" s="107" t="s">
        <v>152</v>
      </c>
      <c r="E37" s="107" t="s">
        <v>152</v>
      </c>
      <c r="F37" s="107" t="s">
        <v>152</v>
      </c>
      <c r="G37" s="107" t="s">
        <v>152</v>
      </c>
      <c r="H37" s="107" t="s">
        <v>152</v>
      </c>
      <c r="I37" s="107" t="s">
        <v>152</v>
      </c>
      <c r="J37" s="107" t="s">
        <v>152</v>
      </c>
      <c r="K37" s="107" t="s">
        <v>152</v>
      </c>
      <c r="L37" s="107" t="s">
        <v>152</v>
      </c>
      <c r="M37" s="107" t="s">
        <v>152</v>
      </c>
      <c r="N37" s="107" t="s">
        <v>152</v>
      </c>
      <c r="O37" s="107" t="s">
        <v>152</v>
      </c>
      <c r="P37" s="107" t="s">
        <v>152</v>
      </c>
      <c r="Q37" s="107" t="s">
        <v>152</v>
      </c>
      <c r="R37" s="286">
        <v>0</v>
      </c>
    </row>
    <row r="38" spans="1:18" s="63" customFormat="1" ht="15.6" x14ac:dyDescent="0.3">
      <c r="A38" s="75" t="s">
        <v>25</v>
      </c>
      <c r="B38" s="170" t="s">
        <v>152</v>
      </c>
      <c r="C38" s="67" t="s">
        <v>152</v>
      </c>
      <c r="D38" s="67" t="s">
        <v>152</v>
      </c>
      <c r="E38" s="67" t="s">
        <v>152</v>
      </c>
      <c r="F38" s="67" t="s">
        <v>152</v>
      </c>
      <c r="G38" s="107" t="s">
        <v>152</v>
      </c>
      <c r="H38" s="107" t="s">
        <v>152</v>
      </c>
      <c r="I38" s="107" t="s">
        <v>152</v>
      </c>
      <c r="J38" s="107" t="s">
        <v>152</v>
      </c>
      <c r="K38" s="107" t="s">
        <v>152</v>
      </c>
      <c r="L38" s="107" t="s">
        <v>152</v>
      </c>
      <c r="M38" s="107" t="s">
        <v>152</v>
      </c>
      <c r="N38" s="107" t="s">
        <v>152</v>
      </c>
      <c r="O38" s="107" t="s">
        <v>152</v>
      </c>
      <c r="P38" s="107" t="s">
        <v>152</v>
      </c>
      <c r="Q38" s="107" t="s">
        <v>152</v>
      </c>
      <c r="R38" s="287">
        <v>0</v>
      </c>
    </row>
    <row r="39" spans="1:18" s="63" customFormat="1" ht="15.6" x14ac:dyDescent="0.3">
      <c r="A39" s="75" t="s">
        <v>26</v>
      </c>
      <c r="B39" s="170" t="s">
        <v>152</v>
      </c>
      <c r="C39" s="67" t="s">
        <v>152</v>
      </c>
      <c r="D39" s="67" t="s">
        <v>152</v>
      </c>
      <c r="E39" s="67" t="s">
        <v>152</v>
      </c>
      <c r="F39" s="67" t="s">
        <v>152</v>
      </c>
      <c r="G39" s="107" t="s">
        <v>152</v>
      </c>
      <c r="H39" s="107" t="s">
        <v>152</v>
      </c>
      <c r="I39" s="107" t="s">
        <v>152</v>
      </c>
      <c r="J39" s="107" t="s">
        <v>152</v>
      </c>
      <c r="K39" s="107" t="s">
        <v>152</v>
      </c>
      <c r="L39" s="107" t="s">
        <v>152</v>
      </c>
      <c r="M39" s="107" t="s">
        <v>152</v>
      </c>
      <c r="N39" s="107" t="s">
        <v>152</v>
      </c>
      <c r="O39" s="107" t="s">
        <v>152</v>
      </c>
      <c r="P39" s="107" t="s">
        <v>152</v>
      </c>
      <c r="Q39" s="107" t="s">
        <v>152</v>
      </c>
      <c r="R39" s="287">
        <v>-46</v>
      </c>
    </row>
    <row r="40" spans="1:18" s="63" customFormat="1" ht="15.6" x14ac:dyDescent="0.3">
      <c r="A40" s="75" t="s">
        <v>27</v>
      </c>
      <c r="B40" s="170" t="s">
        <v>152</v>
      </c>
      <c r="C40" s="67" t="s">
        <v>152</v>
      </c>
      <c r="D40" s="67" t="s">
        <v>152</v>
      </c>
      <c r="E40" s="67" t="s">
        <v>152</v>
      </c>
      <c r="F40" s="67" t="s">
        <v>152</v>
      </c>
      <c r="G40" s="107" t="s">
        <v>152</v>
      </c>
      <c r="H40" s="107" t="s">
        <v>152</v>
      </c>
      <c r="I40" s="107" t="s">
        <v>152</v>
      </c>
      <c r="J40" s="107" t="s">
        <v>152</v>
      </c>
      <c r="K40" s="107" t="s">
        <v>152</v>
      </c>
      <c r="L40" s="107" t="s">
        <v>152</v>
      </c>
      <c r="M40" s="107" t="s">
        <v>152</v>
      </c>
      <c r="N40" s="107" t="s">
        <v>152</v>
      </c>
      <c r="O40" s="107" t="s">
        <v>152</v>
      </c>
      <c r="P40" s="107" t="s">
        <v>152</v>
      </c>
      <c r="Q40" s="174" t="s">
        <v>152</v>
      </c>
      <c r="R40" s="287">
        <v>0</v>
      </c>
    </row>
    <row r="41" spans="1:18" s="63" customFormat="1" ht="15.6" x14ac:dyDescent="0.3">
      <c r="A41" s="75" t="s">
        <v>28</v>
      </c>
      <c r="B41" s="170" t="s">
        <v>152</v>
      </c>
      <c r="C41" s="67" t="s">
        <v>152</v>
      </c>
      <c r="D41" s="67" t="s">
        <v>152</v>
      </c>
      <c r="E41" s="67" t="s">
        <v>152</v>
      </c>
      <c r="F41" s="67" t="s">
        <v>152</v>
      </c>
      <c r="G41" s="107" t="s">
        <v>152</v>
      </c>
      <c r="H41" s="107" t="s">
        <v>152</v>
      </c>
      <c r="I41" s="107" t="s">
        <v>152</v>
      </c>
      <c r="J41" s="107" t="s">
        <v>152</v>
      </c>
      <c r="K41" s="107" t="s">
        <v>152</v>
      </c>
      <c r="L41" s="107" t="s">
        <v>152</v>
      </c>
      <c r="M41" s="107" t="s">
        <v>152</v>
      </c>
      <c r="N41" s="107" t="s">
        <v>152</v>
      </c>
      <c r="O41" s="107" t="s">
        <v>152</v>
      </c>
      <c r="P41" s="107" t="s">
        <v>152</v>
      </c>
      <c r="Q41" s="107" t="s">
        <v>152</v>
      </c>
      <c r="R41" s="287">
        <v>-385</v>
      </c>
    </row>
    <row r="42" spans="1:18" s="63" customFormat="1" ht="15.6" x14ac:dyDescent="0.3">
      <c r="A42" s="75" t="s">
        <v>29</v>
      </c>
      <c r="B42" s="170" t="s">
        <v>152</v>
      </c>
      <c r="C42" s="67" t="s">
        <v>152</v>
      </c>
      <c r="D42" s="67" t="s">
        <v>152</v>
      </c>
      <c r="E42" s="67" t="s">
        <v>152</v>
      </c>
      <c r="F42" s="67" t="s">
        <v>152</v>
      </c>
      <c r="G42" s="107" t="s">
        <v>152</v>
      </c>
      <c r="H42" s="107" t="s">
        <v>152</v>
      </c>
      <c r="I42" s="107" t="s">
        <v>152</v>
      </c>
      <c r="J42" s="107" t="s">
        <v>152</v>
      </c>
      <c r="K42" s="107" t="s">
        <v>152</v>
      </c>
      <c r="L42" s="107" t="s">
        <v>152</v>
      </c>
      <c r="M42" s="107" t="s">
        <v>152</v>
      </c>
      <c r="N42" s="107" t="s">
        <v>152</v>
      </c>
      <c r="O42" s="107" t="s">
        <v>152</v>
      </c>
      <c r="P42" s="107" t="s">
        <v>152</v>
      </c>
      <c r="Q42" s="107" t="s">
        <v>152</v>
      </c>
      <c r="R42" s="287">
        <v>-41</v>
      </c>
    </row>
    <row r="43" spans="1:18" s="63" customFormat="1" ht="15.6" x14ac:dyDescent="0.3">
      <c r="A43" s="75" t="s">
        <v>30</v>
      </c>
      <c r="B43" s="170" t="s">
        <v>152</v>
      </c>
      <c r="C43" s="67" t="s">
        <v>152</v>
      </c>
      <c r="D43" s="67" t="s">
        <v>152</v>
      </c>
      <c r="E43" s="67" t="s">
        <v>152</v>
      </c>
      <c r="F43" s="67" t="s">
        <v>152</v>
      </c>
      <c r="G43" s="107" t="s">
        <v>152</v>
      </c>
      <c r="H43" s="107" t="s">
        <v>152</v>
      </c>
      <c r="I43" s="107" t="s">
        <v>152</v>
      </c>
      <c r="J43" s="107" t="s">
        <v>152</v>
      </c>
      <c r="K43" s="107" t="s">
        <v>152</v>
      </c>
      <c r="L43" s="107" t="s">
        <v>152</v>
      </c>
      <c r="M43" s="107" t="s">
        <v>152</v>
      </c>
      <c r="N43" s="107" t="s">
        <v>152</v>
      </c>
      <c r="O43" s="107" t="s">
        <v>152</v>
      </c>
      <c r="P43" s="107" t="s">
        <v>152</v>
      </c>
      <c r="Q43" s="107" t="s">
        <v>152</v>
      </c>
      <c r="R43" s="291" t="s">
        <v>152</v>
      </c>
    </row>
    <row r="44" spans="1:18" s="63" customFormat="1" ht="15.6" x14ac:dyDescent="0.3">
      <c r="A44" s="75" t="s">
        <v>31</v>
      </c>
      <c r="B44" s="170" t="s">
        <v>152</v>
      </c>
      <c r="C44" s="67" t="s">
        <v>152</v>
      </c>
      <c r="D44" s="67" t="s">
        <v>152</v>
      </c>
      <c r="E44" s="67" t="s">
        <v>152</v>
      </c>
      <c r="F44" s="67" t="s">
        <v>152</v>
      </c>
      <c r="G44" s="107" t="s">
        <v>152</v>
      </c>
      <c r="H44" s="107" t="s">
        <v>152</v>
      </c>
      <c r="I44" s="107" t="s">
        <v>152</v>
      </c>
      <c r="J44" s="107" t="s">
        <v>152</v>
      </c>
      <c r="K44" s="107" t="s">
        <v>152</v>
      </c>
      <c r="L44" s="107" t="s">
        <v>152</v>
      </c>
      <c r="M44" s="107" t="s">
        <v>152</v>
      </c>
      <c r="N44" s="107" t="s">
        <v>152</v>
      </c>
      <c r="O44" s="107" t="s">
        <v>152</v>
      </c>
      <c r="P44" s="107" t="s">
        <v>152</v>
      </c>
      <c r="Q44" s="107" t="s">
        <v>152</v>
      </c>
      <c r="R44" s="295" t="s">
        <v>152</v>
      </c>
    </row>
    <row r="45" spans="1:18" s="63" customFormat="1" ht="15.6" x14ac:dyDescent="0.3">
      <c r="A45" s="75" t="s">
        <v>32</v>
      </c>
      <c r="B45" s="170" t="s">
        <v>152</v>
      </c>
      <c r="C45" s="67" t="s">
        <v>152</v>
      </c>
      <c r="D45" s="67" t="s">
        <v>152</v>
      </c>
      <c r="E45" s="67" t="s">
        <v>152</v>
      </c>
      <c r="F45" s="67" t="s">
        <v>152</v>
      </c>
      <c r="G45" s="107" t="s">
        <v>152</v>
      </c>
      <c r="H45" s="107" t="s">
        <v>152</v>
      </c>
      <c r="I45" s="107" t="s">
        <v>152</v>
      </c>
      <c r="J45" s="107" t="s">
        <v>152</v>
      </c>
      <c r="K45" s="107" t="s">
        <v>152</v>
      </c>
      <c r="L45" s="107" t="s">
        <v>152</v>
      </c>
      <c r="M45" s="107" t="s">
        <v>152</v>
      </c>
      <c r="N45" s="107" t="s">
        <v>152</v>
      </c>
      <c r="O45" s="107" t="s">
        <v>152</v>
      </c>
      <c r="P45" s="107" t="s">
        <v>152</v>
      </c>
      <c r="Q45" s="107" t="s">
        <v>152</v>
      </c>
      <c r="R45" s="295" t="s">
        <v>152</v>
      </c>
    </row>
    <row r="46" spans="1:18" s="63" customFormat="1" ht="15.6" x14ac:dyDescent="0.3">
      <c r="A46" s="75" t="s">
        <v>33</v>
      </c>
      <c r="B46" s="170" t="s">
        <v>152</v>
      </c>
      <c r="C46" s="67" t="s">
        <v>152</v>
      </c>
      <c r="D46" s="67" t="s">
        <v>152</v>
      </c>
      <c r="E46" s="67" t="s">
        <v>152</v>
      </c>
      <c r="F46" s="67" t="s">
        <v>152</v>
      </c>
      <c r="G46" s="107" t="s">
        <v>152</v>
      </c>
      <c r="H46" s="107" t="s">
        <v>152</v>
      </c>
      <c r="I46" s="107" t="s">
        <v>152</v>
      </c>
      <c r="J46" s="107" t="s">
        <v>152</v>
      </c>
      <c r="K46" s="107" t="s">
        <v>152</v>
      </c>
      <c r="L46" s="107" t="s">
        <v>152</v>
      </c>
      <c r="M46" s="107" t="s">
        <v>152</v>
      </c>
      <c r="N46" s="107" t="s">
        <v>152</v>
      </c>
      <c r="O46" s="107" t="s">
        <v>152</v>
      </c>
      <c r="P46" s="107" t="s">
        <v>152</v>
      </c>
      <c r="Q46" s="271">
        <v>0</v>
      </c>
      <c r="R46" s="295" t="s">
        <v>152</v>
      </c>
    </row>
    <row r="47" spans="1:18" s="63" customFormat="1" ht="15.6" x14ac:dyDescent="0.3">
      <c r="A47" s="75" t="s">
        <v>34</v>
      </c>
      <c r="B47" s="170" t="s">
        <v>152</v>
      </c>
      <c r="C47" s="67" t="s">
        <v>152</v>
      </c>
      <c r="D47" s="67" t="s">
        <v>152</v>
      </c>
      <c r="E47" s="67" t="s">
        <v>152</v>
      </c>
      <c r="F47" s="67" t="s">
        <v>152</v>
      </c>
      <c r="G47" s="107" t="s">
        <v>152</v>
      </c>
      <c r="H47" s="107" t="s">
        <v>152</v>
      </c>
      <c r="I47" s="107" t="s">
        <v>152</v>
      </c>
      <c r="J47" s="107" t="s">
        <v>152</v>
      </c>
      <c r="K47" s="107" t="s">
        <v>152</v>
      </c>
      <c r="L47" s="107" t="s">
        <v>152</v>
      </c>
      <c r="M47" s="107" t="s">
        <v>152</v>
      </c>
      <c r="N47" s="107" t="s">
        <v>152</v>
      </c>
      <c r="O47" s="107" t="s">
        <v>152</v>
      </c>
      <c r="P47" s="107" t="s">
        <v>152</v>
      </c>
      <c r="Q47" s="66">
        <v>0</v>
      </c>
      <c r="R47" s="295" t="s">
        <v>152</v>
      </c>
    </row>
    <row r="48" spans="1:18" s="63" customFormat="1" ht="16.2" thickBot="1" x14ac:dyDescent="0.35">
      <c r="A48" s="88" t="s">
        <v>36</v>
      </c>
      <c r="B48" s="87" t="s">
        <v>152</v>
      </c>
      <c r="C48" s="72" t="s">
        <v>152</v>
      </c>
      <c r="D48" s="72" t="s">
        <v>152</v>
      </c>
      <c r="E48" s="72" t="s">
        <v>152</v>
      </c>
      <c r="F48" s="72" t="s">
        <v>152</v>
      </c>
      <c r="G48" s="192" t="s">
        <v>152</v>
      </c>
      <c r="H48" s="192" t="s">
        <v>152</v>
      </c>
      <c r="I48" s="192" t="s">
        <v>152</v>
      </c>
      <c r="J48" s="192" t="s">
        <v>152</v>
      </c>
      <c r="K48" s="192" t="s">
        <v>152</v>
      </c>
      <c r="L48" s="192" t="s">
        <v>152</v>
      </c>
      <c r="M48" s="192" t="s">
        <v>152</v>
      </c>
      <c r="N48" s="192" t="s">
        <v>152</v>
      </c>
      <c r="O48" s="192" t="s">
        <v>152</v>
      </c>
      <c r="P48" s="192" t="s">
        <v>152</v>
      </c>
      <c r="Q48" s="71">
        <v>0</v>
      </c>
      <c r="R48" s="292" t="s">
        <v>152</v>
      </c>
    </row>
    <row r="49" spans="1:20" s="63" customFormat="1" ht="16.2" thickTop="1" x14ac:dyDescent="0.3">
      <c r="A49" s="89" t="s">
        <v>37</v>
      </c>
      <c r="B49" s="90" t="s">
        <v>152</v>
      </c>
      <c r="C49" s="73" t="s">
        <v>152</v>
      </c>
      <c r="D49" s="73" t="s">
        <v>152</v>
      </c>
      <c r="E49" s="73" t="s">
        <v>152</v>
      </c>
      <c r="F49" s="73" t="s">
        <v>152</v>
      </c>
      <c r="G49" s="273">
        <f t="shared" ref="G49:R49" si="2">SUM(G37:G48)</f>
        <v>0</v>
      </c>
      <c r="H49" s="273">
        <f t="shared" si="2"/>
        <v>0</v>
      </c>
      <c r="I49" s="273">
        <f t="shared" si="2"/>
        <v>0</v>
      </c>
      <c r="J49" s="273">
        <f t="shared" si="2"/>
        <v>0</v>
      </c>
      <c r="K49" s="273">
        <f t="shared" si="2"/>
        <v>0</v>
      </c>
      <c r="L49" s="273">
        <f t="shared" si="2"/>
        <v>0</v>
      </c>
      <c r="M49" s="273">
        <f t="shared" si="2"/>
        <v>0</v>
      </c>
      <c r="N49" s="273">
        <f t="shared" si="2"/>
        <v>0</v>
      </c>
      <c r="O49" s="273">
        <f t="shared" si="2"/>
        <v>0</v>
      </c>
      <c r="P49" s="273">
        <f t="shared" si="2"/>
        <v>0</v>
      </c>
      <c r="Q49" s="273">
        <f t="shared" si="2"/>
        <v>0</v>
      </c>
      <c r="R49" s="288">
        <f t="shared" si="2"/>
        <v>-472</v>
      </c>
    </row>
    <row r="50" spans="1:20" s="113" customFormat="1" ht="6.6" x14ac:dyDescent="0.3">
      <c r="A50" s="371" t="s">
        <v>174</v>
      </c>
      <c r="B50" s="371"/>
      <c r="C50" s="371"/>
      <c r="D50" s="371"/>
      <c r="E50" s="371"/>
      <c r="F50" s="371"/>
      <c r="G50" s="371"/>
      <c r="H50" s="371"/>
      <c r="I50" s="371"/>
      <c r="J50" s="371"/>
      <c r="K50" s="371"/>
      <c r="L50" s="371"/>
      <c r="M50" s="371"/>
      <c r="N50" s="371"/>
      <c r="O50" s="371"/>
      <c r="P50" s="371"/>
      <c r="Q50" s="371"/>
      <c r="R50" s="371"/>
    </row>
    <row r="51" spans="1:20" s="111" customFormat="1" ht="13.8" x14ac:dyDescent="0.3">
      <c r="A51" s="373" t="s">
        <v>221</v>
      </c>
      <c r="B51" s="373"/>
      <c r="C51" s="373"/>
      <c r="D51" s="373"/>
      <c r="E51" s="373"/>
      <c r="F51" s="373"/>
      <c r="G51" s="373"/>
      <c r="H51" s="373"/>
      <c r="I51" s="373"/>
      <c r="J51" s="373"/>
      <c r="K51" s="373"/>
      <c r="L51" s="373"/>
      <c r="M51" s="373"/>
      <c r="N51" s="373"/>
      <c r="O51" s="373"/>
      <c r="P51" s="373"/>
      <c r="Q51" s="373"/>
      <c r="R51" s="373"/>
      <c r="S51" s="373"/>
    </row>
    <row r="52" spans="1:20" s="111" customFormat="1" ht="13.8" x14ac:dyDescent="0.3">
      <c r="A52" s="384" t="str">
        <f>'Local SUT'!A60</f>
        <v>Source:  Minnesota Department of Revenue, Tax Research Division, February 2021</v>
      </c>
      <c r="B52" s="384"/>
      <c r="C52" s="384"/>
      <c r="D52" s="384"/>
      <c r="E52" s="384"/>
      <c r="F52" s="384"/>
      <c r="G52" s="384"/>
      <c r="H52" s="384"/>
      <c r="I52" s="384"/>
      <c r="J52" s="384"/>
      <c r="K52" s="384"/>
      <c r="L52" s="384"/>
      <c r="M52" s="384"/>
      <c r="N52" s="384"/>
      <c r="O52" s="384"/>
      <c r="P52" s="384"/>
      <c r="Q52" s="384"/>
      <c r="R52" s="384"/>
      <c r="S52" s="384"/>
      <c r="T52" s="384"/>
    </row>
    <row r="53" spans="1:20" s="111" customFormat="1" ht="13.8" x14ac:dyDescent="0.3">
      <c r="A53" s="379" t="s">
        <v>151</v>
      </c>
      <c r="B53" s="379"/>
      <c r="C53" s="379"/>
      <c r="D53" s="379"/>
      <c r="E53" s="379"/>
      <c r="F53" s="379"/>
      <c r="G53" s="379"/>
      <c r="H53" s="379"/>
      <c r="I53" s="379"/>
      <c r="J53" s="379"/>
      <c r="K53" s="379"/>
      <c r="L53" s="379"/>
      <c r="M53" s="379"/>
      <c r="N53" s="379"/>
      <c r="O53" s="379"/>
      <c r="P53" s="379"/>
      <c r="Q53" s="379"/>
      <c r="R53" s="379"/>
    </row>
    <row r="54" spans="1:20" x14ac:dyDescent="0.3">
      <c r="R54" s="117"/>
    </row>
  </sheetData>
  <mergeCells count="11">
    <mergeCell ref="A34:R34"/>
    <mergeCell ref="A1:T1"/>
    <mergeCell ref="A2:R2"/>
    <mergeCell ref="A3:R3"/>
    <mergeCell ref="A18:R18"/>
    <mergeCell ref="A19:R19"/>
    <mergeCell ref="A35:R35"/>
    <mergeCell ref="A50:R50"/>
    <mergeCell ref="A51:S51"/>
    <mergeCell ref="A52:T52"/>
    <mergeCell ref="A53:R53"/>
  </mergeCells>
  <pageMargins left="0.5" right="0" top="0.75" bottom="0.75" header="0.3" footer="0.3"/>
  <pageSetup scale="86"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02C40A-77F9-4545-9906-6F10C7355ADE}">
  <sheetPr codeName="Sheet43">
    <pageSetUpPr fitToPage="1"/>
  </sheetPr>
  <dimension ref="A1:U54"/>
  <sheetViews>
    <sheetView showGridLines="0" zoomScaleNormal="100" workbookViewId="0">
      <pane ySplit="1" topLeftCell="A2" activePane="bottomLeft" state="frozen"/>
      <selection pane="bottomLeft" sqref="A1:T1"/>
    </sheetView>
  </sheetViews>
  <sheetFormatPr defaultColWidth="12.5546875" defaultRowHeight="14.4" x14ac:dyDescent="0.3"/>
  <cols>
    <col min="1" max="1" width="12.5546875" style="180" customWidth="1"/>
    <col min="2" max="16" width="13.5546875" style="173" hidden="1" customWidth="1"/>
    <col min="17" max="17" width="13.5546875" style="173" customWidth="1"/>
    <col min="18" max="18" width="13.5546875" style="145" customWidth="1"/>
    <col min="19" max="16384" width="12.5546875" style="173"/>
  </cols>
  <sheetData>
    <row r="1" spans="1:21" s="112" customFormat="1" ht="21" x14ac:dyDescent="0.3">
      <c r="A1" s="380" t="s">
        <v>254</v>
      </c>
      <c r="B1" s="380"/>
      <c r="C1" s="380"/>
      <c r="D1" s="380"/>
      <c r="E1" s="380"/>
      <c r="F1" s="380"/>
      <c r="G1" s="380"/>
      <c r="H1" s="380"/>
      <c r="I1" s="380"/>
      <c r="J1" s="380"/>
      <c r="K1" s="380"/>
      <c r="L1" s="380"/>
      <c r="M1" s="380"/>
      <c r="N1" s="380"/>
      <c r="O1" s="380"/>
      <c r="P1" s="380"/>
      <c r="Q1" s="380"/>
      <c r="R1" s="380"/>
      <c r="S1" s="380"/>
      <c r="T1" s="380"/>
      <c r="U1" s="338"/>
    </row>
    <row r="2" spans="1:21" s="106" customFormat="1" ht="18" x14ac:dyDescent="0.3">
      <c r="A2" s="381" t="str">
        <f>'Local SUT'!A2</f>
        <v>CY 2004-2020</v>
      </c>
      <c r="B2" s="381"/>
      <c r="C2" s="381"/>
      <c r="D2" s="381"/>
      <c r="E2" s="381"/>
      <c r="F2" s="381"/>
      <c r="G2" s="381"/>
      <c r="H2" s="381"/>
      <c r="I2" s="381"/>
      <c r="J2" s="381"/>
      <c r="K2" s="381"/>
      <c r="L2" s="381"/>
      <c r="M2" s="381"/>
      <c r="N2" s="381"/>
      <c r="O2" s="381"/>
      <c r="P2" s="381"/>
      <c r="Q2" s="381"/>
      <c r="R2" s="381"/>
    </row>
    <row r="3" spans="1:21" s="106" customFormat="1" ht="18" x14ac:dyDescent="0.3">
      <c r="A3" s="370" t="s">
        <v>255</v>
      </c>
      <c r="B3" s="370"/>
      <c r="C3" s="370"/>
      <c r="D3" s="370"/>
      <c r="E3" s="370"/>
      <c r="F3" s="370"/>
      <c r="G3" s="370"/>
      <c r="H3" s="370"/>
      <c r="I3" s="370"/>
      <c r="J3" s="370"/>
      <c r="K3" s="370"/>
      <c r="L3" s="370"/>
      <c r="M3" s="370"/>
      <c r="N3" s="370"/>
      <c r="O3" s="370"/>
      <c r="P3" s="370"/>
      <c r="Q3" s="370"/>
      <c r="R3" s="370"/>
    </row>
    <row r="4" spans="1:21" s="63" customFormat="1" ht="15.6" x14ac:dyDescent="0.3">
      <c r="A4" s="77" t="s">
        <v>23</v>
      </c>
      <c r="B4" s="91">
        <v>2004</v>
      </c>
      <c r="C4" s="64">
        <v>2005</v>
      </c>
      <c r="D4" s="64">
        <v>2006</v>
      </c>
      <c r="E4" s="64">
        <v>2007</v>
      </c>
      <c r="F4" s="64">
        <v>2008</v>
      </c>
      <c r="G4" s="64">
        <v>2009</v>
      </c>
      <c r="H4" s="64">
        <v>2010</v>
      </c>
      <c r="I4" s="64">
        <v>2011</v>
      </c>
      <c r="J4" s="65">
        <v>2012</v>
      </c>
      <c r="K4" s="65">
        <v>2013</v>
      </c>
      <c r="L4" s="65">
        <v>2014</v>
      </c>
      <c r="M4" s="65">
        <v>2015</v>
      </c>
      <c r="N4" s="65">
        <v>2016</v>
      </c>
      <c r="O4" s="65">
        <v>2017</v>
      </c>
      <c r="P4" s="65">
        <v>2018</v>
      </c>
      <c r="Q4" s="336">
        <v>2019</v>
      </c>
      <c r="R4" s="337">
        <v>2020</v>
      </c>
    </row>
    <row r="5" spans="1:21" s="63" customFormat="1" ht="15.6" x14ac:dyDescent="0.3">
      <c r="A5" s="76" t="s">
        <v>24</v>
      </c>
      <c r="B5" s="108" t="s">
        <v>152</v>
      </c>
      <c r="C5" s="107" t="s">
        <v>152</v>
      </c>
      <c r="D5" s="107" t="s">
        <v>152</v>
      </c>
      <c r="E5" s="107" t="s">
        <v>152</v>
      </c>
      <c r="F5" s="107" t="s">
        <v>152</v>
      </c>
      <c r="G5" s="107" t="s">
        <v>152</v>
      </c>
      <c r="H5" s="107" t="s">
        <v>152</v>
      </c>
      <c r="I5" s="107" t="s">
        <v>152</v>
      </c>
      <c r="J5" s="107" t="s">
        <v>152</v>
      </c>
      <c r="K5" s="107" t="s">
        <v>152</v>
      </c>
      <c r="L5" s="107" t="s">
        <v>152</v>
      </c>
      <c r="M5" s="107" t="s">
        <v>152</v>
      </c>
      <c r="N5" s="107" t="s">
        <v>152</v>
      </c>
      <c r="O5" s="107" t="s">
        <v>152</v>
      </c>
      <c r="P5" s="107" t="s">
        <v>152</v>
      </c>
      <c r="Q5" s="107" t="s">
        <v>152</v>
      </c>
      <c r="R5" s="286">
        <v>49484</v>
      </c>
    </row>
    <row r="6" spans="1:21" s="63" customFormat="1" ht="15.6" x14ac:dyDescent="0.3">
      <c r="A6" s="75" t="s">
        <v>25</v>
      </c>
      <c r="B6" s="170" t="s">
        <v>152</v>
      </c>
      <c r="C6" s="67" t="s">
        <v>152</v>
      </c>
      <c r="D6" s="67" t="s">
        <v>152</v>
      </c>
      <c r="E6" s="67" t="s">
        <v>152</v>
      </c>
      <c r="F6" s="67" t="s">
        <v>152</v>
      </c>
      <c r="G6" s="107" t="s">
        <v>152</v>
      </c>
      <c r="H6" s="107" t="s">
        <v>152</v>
      </c>
      <c r="I6" s="107" t="s">
        <v>152</v>
      </c>
      <c r="J6" s="107" t="s">
        <v>152</v>
      </c>
      <c r="K6" s="107" t="s">
        <v>152</v>
      </c>
      <c r="L6" s="107" t="s">
        <v>152</v>
      </c>
      <c r="M6" s="107" t="s">
        <v>152</v>
      </c>
      <c r="N6" s="107" t="s">
        <v>152</v>
      </c>
      <c r="O6" s="107" t="s">
        <v>152</v>
      </c>
      <c r="P6" s="107" t="s">
        <v>152</v>
      </c>
      <c r="Q6" s="107" t="s">
        <v>152</v>
      </c>
      <c r="R6" s="287">
        <v>40421</v>
      </c>
    </row>
    <row r="7" spans="1:21" s="63" customFormat="1" ht="15.6" x14ac:dyDescent="0.3">
      <c r="A7" s="75" t="s">
        <v>26</v>
      </c>
      <c r="B7" s="170" t="s">
        <v>152</v>
      </c>
      <c r="C7" s="67" t="s">
        <v>152</v>
      </c>
      <c r="D7" s="67" t="s">
        <v>152</v>
      </c>
      <c r="E7" s="67" t="s">
        <v>152</v>
      </c>
      <c r="F7" s="67" t="s">
        <v>152</v>
      </c>
      <c r="G7" s="107" t="s">
        <v>152</v>
      </c>
      <c r="H7" s="107" t="s">
        <v>152</v>
      </c>
      <c r="I7" s="107" t="s">
        <v>152</v>
      </c>
      <c r="J7" s="107" t="s">
        <v>152</v>
      </c>
      <c r="K7" s="107" t="s">
        <v>152</v>
      </c>
      <c r="L7" s="107" t="s">
        <v>152</v>
      </c>
      <c r="M7" s="107" t="s">
        <v>152</v>
      </c>
      <c r="N7" s="107" t="s">
        <v>152</v>
      </c>
      <c r="O7" s="107" t="s">
        <v>152</v>
      </c>
      <c r="P7" s="107" t="s">
        <v>152</v>
      </c>
      <c r="Q7" s="107" t="s">
        <v>152</v>
      </c>
      <c r="R7" s="287">
        <v>47770</v>
      </c>
    </row>
    <row r="8" spans="1:21" s="63" customFormat="1" ht="15.6" x14ac:dyDescent="0.3">
      <c r="A8" s="75" t="s">
        <v>27</v>
      </c>
      <c r="B8" s="170" t="s">
        <v>152</v>
      </c>
      <c r="C8" s="67" t="s">
        <v>152</v>
      </c>
      <c r="D8" s="67" t="s">
        <v>152</v>
      </c>
      <c r="E8" s="67" t="s">
        <v>152</v>
      </c>
      <c r="F8" s="67" t="s">
        <v>152</v>
      </c>
      <c r="G8" s="107" t="s">
        <v>152</v>
      </c>
      <c r="H8" s="107" t="s">
        <v>152</v>
      </c>
      <c r="I8" s="107" t="s">
        <v>152</v>
      </c>
      <c r="J8" s="107" t="s">
        <v>152</v>
      </c>
      <c r="K8" s="107" t="s">
        <v>152</v>
      </c>
      <c r="L8" s="107" t="s">
        <v>152</v>
      </c>
      <c r="M8" s="107" t="s">
        <v>152</v>
      </c>
      <c r="N8" s="107" t="s">
        <v>152</v>
      </c>
      <c r="O8" s="107" t="s">
        <v>152</v>
      </c>
      <c r="P8" s="107" t="s">
        <v>152</v>
      </c>
      <c r="Q8" s="107" t="s">
        <v>152</v>
      </c>
      <c r="R8" s="287">
        <v>54124</v>
      </c>
    </row>
    <row r="9" spans="1:21" s="63" customFormat="1" ht="15.6" x14ac:dyDescent="0.3">
      <c r="A9" s="75" t="s">
        <v>28</v>
      </c>
      <c r="B9" s="170" t="s">
        <v>152</v>
      </c>
      <c r="C9" s="67" t="s">
        <v>152</v>
      </c>
      <c r="D9" s="67" t="s">
        <v>152</v>
      </c>
      <c r="E9" s="67" t="s">
        <v>152</v>
      </c>
      <c r="F9" s="67" t="s">
        <v>152</v>
      </c>
      <c r="G9" s="107" t="s">
        <v>152</v>
      </c>
      <c r="H9" s="107" t="s">
        <v>152</v>
      </c>
      <c r="I9" s="107" t="s">
        <v>152</v>
      </c>
      <c r="J9" s="107" t="s">
        <v>152</v>
      </c>
      <c r="K9" s="107" t="s">
        <v>152</v>
      </c>
      <c r="L9" s="107" t="s">
        <v>152</v>
      </c>
      <c r="M9" s="107" t="s">
        <v>152</v>
      </c>
      <c r="N9" s="107" t="s">
        <v>152</v>
      </c>
      <c r="O9" s="107" t="s">
        <v>152</v>
      </c>
      <c r="P9" s="107" t="s">
        <v>152</v>
      </c>
      <c r="Q9" s="107" t="s">
        <v>152</v>
      </c>
      <c r="R9" s="287">
        <v>51297</v>
      </c>
    </row>
    <row r="10" spans="1:21" s="63" customFormat="1" ht="15.6" x14ac:dyDescent="0.3">
      <c r="A10" s="75" t="s">
        <v>29</v>
      </c>
      <c r="B10" s="170" t="s">
        <v>152</v>
      </c>
      <c r="C10" s="67" t="s">
        <v>152</v>
      </c>
      <c r="D10" s="67" t="s">
        <v>152</v>
      </c>
      <c r="E10" s="67" t="s">
        <v>152</v>
      </c>
      <c r="F10" s="67" t="s">
        <v>152</v>
      </c>
      <c r="G10" s="107" t="s">
        <v>152</v>
      </c>
      <c r="H10" s="107" t="s">
        <v>152</v>
      </c>
      <c r="I10" s="107" t="s">
        <v>152</v>
      </c>
      <c r="J10" s="107" t="s">
        <v>152</v>
      </c>
      <c r="K10" s="107" t="s">
        <v>152</v>
      </c>
      <c r="L10" s="107" t="s">
        <v>152</v>
      </c>
      <c r="M10" s="107" t="s">
        <v>152</v>
      </c>
      <c r="N10" s="107" t="s">
        <v>152</v>
      </c>
      <c r="O10" s="107" t="s">
        <v>152</v>
      </c>
      <c r="P10" s="107" t="s">
        <v>152</v>
      </c>
      <c r="Q10" s="107" t="s">
        <v>152</v>
      </c>
      <c r="R10" s="287">
        <v>69222</v>
      </c>
    </row>
    <row r="11" spans="1:21" s="63" customFormat="1" ht="15.6" x14ac:dyDescent="0.3">
      <c r="A11" s="75" t="s">
        <v>30</v>
      </c>
      <c r="B11" s="170" t="s">
        <v>152</v>
      </c>
      <c r="C11" s="67" t="s">
        <v>152</v>
      </c>
      <c r="D11" s="67" t="s">
        <v>152</v>
      </c>
      <c r="E11" s="67" t="s">
        <v>152</v>
      </c>
      <c r="F11" s="67" t="s">
        <v>152</v>
      </c>
      <c r="G11" s="107" t="s">
        <v>152</v>
      </c>
      <c r="H11" s="107" t="s">
        <v>152</v>
      </c>
      <c r="I11" s="107" t="s">
        <v>152</v>
      </c>
      <c r="J11" s="107" t="s">
        <v>152</v>
      </c>
      <c r="K11" s="107" t="s">
        <v>152</v>
      </c>
      <c r="L11" s="107" t="s">
        <v>152</v>
      </c>
      <c r="M11" s="107" t="s">
        <v>152</v>
      </c>
      <c r="N11" s="107" t="s">
        <v>152</v>
      </c>
      <c r="O11" s="107" t="s">
        <v>152</v>
      </c>
      <c r="P11" s="107" t="s">
        <v>152</v>
      </c>
      <c r="Q11" s="107" t="s">
        <v>152</v>
      </c>
      <c r="R11" s="291" t="s">
        <v>152</v>
      </c>
    </row>
    <row r="12" spans="1:21" s="63" customFormat="1" ht="15.6" x14ac:dyDescent="0.3">
      <c r="A12" s="75" t="s">
        <v>31</v>
      </c>
      <c r="B12" s="170" t="s">
        <v>152</v>
      </c>
      <c r="C12" s="67" t="s">
        <v>152</v>
      </c>
      <c r="D12" s="67" t="s">
        <v>152</v>
      </c>
      <c r="E12" s="67" t="s">
        <v>152</v>
      </c>
      <c r="F12" s="67" t="s">
        <v>152</v>
      </c>
      <c r="G12" s="107" t="s">
        <v>152</v>
      </c>
      <c r="H12" s="107" t="s">
        <v>152</v>
      </c>
      <c r="I12" s="107" t="s">
        <v>152</v>
      </c>
      <c r="J12" s="107" t="s">
        <v>152</v>
      </c>
      <c r="K12" s="107" t="s">
        <v>152</v>
      </c>
      <c r="L12" s="107" t="s">
        <v>152</v>
      </c>
      <c r="M12" s="107" t="s">
        <v>152</v>
      </c>
      <c r="N12" s="107" t="s">
        <v>152</v>
      </c>
      <c r="O12" s="107" t="s">
        <v>152</v>
      </c>
      <c r="P12" s="107" t="s">
        <v>152</v>
      </c>
      <c r="Q12" s="174" t="s">
        <v>152</v>
      </c>
      <c r="R12" s="295" t="s">
        <v>152</v>
      </c>
    </row>
    <row r="13" spans="1:21" s="63" customFormat="1" ht="15.6" x14ac:dyDescent="0.3">
      <c r="A13" s="75" t="s">
        <v>32</v>
      </c>
      <c r="B13" s="170" t="s">
        <v>152</v>
      </c>
      <c r="C13" s="67" t="s">
        <v>152</v>
      </c>
      <c r="D13" s="67" t="s">
        <v>152</v>
      </c>
      <c r="E13" s="67" t="s">
        <v>152</v>
      </c>
      <c r="F13" s="67" t="s">
        <v>152</v>
      </c>
      <c r="G13" s="107" t="s">
        <v>152</v>
      </c>
      <c r="H13" s="107" t="s">
        <v>152</v>
      </c>
      <c r="I13" s="107" t="s">
        <v>152</v>
      </c>
      <c r="J13" s="107" t="s">
        <v>152</v>
      </c>
      <c r="K13" s="107" t="s">
        <v>152</v>
      </c>
      <c r="L13" s="107" t="s">
        <v>152</v>
      </c>
      <c r="M13" s="107" t="s">
        <v>152</v>
      </c>
      <c r="N13" s="107" t="s">
        <v>152</v>
      </c>
      <c r="O13" s="107" t="s">
        <v>152</v>
      </c>
      <c r="P13" s="107" t="s">
        <v>152</v>
      </c>
      <c r="Q13" s="107" t="s">
        <v>152</v>
      </c>
      <c r="R13" s="295" t="s">
        <v>152</v>
      </c>
    </row>
    <row r="14" spans="1:21" s="63" customFormat="1" ht="15.6" x14ac:dyDescent="0.3">
      <c r="A14" s="75" t="s">
        <v>33</v>
      </c>
      <c r="B14" s="170" t="s">
        <v>152</v>
      </c>
      <c r="C14" s="67" t="s">
        <v>152</v>
      </c>
      <c r="D14" s="67" t="s">
        <v>152</v>
      </c>
      <c r="E14" s="67" t="s">
        <v>152</v>
      </c>
      <c r="F14" s="67" t="s">
        <v>152</v>
      </c>
      <c r="G14" s="107" t="s">
        <v>152</v>
      </c>
      <c r="H14" s="107" t="s">
        <v>152</v>
      </c>
      <c r="I14" s="107" t="s">
        <v>152</v>
      </c>
      <c r="J14" s="107" t="s">
        <v>152</v>
      </c>
      <c r="K14" s="107" t="s">
        <v>152</v>
      </c>
      <c r="L14" s="107" t="s">
        <v>152</v>
      </c>
      <c r="M14" s="107" t="s">
        <v>152</v>
      </c>
      <c r="N14" s="107" t="s">
        <v>152</v>
      </c>
      <c r="O14" s="107" t="s">
        <v>152</v>
      </c>
      <c r="P14" s="107" t="s">
        <v>152</v>
      </c>
      <c r="Q14" s="271">
        <v>9</v>
      </c>
      <c r="R14" s="295" t="s">
        <v>152</v>
      </c>
    </row>
    <row r="15" spans="1:21" s="63" customFormat="1" ht="15.6" x14ac:dyDescent="0.3">
      <c r="A15" s="75" t="s">
        <v>34</v>
      </c>
      <c r="B15" s="170" t="s">
        <v>152</v>
      </c>
      <c r="C15" s="67" t="s">
        <v>152</v>
      </c>
      <c r="D15" s="67" t="s">
        <v>152</v>
      </c>
      <c r="E15" s="67" t="s">
        <v>152</v>
      </c>
      <c r="F15" s="67" t="s">
        <v>152</v>
      </c>
      <c r="G15" s="107" t="s">
        <v>152</v>
      </c>
      <c r="H15" s="107" t="s">
        <v>152</v>
      </c>
      <c r="I15" s="107" t="s">
        <v>152</v>
      </c>
      <c r="J15" s="107" t="s">
        <v>152</v>
      </c>
      <c r="K15" s="107" t="s">
        <v>152</v>
      </c>
      <c r="L15" s="107" t="s">
        <v>152</v>
      </c>
      <c r="M15" s="107" t="s">
        <v>152</v>
      </c>
      <c r="N15" s="107" t="s">
        <v>152</v>
      </c>
      <c r="O15" s="107" t="s">
        <v>152</v>
      </c>
      <c r="P15" s="107" t="s">
        <v>152</v>
      </c>
      <c r="Q15" s="66">
        <v>38462</v>
      </c>
      <c r="R15" s="295" t="s">
        <v>152</v>
      </c>
    </row>
    <row r="16" spans="1:21" s="63" customFormat="1" ht="16.2" thickBot="1" x14ac:dyDescent="0.35">
      <c r="A16" s="88" t="s">
        <v>36</v>
      </c>
      <c r="B16" s="87" t="s">
        <v>152</v>
      </c>
      <c r="C16" s="72" t="s">
        <v>152</v>
      </c>
      <c r="D16" s="72" t="s">
        <v>152</v>
      </c>
      <c r="E16" s="72" t="s">
        <v>152</v>
      </c>
      <c r="F16" s="72" t="s">
        <v>152</v>
      </c>
      <c r="G16" s="192" t="s">
        <v>152</v>
      </c>
      <c r="H16" s="192" t="s">
        <v>152</v>
      </c>
      <c r="I16" s="192" t="s">
        <v>152</v>
      </c>
      <c r="J16" s="192" t="s">
        <v>152</v>
      </c>
      <c r="K16" s="192" t="s">
        <v>152</v>
      </c>
      <c r="L16" s="192" t="s">
        <v>152</v>
      </c>
      <c r="M16" s="192" t="s">
        <v>152</v>
      </c>
      <c r="N16" s="192" t="s">
        <v>152</v>
      </c>
      <c r="O16" s="192" t="s">
        <v>152</v>
      </c>
      <c r="P16" s="192" t="s">
        <v>152</v>
      </c>
      <c r="Q16" s="71">
        <v>39193</v>
      </c>
      <c r="R16" s="292" t="s">
        <v>152</v>
      </c>
    </row>
    <row r="17" spans="1:18" s="63" customFormat="1" ht="16.2" thickTop="1" x14ac:dyDescent="0.3">
      <c r="A17" s="89" t="s">
        <v>37</v>
      </c>
      <c r="B17" s="90" t="s">
        <v>152</v>
      </c>
      <c r="C17" s="73" t="s">
        <v>152</v>
      </c>
      <c r="D17" s="73" t="s">
        <v>152</v>
      </c>
      <c r="E17" s="73" t="s">
        <v>152</v>
      </c>
      <c r="F17" s="73" t="s">
        <v>152</v>
      </c>
      <c r="G17" s="273">
        <f t="shared" ref="G17:R17" si="0">SUM(G5:G16)</f>
        <v>0</v>
      </c>
      <c r="H17" s="273">
        <f t="shared" si="0"/>
        <v>0</v>
      </c>
      <c r="I17" s="273">
        <f t="shared" si="0"/>
        <v>0</v>
      </c>
      <c r="J17" s="273">
        <f t="shared" si="0"/>
        <v>0</v>
      </c>
      <c r="K17" s="273">
        <f t="shared" si="0"/>
        <v>0</v>
      </c>
      <c r="L17" s="273">
        <f t="shared" si="0"/>
        <v>0</v>
      </c>
      <c r="M17" s="273">
        <f t="shared" si="0"/>
        <v>0</v>
      </c>
      <c r="N17" s="273">
        <f t="shared" si="0"/>
        <v>0</v>
      </c>
      <c r="O17" s="273">
        <f t="shared" si="0"/>
        <v>0</v>
      </c>
      <c r="P17" s="273">
        <f t="shared" si="0"/>
        <v>0</v>
      </c>
      <c r="Q17" s="273">
        <f t="shared" si="0"/>
        <v>77664</v>
      </c>
      <c r="R17" s="288">
        <f t="shared" si="0"/>
        <v>312318</v>
      </c>
    </row>
    <row r="18" spans="1:18" s="113" customFormat="1" ht="6.6" x14ac:dyDescent="0.3">
      <c r="A18" s="371" t="s">
        <v>174</v>
      </c>
      <c r="B18" s="371"/>
      <c r="C18" s="371"/>
      <c r="D18" s="371"/>
      <c r="E18" s="371"/>
      <c r="F18" s="371"/>
      <c r="G18" s="371"/>
      <c r="H18" s="371"/>
      <c r="I18" s="371"/>
      <c r="J18" s="371"/>
      <c r="K18" s="371"/>
      <c r="L18" s="371"/>
      <c r="M18" s="371"/>
      <c r="N18" s="371"/>
      <c r="O18" s="371"/>
      <c r="P18" s="371"/>
      <c r="Q18" s="371"/>
      <c r="R18" s="371"/>
    </row>
    <row r="19" spans="1:18" s="106" customFormat="1" ht="18" x14ac:dyDescent="0.3">
      <c r="A19" s="395" t="s">
        <v>256</v>
      </c>
      <c r="B19" s="395"/>
      <c r="C19" s="395"/>
      <c r="D19" s="395"/>
      <c r="E19" s="395"/>
      <c r="F19" s="395"/>
      <c r="G19" s="395"/>
      <c r="H19" s="395"/>
      <c r="I19" s="395"/>
      <c r="J19" s="395"/>
      <c r="K19" s="395"/>
      <c r="L19" s="395"/>
      <c r="M19" s="395"/>
      <c r="N19" s="395"/>
      <c r="O19" s="395"/>
      <c r="P19" s="395"/>
      <c r="Q19" s="395"/>
      <c r="R19" s="395"/>
    </row>
    <row r="20" spans="1:18" s="63" customFormat="1" ht="15.6" x14ac:dyDescent="0.3">
      <c r="A20" s="77" t="s">
        <v>23</v>
      </c>
      <c r="B20" s="91">
        <v>2005</v>
      </c>
      <c r="C20" s="64">
        <v>2005</v>
      </c>
      <c r="D20" s="64">
        <v>2006</v>
      </c>
      <c r="E20" s="64">
        <v>2007</v>
      </c>
      <c r="F20" s="64">
        <v>2008</v>
      </c>
      <c r="G20" s="64">
        <v>2009</v>
      </c>
      <c r="H20" s="64">
        <v>2010</v>
      </c>
      <c r="I20" s="64">
        <v>2011</v>
      </c>
      <c r="J20" s="65">
        <v>2012</v>
      </c>
      <c r="K20" s="65">
        <v>2013</v>
      </c>
      <c r="L20" s="65">
        <v>2014</v>
      </c>
      <c r="M20" s="65">
        <v>2015</v>
      </c>
      <c r="N20" s="65">
        <v>2016</v>
      </c>
      <c r="O20" s="65">
        <v>2017</v>
      </c>
      <c r="P20" s="65">
        <v>2018</v>
      </c>
      <c r="Q20" s="336">
        <v>2019</v>
      </c>
      <c r="R20" s="337">
        <v>2020</v>
      </c>
    </row>
    <row r="21" spans="1:18" s="63" customFormat="1" ht="15.6" x14ac:dyDescent="0.3">
      <c r="A21" s="76" t="s">
        <v>24</v>
      </c>
      <c r="B21" s="108" t="s">
        <v>152</v>
      </c>
      <c r="C21" s="107" t="s">
        <v>152</v>
      </c>
      <c r="D21" s="107" t="s">
        <v>152</v>
      </c>
      <c r="E21" s="107" t="s">
        <v>152</v>
      </c>
      <c r="F21" s="107" t="s">
        <v>152</v>
      </c>
      <c r="G21" s="107" t="s">
        <v>152</v>
      </c>
      <c r="H21" s="107" t="s">
        <v>152</v>
      </c>
      <c r="I21" s="107" t="s">
        <v>152</v>
      </c>
      <c r="J21" s="107" t="s">
        <v>152</v>
      </c>
      <c r="K21" s="107" t="s">
        <v>152</v>
      </c>
      <c r="L21" s="107" t="s">
        <v>152</v>
      </c>
      <c r="M21" s="107" t="s">
        <v>152</v>
      </c>
      <c r="N21" s="107" t="s">
        <v>152</v>
      </c>
      <c r="O21" s="107" t="s">
        <v>152</v>
      </c>
      <c r="P21" s="107" t="s">
        <v>152</v>
      </c>
      <c r="Q21" s="107" t="s">
        <v>152</v>
      </c>
      <c r="R21" s="286">
        <v>1096</v>
      </c>
    </row>
    <row r="22" spans="1:18" s="63" customFormat="1" ht="15.6" x14ac:dyDescent="0.3">
      <c r="A22" s="75" t="s">
        <v>25</v>
      </c>
      <c r="B22" s="170" t="s">
        <v>152</v>
      </c>
      <c r="C22" s="67" t="s">
        <v>152</v>
      </c>
      <c r="D22" s="67" t="s">
        <v>152</v>
      </c>
      <c r="E22" s="67" t="s">
        <v>152</v>
      </c>
      <c r="F22" s="67" t="s">
        <v>152</v>
      </c>
      <c r="G22" s="107" t="s">
        <v>152</v>
      </c>
      <c r="H22" s="107" t="s">
        <v>152</v>
      </c>
      <c r="I22" s="107" t="s">
        <v>152</v>
      </c>
      <c r="J22" s="107" t="s">
        <v>152</v>
      </c>
      <c r="K22" s="107" t="s">
        <v>152</v>
      </c>
      <c r="L22" s="107" t="s">
        <v>152</v>
      </c>
      <c r="M22" s="107" t="s">
        <v>152</v>
      </c>
      <c r="N22" s="107" t="s">
        <v>152</v>
      </c>
      <c r="O22" s="107" t="s">
        <v>152</v>
      </c>
      <c r="P22" s="107" t="s">
        <v>152</v>
      </c>
      <c r="Q22" s="107" t="s">
        <v>152</v>
      </c>
      <c r="R22" s="287">
        <v>1710</v>
      </c>
    </row>
    <row r="23" spans="1:18" s="63" customFormat="1" ht="15.6" x14ac:dyDescent="0.3">
      <c r="A23" s="75" t="s">
        <v>26</v>
      </c>
      <c r="B23" s="170" t="s">
        <v>152</v>
      </c>
      <c r="C23" s="67" t="s">
        <v>152</v>
      </c>
      <c r="D23" s="67" t="s">
        <v>152</v>
      </c>
      <c r="E23" s="67" t="s">
        <v>152</v>
      </c>
      <c r="F23" s="67" t="s">
        <v>152</v>
      </c>
      <c r="G23" s="107" t="s">
        <v>152</v>
      </c>
      <c r="H23" s="107" t="s">
        <v>152</v>
      </c>
      <c r="I23" s="107" t="s">
        <v>152</v>
      </c>
      <c r="J23" s="107" t="s">
        <v>152</v>
      </c>
      <c r="K23" s="107" t="s">
        <v>152</v>
      </c>
      <c r="L23" s="107" t="s">
        <v>152</v>
      </c>
      <c r="M23" s="107" t="s">
        <v>152</v>
      </c>
      <c r="N23" s="107" t="s">
        <v>152</v>
      </c>
      <c r="O23" s="107" t="s">
        <v>152</v>
      </c>
      <c r="P23" s="107" t="s">
        <v>152</v>
      </c>
      <c r="Q23" s="107" t="s">
        <v>152</v>
      </c>
      <c r="R23" s="287">
        <v>449</v>
      </c>
    </row>
    <row r="24" spans="1:18" s="63" customFormat="1" ht="15.6" x14ac:dyDescent="0.3">
      <c r="A24" s="75" t="s">
        <v>27</v>
      </c>
      <c r="B24" s="170" t="s">
        <v>152</v>
      </c>
      <c r="C24" s="67" t="s">
        <v>152</v>
      </c>
      <c r="D24" s="67" t="s">
        <v>152</v>
      </c>
      <c r="E24" s="67" t="s">
        <v>152</v>
      </c>
      <c r="F24" s="67" t="s">
        <v>152</v>
      </c>
      <c r="G24" s="107" t="s">
        <v>152</v>
      </c>
      <c r="H24" s="107" t="s">
        <v>152</v>
      </c>
      <c r="I24" s="107" t="s">
        <v>152</v>
      </c>
      <c r="J24" s="107" t="s">
        <v>152</v>
      </c>
      <c r="K24" s="107" t="s">
        <v>152</v>
      </c>
      <c r="L24" s="107" t="s">
        <v>152</v>
      </c>
      <c r="M24" s="107" t="s">
        <v>152</v>
      </c>
      <c r="N24" s="107" t="s">
        <v>152</v>
      </c>
      <c r="O24" s="107" t="s">
        <v>152</v>
      </c>
      <c r="P24" s="107" t="s">
        <v>152</v>
      </c>
      <c r="Q24" s="107" t="s">
        <v>152</v>
      </c>
      <c r="R24" s="287">
        <v>1668</v>
      </c>
    </row>
    <row r="25" spans="1:18" s="63" customFormat="1" ht="15.6" x14ac:dyDescent="0.3">
      <c r="A25" s="75" t="s">
        <v>28</v>
      </c>
      <c r="B25" s="170" t="s">
        <v>152</v>
      </c>
      <c r="C25" s="67" t="s">
        <v>152</v>
      </c>
      <c r="D25" s="67" t="s">
        <v>152</v>
      </c>
      <c r="E25" s="67" t="s">
        <v>152</v>
      </c>
      <c r="F25" s="67" t="s">
        <v>152</v>
      </c>
      <c r="G25" s="107" t="s">
        <v>152</v>
      </c>
      <c r="H25" s="107" t="s">
        <v>152</v>
      </c>
      <c r="I25" s="107" t="s">
        <v>152</v>
      </c>
      <c r="J25" s="107" t="s">
        <v>152</v>
      </c>
      <c r="K25" s="107" t="s">
        <v>152</v>
      </c>
      <c r="L25" s="107" t="s">
        <v>152</v>
      </c>
      <c r="M25" s="107" t="s">
        <v>152</v>
      </c>
      <c r="N25" s="107" t="s">
        <v>152</v>
      </c>
      <c r="O25" s="107" t="s">
        <v>152</v>
      </c>
      <c r="P25" s="107" t="s">
        <v>152</v>
      </c>
      <c r="Q25" s="107" t="s">
        <v>152</v>
      </c>
      <c r="R25" s="287">
        <v>1417</v>
      </c>
    </row>
    <row r="26" spans="1:18" s="63" customFormat="1" ht="15.6" x14ac:dyDescent="0.3">
      <c r="A26" s="75" t="s">
        <v>29</v>
      </c>
      <c r="B26" s="170" t="s">
        <v>152</v>
      </c>
      <c r="C26" s="67" t="s">
        <v>152</v>
      </c>
      <c r="D26" s="67" t="s">
        <v>152</v>
      </c>
      <c r="E26" s="67" t="s">
        <v>152</v>
      </c>
      <c r="F26" s="67" t="s">
        <v>152</v>
      </c>
      <c r="G26" s="107" t="s">
        <v>152</v>
      </c>
      <c r="H26" s="107" t="s">
        <v>152</v>
      </c>
      <c r="I26" s="107" t="s">
        <v>152</v>
      </c>
      <c r="J26" s="107" t="s">
        <v>152</v>
      </c>
      <c r="K26" s="107" t="s">
        <v>152</v>
      </c>
      <c r="L26" s="107" t="s">
        <v>152</v>
      </c>
      <c r="M26" s="107" t="s">
        <v>152</v>
      </c>
      <c r="N26" s="107" t="s">
        <v>152</v>
      </c>
      <c r="O26" s="107" t="s">
        <v>152</v>
      </c>
      <c r="P26" s="107" t="s">
        <v>152</v>
      </c>
      <c r="Q26" s="107" t="s">
        <v>152</v>
      </c>
      <c r="R26" s="287">
        <v>261</v>
      </c>
    </row>
    <row r="27" spans="1:18" s="63" customFormat="1" ht="15.6" x14ac:dyDescent="0.3">
      <c r="A27" s="75" t="s">
        <v>30</v>
      </c>
      <c r="B27" s="170" t="s">
        <v>152</v>
      </c>
      <c r="C27" s="67" t="s">
        <v>152</v>
      </c>
      <c r="D27" s="67" t="s">
        <v>152</v>
      </c>
      <c r="E27" s="67" t="s">
        <v>152</v>
      </c>
      <c r="F27" s="67" t="s">
        <v>152</v>
      </c>
      <c r="G27" s="107" t="s">
        <v>152</v>
      </c>
      <c r="H27" s="107" t="s">
        <v>152</v>
      </c>
      <c r="I27" s="107" t="s">
        <v>152</v>
      </c>
      <c r="J27" s="107" t="s">
        <v>152</v>
      </c>
      <c r="K27" s="107" t="s">
        <v>152</v>
      </c>
      <c r="L27" s="107" t="s">
        <v>152</v>
      </c>
      <c r="M27" s="107" t="s">
        <v>152</v>
      </c>
      <c r="N27" s="107" t="s">
        <v>152</v>
      </c>
      <c r="O27" s="107" t="s">
        <v>152</v>
      </c>
      <c r="P27" s="107" t="s">
        <v>152</v>
      </c>
      <c r="Q27" s="174" t="s">
        <v>152</v>
      </c>
      <c r="R27" s="291" t="s">
        <v>152</v>
      </c>
    </row>
    <row r="28" spans="1:18" s="63" customFormat="1" ht="15.6" x14ac:dyDescent="0.3">
      <c r="A28" s="75" t="s">
        <v>31</v>
      </c>
      <c r="B28" s="170" t="s">
        <v>152</v>
      </c>
      <c r="C28" s="67" t="s">
        <v>152</v>
      </c>
      <c r="D28" s="67" t="s">
        <v>152</v>
      </c>
      <c r="E28" s="67" t="s">
        <v>152</v>
      </c>
      <c r="F28" s="67" t="s">
        <v>152</v>
      </c>
      <c r="G28" s="107" t="s">
        <v>152</v>
      </c>
      <c r="H28" s="107" t="s">
        <v>152</v>
      </c>
      <c r="I28" s="107" t="s">
        <v>152</v>
      </c>
      <c r="J28" s="107" t="s">
        <v>152</v>
      </c>
      <c r="K28" s="107" t="s">
        <v>152</v>
      </c>
      <c r="L28" s="107" t="s">
        <v>152</v>
      </c>
      <c r="M28" s="107" t="s">
        <v>152</v>
      </c>
      <c r="N28" s="107" t="s">
        <v>152</v>
      </c>
      <c r="O28" s="107" t="s">
        <v>152</v>
      </c>
      <c r="P28" s="107" t="s">
        <v>152</v>
      </c>
      <c r="Q28" s="107" t="s">
        <v>152</v>
      </c>
      <c r="R28" s="295" t="s">
        <v>152</v>
      </c>
    </row>
    <row r="29" spans="1:18" s="63" customFormat="1" ht="15.6" x14ac:dyDescent="0.3">
      <c r="A29" s="75" t="s">
        <v>32</v>
      </c>
      <c r="B29" s="170" t="s">
        <v>152</v>
      </c>
      <c r="C29" s="67" t="s">
        <v>152</v>
      </c>
      <c r="D29" s="67" t="s">
        <v>152</v>
      </c>
      <c r="E29" s="67" t="s">
        <v>152</v>
      </c>
      <c r="F29" s="67" t="s">
        <v>152</v>
      </c>
      <c r="G29" s="107" t="s">
        <v>152</v>
      </c>
      <c r="H29" s="107" t="s">
        <v>152</v>
      </c>
      <c r="I29" s="107" t="s">
        <v>152</v>
      </c>
      <c r="J29" s="107" t="s">
        <v>152</v>
      </c>
      <c r="K29" s="107" t="s">
        <v>152</v>
      </c>
      <c r="L29" s="107" t="s">
        <v>152</v>
      </c>
      <c r="M29" s="107" t="s">
        <v>152</v>
      </c>
      <c r="N29" s="107" t="s">
        <v>152</v>
      </c>
      <c r="O29" s="107" t="s">
        <v>152</v>
      </c>
      <c r="P29" s="107" t="s">
        <v>152</v>
      </c>
      <c r="Q29" s="107" t="s">
        <v>152</v>
      </c>
      <c r="R29" s="295" t="s">
        <v>152</v>
      </c>
    </row>
    <row r="30" spans="1:18" s="63" customFormat="1" ht="15.6" x14ac:dyDescent="0.3">
      <c r="A30" s="75" t="s">
        <v>33</v>
      </c>
      <c r="B30" s="170" t="s">
        <v>152</v>
      </c>
      <c r="C30" s="67" t="s">
        <v>152</v>
      </c>
      <c r="D30" s="67" t="s">
        <v>152</v>
      </c>
      <c r="E30" s="67" t="s">
        <v>152</v>
      </c>
      <c r="F30" s="67" t="s">
        <v>152</v>
      </c>
      <c r="G30" s="107" t="s">
        <v>152</v>
      </c>
      <c r="H30" s="107" t="s">
        <v>152</v>
      </c>
      <c r="I30" s="107" t="s">
        <v>152</v>
      </c>
      <c r="J30" s="107" t="s">
        <v>152</v>
      </c>
      <c r="K30" s="107" t="s">
        <v>152</v>
      </c>
      <c r="L30" s="107" t="s">
        <v>152</v>
      </c>
      <c r="M30" s="107" t="s">
        <v>152</v>
      </c>
      <c r="N30" s="107" t="s">
        <v>152</v>
      </c>
      <c r="O30" s="107" t="s">
        <v>152</v>
      </c>
      <c r="P30" s="107" t="s">
        <v>152</v>
      </c>
      <c r="Q30" s="271">
        <v>0</v>
      </c>
      <c r="R30" s="295" t="s">
        <v>152</v>
      </c>
    </row>
    <row r="31" spans="1:18" s="63" customFormat="1" ht="15.6" x14ac:dyDescent="0.3">
      <c r="A31" s="75" t="s">
        <v>34</v>
      </c>
      <c r="B31" s="170" t="s">
        <v>152</v>
      </c>
      <c r="C31" s="67" t="s">
        <v>152</v>
      </c>
      <c r="D31" s="67" t="s">
        <v>152</v>
      </c>
      <c r="E31" s="67" t="s">
        <v>152</v>
      </c>
      <c r="F31" s="67" t="s">
        <v>152</v>
      </c>
      <c r="G31" s="107" t="s">
        <v>152</v>
      </c>
      <c r="H31" s="107" t="s">
        <v>152</v>
      </c>
      <c r="I31" s="107" t="s">
        <v>152</v>
      </c>
      <c r="J31" s="107" t="s">
        <v>152</v>
      </c>
      <c r="K31" s="107" t="s">
        <v>152</v>
      </c>
      <c r="L31" s="107" t="s">
        <v>152</v>
      </c>
      <c r="M31" s="107" t="s">
        <v>152</v>
      </c>
      <c r="N31" s="107" t="s">
        <v>152</v>
      </c>
      <c r="O31" s="107" t="s">
        <v>152</v>
      </c>
      <c r="P31" s="107" t="s">
        <v>152</v>
      </c>
      <c r="Q31" s="66">
        <v>841</v>
      </c>
      <c r="R31" s="295" t="s">
        <v>152</v>
      </c>
    </row>
    <row r="32" spans="1:18" s="63" customFormat="1" ht="16.2" thickBot="1" x14ac:dyDescent="0.35">
      <c r="A32" s="88" t="s">
        <v>36</v>
      </c>
      <c r="B32" s="87" t="s">
        <v>152</v>
      </c>
      <c r="C32" s="72" t="s">
        <v>152</v>
      </c>
      <c r="D32" s="72" t="s">
        <v>152</v>
      </c>
      <c r="E32" s="72" t="s">
        <v>152</v>
      </c>
      <c r="F32" s="72" t="s">
        <v>152</v>
      </c>
      <c r="G32" s="192" t="s">
        <v>152</v>
      </c>
      <c r="H32" s="192" t="s">
        <v>152</v>
      </c>
      <c r="I32" s="192" t="s">
        <v>152</v>
      </c>
      <c r="J32" s="192" t="s">
        <v>152</v>
      </c>
      <c r="K32" s="192" t="s">
        <v>152</v>
      </c>
      <c r="L32" s="192" t="s">
        <v>152</v>
      </c>
      <c r="M32" s="192" t="s">
        <v>152</v>
      </c>
      <c r="N32" s="192" t="s">
        <v>152</v>
      </c>
      <c r="O32" s="192" t="s">
        <v>152</v>
      </c>
      <c r="P32" s="192" t="s">
        <v>152</v>
      </c>
      <c r="Q32" s="71">
        <v>845</v>
      </c>
      <c r="R32" s="292" t="s">
        <v>152</v>
      </c>
    </row>
    <row r="33" spans="1:18" s="63" customFormat="1" ht="16.2" thickTop="1" x14ac:dyDescent="0.3">
      <c r="A33" s="89" t="s">
        <v>37</v>
      </c>
      <c r="B33" s="90" t="s">
        <v>152</v>
      </c>
      <c r="C33" s="73" t="s">
        <v>152</v>
      </c>
      <c r="D33" s="73" t="s">
        <v>152</v>
      </c>
      <c r="E33" s="73" t="s">
        <v>152</v>
      </c>
      <c r="F33" s="73" t="s">
        <v>152</v>
      </c>
      <c r="G33" s="273">
        <f t="shared" ref="G33:R33" si="1">SUM(G21:G32)</f>
        <v>0</v>
      </c>
      <c r="H33" s="273">
        <f t="shared" si="1"/>
        <v>0</v>
      </c>
      <c r="I33" s="273">
        <f t="shared" si="1"/>
        <v>0</v>
      </c>
      <c r="J33" s="273">
        <f t="shared" si="1"/>
        <v>0</v>
      </c>
      <c r="K33" s="273">
        <f t="shared" si="1"/>
        <v>0</v>
      </c>
      <c r="L33" s="273">
        <f t="shared" si="1"/>
        <v>0</v>
      </c>
      <c r="M33" s="273">
        <f t="shared" si="1"/>
        <v>0</v>
      </c>
      <c r="N33" s="273">
        <f t="shared" si="1"/>
        <v>0</v>
      </c>
      <c r="O33" s="273">
        <f t="shared" si="1"/>
        <v>0</v>
      </c>
      <c r="P33" s="273">
        <f t="shared" si="1"/>
        <v>0</v>
      </c>
      <c r="Q33" s="273">
        <f t="shared" si="1"/>
        <v>1686</v>
      </c>
      <c r="R33" s="288">
        <f t="shared" si="1"/>
        <v>6601</v>
      </c>
    </row>
    <row r="34" spans="1:18" s="113" customFormat="1" ht="6.6" x14ac:dyDescent="0.3">
      <c r="A34" s="371" t="s">
        <v>174</v>
      </c>
      <c r="B34" s="371"/>
      <c r="C34" s="371"/>
      <c r="D34" s="371"/>
      <c r="E34" s="371"/>
      <c r="F34" s="371"/>
      <c r="G34" s="371"/>
      <c r="H34" s="371"/>
      <c r="I34" s="371"/>
      <c r="J34" s="371"/>
      <c r="K34" s="371"/>
      <c r="L34" s="371"/>
      <c r="M34" s="371"/>
      <c r="N34" s="371"/>
      <c r="O34" s="371"/>
      <c r="P34" s="371"/>
      <c r="Q34" s="371"/>
      <c r="R34" s="371"/>
    </row>
    <row r="35" spans="1:18" s="106" customFormat="1" ht="18" x14ac:dyDescent="0.3">
      <c r="A35" s="370" t="s">
        <v>257</v>
      </c>
      <c r="B35" s="370"/>
      <c r="C35" s="370"/>
      <c r="D35" s="370"/>
      <c r="E35" s="370"/>
      <c r="F35" s="370"/>
      <c r="G35" s="370"/>
      <c r="H35" s="370"/>
      <c r="I35" s="370"/>
      <c r="J35" s="370"/>
      <c r="K35" s="370"/>
      <c r="L35" s="370"/>
      <c r="M35" s="370"/>
      <c r="N35" s="370"/>
      <c r="O35" s="370"/>
      <c r="P35" s="370"/>
      <c r="Q35" s="370"/>
      <c r="R35" s="370"/>
    </row>
    <row r="36" spans="1:18" s="63" customFormat="1" ht="15.6" x14ac:dyDescent="0.3">
      <c r="A36" s="77" t="s">
        <v>23</v>
      </c>
      <c r="B36" s="91">
        <v>2005</v>
      </c>
      <c r="C36" s="64">
        <v>2005</v>
      </c>
      <c r="D36" s="64">
        <v>2006</v>
      </c>
      <c r="E36" s="64">
        <v>2007</v>
      </c>
      <c r="F36" s="64">
        <v>2008</v>
      </c>
      <c r="G36" s="64">
        <v>2009</v>
      </c>
      <c r="H36" s="64">
        <v>2010</v>
      </c>
      <c r="I36" s="64">
        <v>2011</v>
      </c>
      <c r="J36" s="65">
        <v>2012</v>
      </c>
      <c r="K36" s="65">
        <v>2013</v>
      </c>
      <c r="L36" s="65">
        <v>2014</v>
      </c>
      <c r="M36" s="65">
        <v>2015</v>
      </c>
      <c r="N36" s="65">
        <v>2016</v>
      </c>
      <c r="O36" s="65">
        <v>2017</v>
      </c>
      <c r="P36" s="65">
        <v>2018</v>
      </c>
      <c r="Q36" s="336">
        <v>2019</v>
      </c>
      <c r="R36" s="337">
        <v>2020</v>
      </c>
    </row>
    <row r="37" spans="1:18" s="63" customFormat="1" ht="15.6" x14ac:dyDescent="0.3">
      <c r="A37" s="76" t="s">
        <v>24</v>
      </c>
      <c r="B37" s="108" t="s">
        <v>152</v>
      </c>
      <c r="C37" s="107" t="s">
        <v>152</v>
      </c>
      <c r="D37" s="107" t="s">
        <v>152</v>
      </c>
      <c r="E37" s="107" t="s">
        <v>152</v>
      </c>
      <c r="F37" s="107" t="s">
        <v>152</v>
      </c>
      <c r="G37" s="107" t="s">
        <v>152</v>
      </c>
      <c r="H37" s="107" t="s">
        <v>152</v>
      </c>
      <c r="I37" s="107" t="s">
        <v>152</v>
      </c>
      <c r="J37" s="107" t="s">
        <v>152</v>
      </c>
      <c r="K37" s="107" t="s">
        <v>152</v>
      </c>
      <c r="L37" s="107" t="s">
        <v>152</v>
      </c>
      <c r="M37" s="107" t="s">
        <v>152</v>
      </c>
      <c r="N37" s="107" t="s">
        <v>152</v>
      </c>
      <c r="O37" s="107" t="s">
        <v>152</v>
      </c>
      <c r="P37" s="107" t="s">
        <v>152</v>
      </c>
      <c r="Q37" s="107" t="s">
        <v>152</v>
      </c>
      <c r="R37" s="286">
        <v>0</v>
      </c>
    </row>
    <row r="38" spans="1:18" s="63" customFormat="1" ht="15.6" x14ac:dyDescent="0.3">
      <c r="A38" s="75" t="s">
        <v>25</v>
      </c>
      <c r="B38" s="170" t="s">
        <v>152</v>
      </c>
      <c r="C38" s="67" t="s">
        <v>152</v>
      </c>
      <c r="D38" s="67" t="s">
        <v>152</v>
      </c>
      <c r="E38" s="67" t="s">
        <v>152</v>
      </c>
      <c r="F38" s="67" t="s">
        <v>152</v>
      </c>
      <c r="G38" s="107" t="s">
        <v>152</v>
      </c>
      <c r="H38" s="107" t="s">
        <v>152</v>
      </c>
      <c r="I38" s="107" t="s">
        <v>152</v>
      </c>
      <c r="J38" s="107" t="s">
        <v>152</v>
      </c>
      <c r="K38" s="107" t="s">
        <v>152</v>
      </c>
      <c r="L38" s="107" t="s">
        <v>152</v>
      </c>
      <c r="M38" s="107" t="s">
        <v>152</v>
      </c>
      <c r="N38" s="107" t="s">
        <v>152</v>
      </c>
      <c r="O38" s="107" t="s">
        <v>152</v>
      </c>
      <c r="P38" s="107" t="s">
        <v>152</v>
      </c>
      <c r="Q38" s="107" t="s">
        <v>152</v>
      </c>
      <c r="R38" s="287">
        <v>0</v>
      </c>
    </row>
    <row r="39" spans="1:18" s="63" customFormat="1" ht="15.6" x14ac:dyDescent="0.3">
      <c r="A39" s="75" t="s">
        <v>26</v>
      </c>
      <c r="B39" s="170" t="s">
        <v>152</v>
      </c>
      <c r="C39" s="67" t="s">
        <v>152</v>
      </c>
      <c r="D39" s="67" t="s">
        <v>152</v>
      </c>
      <c r="E39" s="67" t="s">
        <v>152</v>
      </c>
      <c r="F39" s="67" t="s">
        <v>152</v>
      </c>
      <c r="G39" s="107" t="s">
        <v>152</v>
      </c>
      <c r="H39" s="107" t="s">
        <v>152</v>
      </c>
      <c r="I39" s="107" t="s">
        <v>152</v>
      </c>
      <c r="J39" s="107" t="s">
        <v>152</v>
      </c>
      <c r="K39" s="107" t="s">
        <v>152</v>
      </c>
      <c r="L39" s="107" t="s">
        <v>152</v>
      </c>
      <c r="M39" s="107" t="s">
        <v>152</v>
      </c>
      <c r="N39" s="107" t="s">
        <v>152</v>
      </c>
      <c r="O39" s="107" t="s">
        <v>152</v>
      </c>
      <c r="P39" s="107" t="s">
        <v>152</v>
      </c>
      <c r="Q39" s="107" t="s">
        <v>152</v>
      </c>
      <c r="R39" s="287">
        <v>0</v>
      </c>
    </row>
    <row r="40" spans="1:18" s="63" customFormat="1" ht="15.6" x14ac:dyDescent="0.3">
      <c r="A40" s="75" t="s">
        <v>27</v>
      </c>
      <c r="B40" s="170" t="s">
        <v>152</v>
      </c>
      <c r="C40" s="67" t="s">
        <v>152</v>
      </c>
      <c r="D40" s="67" t="s">
        <v>152</v>
      </c>
      <c r="E40" s="67" t="s">
        <v>152</v>
      </c>
      <c r="F40" s="67" t="s">
        <v>152</v>
      </c>
      <c r="G40" s="107" t="s">
        <v>152</v>
      </c>
      <c r="H40" s="107" t="s">
        <v>152</v>
      </c>
      <c r="I40" s="107" t="s">
        <v>152</v>
      </c>
      <c r="J40" s="107" t="s">
        <v>152</v>
      </c>
      <c r="K40" s="107" t="s">
        <v>152</v>
      </c>
      <c r="L40" s="107" t="s">
        <v>152</v>
      </c>
      <c r="M40" s="107" t="s">
        <v>152</v>
      </c>
      <c r="N40" s="107" t="s">
        <v>152</v>
      </c>
      <c r="O40" s="107" t="s">
        <v>152</v>
      </c>
      <c r="P40" s="107" t="s">
        <v>152</v>
      </c>
      <c r="Q40" s="174" t="s">
        <v>152</v>
      </c>
      <c r="R40" s="287">
        <v>0</v>
      </c>
    </row>
    <row r="41" spans="1:18" s="63" customFormat="1" ht="15.6" x14ac:dyDescent="0.3">
      <c r="A41" s="75" t="s">
        <v>28</v>
      </c>
      <c r="B41" s="170" t="s">
        <v>152</v>
      </c>
      <c r="C41" s="67" t="s">
        <v>152</v>
      </c>
      <c r="D41" s="67" t="s">
        <v>152</v>
      </c>
      <c r="E41" s="67" t="s">
        <v>152</v>
      </c>
      <c r="F41" s="67" t="s">
        <v>152</v>
      </c>
      <c r="G41" s="107" t="s">
        <v>152</v>
      </c>
      <c r="H41" s="107" t="s">
        <v>152</v>
      </c>
      <c r="I41" s="107" t="s">
        <v>152</v>
      </c>
      <c r="J41" s="107" t="s">
        <v>152</v>
      </c>
      <c r="K41" s="107" t="s">
        <v>152</v>
      </c>
      <c r="L41" s="107" t="s">
        <v>152</v>
      </c>
      <c r="M41" s="107" t="s">
        <v>152</v>
      </c>
      <c r="N41" s="107" t="s">
        <v>152</v>
      </c>
      <c r="O41" s="107" t="s">
        <v>152</v>
      </c>
      <c r="P41" s="107" t="s">
        <v>152</v>
      </c>
      <c r="Q41" s="107" t="s">
        <v>152</v>
      </c>
      <c r="R41" s="287">
        <v>0</v>
      </c>
    </row>
    <row r="42" spans="1:18" s="63" customFormat="1" ht="15.6" x14ac:dyDescent="0.3">
      <c r="A42" s="75" t="s">
        <v>29</v>
      </c>
      <c r="B42" s="170" t="s">
        <v>152</v>
      </c>
      <c r="C42" s="67" t="s">
        <v>152</v>
      </c>
      <c r="D42" s="67" t="s">
        <v>152</v>
      </c>
      <c r="E42" s="67" t="s">
        <v>152</v>
      </c>
      <c r="F42" s="67" t="s">
        <v>152</v>
      </c>
      <c r="G42" s="107" t="s">
        <v>152</v>
      </c>
      <c r="H42" s="107" t="s">
        <v>152</v>
      </c>
      <c r="I42" s="107" t="s">
        <v>152</v>
      </c>
      <c r="J42" s="107" t="s">
        <v>152</v>
      </c>
      <c r="K42" s="107" t="s">
        <v>152</v>
      </c>
      <c r="L42" s="107" t="s">
        <v>152</v>
      </c>
      <c r="M42" s="107" t="s">
        <v>152</v>
      </c>
      <c r="N42" s="107" t="s">
        <v>152</v>
      </c>
      <c r="O42" s="107" t="s">
        <v>152</v>
      </c>
      <c r="P42" s="107" t="s">
        <v>152</v>
      </c>
      <c r="Q42" s="107" t="s">
        <v>152</v>
      </c>
      <c r="R42" s="287">
        <v>0</v>
      </c>
    </row>
    <row r="43" spans="1:18" s="63" customFormat="1" ht="15.6" x14ac:dyDescent="0.3">
      <c r="A43" s="75" t="s">
        <v>30</v>
      </c>
      <c r="B43" s="170" t="s">
        <v>152</v>
      </c>
      <c r="C43" s="67" t="s">
        <v>152</v>
      </c>
      <c r="D43" s="67" t="s">
        <v>152</v>
      </c>
      <c r="E43" s="67" t="s">
        <v>152</v>
      </c>
      <c r="F43" s="67" t="s">
        <v>152</v>
      </c>
      <c r="G43" s="107" t="s">
        <v>152</v>
      </c>
      <c r="H43" s="107" t="s">
        <v>152</v>
      </c>
      <c r="I43" s="107" t="s">
        <v>152</v>
      </c>
      <c r="J43" s="107" t="s">
        <v>152</v>
      </c>
      <c r="K43" s="107" t="s">
        <v>152</v>
      </c>
      <c r="L43" s="107" t="s">
        <v>152</v>
      </c>
      <c r="M43" s="107" t="s">
        <v>152</v>
      </c>
      <c r="N43" s="107" t="s">
        <v>152</v>
      </c>
      <c r="O43" s="107" t="s">
        <v>152</v>
      </c>
      <c r="P43" s="107" t="s">
        <v>152</v>
      </c>
      <c r="Q43" s="107" t="s">
        <v>152</v>
      </c>
      <c r="R43" s="291" t="s">
        <v>152</v>
      </c>
    </row>
    <row r="44" spans="1:18" s="63" customFormat="1" ht="15.6" x14ac:dyDescent="0.3">
      <c r="A44" s="75" t="s">
        <v>31</v>
      </c>
      <c r="B44" s="170" t="s">
        <v>152</v>
      </c>
      <c r="C44" s="67" t="s">
        <v>152</v>
      </c>
      <c r="D44" s="67" t="s">
        <v>152</v>
      </c>
      <c r="E44" s="67" t="s">
        <v>152</v>
      </c>
      <c r="F44" s="67" t="s">
        <v>152</v>
      </c>
      <c r="G44" s="107" t="s">
        <v>152</v>
      </c>
      <c r="H44" s="107" t="s">
        <v>152</v>
      </c>
      <c r="I44" s="107" t="s">
        <v>152</v>
      </c>
      <c r="J44" s="107" t="s">
        <v>152</v>
      </c>
      <c r="K44" s="107" t="s">
        <v>152</v>
      </c>
      <c r="L44" s="107" t="s">
        <v>152</v>
      </c>
      <c r="M44" s="107" t="s">
        <v>152</v>
      </c>
      <c r="N44" s="107" t="s">
        <v>152</v>
      </c>
      <c r="O44" s="107" t="s">
        <v>152</v>
      </c>
      <c r="P44" s="107" t="s">
        <v>152</v>
      </c>
      <c r="Q44" s="107" t="s">
        <v>152</v>
      </c>
      <c r="R44" s="295" t="s">
        <v>152</v>
      </c>
    </row>
    <row r="45" spans="1:18" s="63" customFormat="1" ht="15.6" x14ac:dyDescent="0.3">
      <c r="A45" s="75" t="s">
        <v>32</v>
      </c>
      <c r="B45" s="170" t="s">
        <v>152</v>
      </c>
      <c r="C45" s="67" t="s">
        <v>152</v>
      </c>
      <c r="D45" s="67" t="s">
        <v>152</v>
      </c>
      <c r="E45" s="67" t="s">
        <v>152</v>
      </c>
      <c r="F45" s="67" t="s">
        <v>152</v>
      </c>
      <c r="G45" s="107" t="s">
        <v>152</v>
      </c>
      <c r="H45" s="107" t="s">
        <v>152</v>
      </c>
      <c r="I45" s="107" t="s">
        <v>152</v>
      </c>
      <c r="J45" s="107" t="s">
        <v>152</v>
      </c>
      <c r="K45" s="107" t="s">
        <v>152</v>
      </c>
      <c r="L45" s="107" t="s">
        <v>152</v>
      </c>
      <c r="M45" s="107" t="s">
        <v>152</v>
      </c>
      <c r="N45" s="107" t="s">
        <v>152</v>
      </c>
      <c r="O45" s="107" t="s">
        <v>152</v>
      </c>
      <c r="P45" s="107" t="s">
        <v>152</v>
      </c>
      <c r="Q45" s="107" t="s">
        <v>152</v>
      </c>
      <c r="R45" s="295" t="s">
        <v>152</v>
      </c>
    </row>
    <row r="46" spans="1:18" s="63" customFormat="1" ht="15.6" x14ac:dyDescent="0.3">
      <c r="A46" s="75" t="s">
        <v>33</v>
      </c>
      <c r="B46" s="170" t="s">
        <v>152</v>
      </c>
      <c r="C46" s="67" t="s">
        <v>152</v>
      </c>
      <c r="D46" s="67" t="s">
        <v>152</v>
      </c>
      <c r="E46" s="67" t="s">
        <v>152</v>
      </c>
      <c r="F46" s="67" t="s">
        <v>152</v>
      </c>
      <c r="G46" s="107" t="s">
        <v>152</v>
      </c>
      <c r="H46" s="107" t="s">
        <v>152</v>
      </c>
      <c r="I46" s="107" t="s">
        <v>152</v>
      </c>
      <c r="J46" s="107" t="s">
        <v>152</v>
      </c>
      <c r="K46" s="107" t="s">
        <v>152</v>
      </c>
      <c r="L46" s="107" t="s">
        <v>152</v>
      </c>
      <c r="M46" s="107" t="s">
        <v>152</v>
      </c>
      <c r="N46" s="107" t="s">
        <v>152</v>
      </c>
      <c r="O46" s="107" t="s">
        <v>152</v>
      </c>
      <c r="P46" s="107" t="s">
        <v>152</v>
      </c>
      <c r="Q46" s="271">
        <v>0</v>
      </c>
      <c r="R46" s="295" t="s">
        <v>152</v>
      </c>
    </row>
    <row r="47" spans="1:18" s="63" customFormat="1" ht="15.6" x14ac:dyDescent="0.3">
      <c r="A47" s="75" t="s">
        <v>34</v>
      </c>
      <c r="B47" s="170" t="s">
        <v>152</v>
      </c>
      <c r="C47" s="67" t="s">
        <v>152</v>
      </c>
      <c r="D47" s="67" t="s">
        <v>152</v>
      </c>
      <c r="E47" s="67" t="s">
        <v>152</v>
      </c>
      <c r="F47" s="67" t="s">
        <v>152</v>
      </c>
      <c r="G47" s="107" t="s">
        <v>152</v>
      </c>
      <c r="H47" s="107" t="s">
        <v>152</v>
      </c>
      <c r="I47" s="107" t="s">
        <v>152</v>
      </c>
      <c r="J47" s="107" t="s">
        <v>152</v>
      </c>
      <c r="K47" s="107" t="s">
        <v>152</v>
      </c>
      <c r="L47" s="107" t="s">
        <v>152</v>
      </c>
      <c r="M47" s="107" t="s">
        <v>152</v>
      </c>
      <c r="N47" s="107" t="s">
        <v>152</v>
      </c>
      <c r="O47" s="107" t="s">
        <v>152</v>
      </c>
      <c r="P47" s="107" t="s">
        <v>152</v>
      </c>
      <c r="Q47" s="66">
        <v>0</v>
      </c>
      <c r="R47" s="295" t="s">
        <v>152</v>
      </c>
    </row>
    <row r="48" spans="1:18" s="63" customFormat="1" ht="16.2" thickBot="1" x14ac:dyDescent="0.35">
      <c r="A48" s="88" t="s">
        <v>36</v>
      </c>
      <c r="B48" s="87" t="s">
        <v>152</v>
      </c>
      <c r="C48" s="72" t="s">
        <v>152</v>
      </c>
      <c r="D48" s="72" t="s">
        <v>152</v>
      </c>
      <c r="E48" s="72" t="s">
        <v>152</v>
      </c>
      <c r="F48" s="72" t="s">
        <v>152</v>
      </c>
      <c r="G48" s="192" t="s">
        <v>152</v>
      </c>
      <c r="H48" s="192" t="s">
        <v>152</v>
      </c>
      <c r="I48" s="192" t="s">
        <v>152</v>
      </c>
      <c r="J48" s="192" t="s">
        <v>152</v>
      </c>
      <c r="K48" s="192" t="s">
        <v>152</v>
      </c>
      <c r="L48" s="192" t="s">
        <v>152</v>
      </c>
      <c r="M48" s="192" t="s">
        <v>152</v>
      </c>
      <c r="N48" s="192" t="s">
        <v>152</v>
      </c>
      <c r="O48" s="192" t="s">
        <v>152</v>
      </c>
      <c r="P48" s="192" t="s">
        <v>152</v>
      </c>
      <c r="Q48" s="71">
        <v>0</v>
      </c>
      <c r="R48" s="292" t="s">
        <v>152</v>
      </c>
    </row>
    <row r="49" spans="1:20" s="63" customFormat="1" ht="16.2" thickTop="1" x14ac:dyDescent="0.3">
      <c r="A49" s="89" t="s">
        <v>37</v>
      </c>
      <c r="B49" s="90" t="s">
        <v>152</v>
      </c>
      <c r="C49" s="73" t="s">
        <v>152</v>
      </c>
      <c r="D49" s="73" t="s">
        <v>152</v>
      </c>
      <c r="E49" s="73" t="s">
        <v>152</v>
      </c>
      <c r="F49" s="73" t="s">
        <v>152</v>
      </c>
      <c r="G49" s="273">
        <f t="shared" ref="G49:R49" si="2">SUM(G37:G48)</f>
        <v>0</v>
      </c>
      <c r="H49" s="273">
        <f t="shared" si="2"/>
        <v>0</v>
      </c>
      <c r="I49" s="273">
        <f t="shared" si="2"/>
        <v>0</v>
      </c>
      <c r="J49" s="273">
        <f t="shared" si="2"/>
        <v>0</v>
      </c>
      <c r="K49" s="273">
        <f t="shared" si="2"/>
        <v>0</v>
      </c>
      <c r="L49" s="273">
        <f t="shared" si="2"/>
        <v>0</v>
      </c>
      <c r="M49" s="273">
        <f t="shared" si="2"/>
        <v>0</v>
      </c>
      <c r="N49" s="273">
        <f t="shared" si="2"/>
        <v>0</v>
      </c>
      <c r="O49" s="273">
        <f t="shared" si="2"/>
        <v>0</v>
      </c>
      <c r="P49" s="273">
        <f t="shared" si="2"/>
        <v>0</v>
      </c>
      <c r="Q49" s="273">
        <f t="shared" si="2"/>
        <v>0</v>
      </c>
      <c r="R49" s="288">
        <f t="shared" si="2"/>
        <v>0</v>
      </c>
    </row>
    <row r="50" spans="1:20" s="113" customFormat="1" ht="6.6" x14ac:dyDescent="0.3">
      <c r="A50" s="371" t="s">
        <v>174</v>
      </c>
      <c r="B50" s="371"/>
      <c r="C50" s="371"/>
      <c r="D50" s="371"/>
      <c r="E50" s="371"/>
      <c r="F50" s="371"/>
      <c r="G50" s="371"/>
      <c r="H50" s="371"/>
      <c r="I50" s="371"/>
      <c r="J50" s="371"/>
      <c r="K50" s="371"/>
      <c r="L50" s="371"/>
      <c r="M50" s="371"/>
      <c r="N50" s="371"/>
      <c r="O50" s="371"/>
      <c r="P50" s="371"/>
      <c r="Q50" s="371"/>
      <c r="R50" s="371"/>
    </row>
    <row r="51" spans="1:20" s="111" customFormat="1" ht="13.8" x14ac:dyDescent="0.3">
      <c r="A51" s="373" t="s">
        <v>221</v>
      </c>
      <c r="B51" s="373"/>
      <c r="C51" s="373"/>
      <c r="D51" s="373"/>
      <c r="E51" s="373"/>
      <c r="F51" s="373"/>
      <c r="G51" s="373"/>
      <c r="H51" s="373"/>
      <c r="I51" s="373"/>
      <c r="J51" s="373"/>
      <c r="K51" s="373"/>
      <c r="L51" s="373"/>
      <c r="M51" s="373"/>
      <c r="N51" s="373"/>
      <c r="O51" s="373"/>
      <c r="P51" s="373"/>
      <c r="Q51" s="373"/>
      <c r="R51" s="373"/>
      <c r="S51" s="373"/>
    </row>
    <row r="52" spans="1:20" s="111" customFormat="1" ht="13.8" x14ac:dyDescent="0.3">
      <c r="A52" s="384" t="str">
        <f>'Local SUT'!A60</f>
        <v>Source:  Minnesota Department of Revenue, Tax Research Division, February 2021</v>
      </c>
      <c r="B52" s="384"/>
      <c r="C52" s="384"/>
      <c r="D52" s="384"/>
      <c r="E52" s="384"/>
      <c r="F52" s="384"/>
      <c r="G52" s="384"/>
      <c r="H52" s="384"/>
      <c r="I52" s="384"/>
      <c r="J52" s="384"/>
      <c r="K52" s="384"/>
      <c r="L52" s="384"/>
      <c r="M52" s="384"/>
      <c r="N52" s="384"/>
      <c r="O52" s="384"/>
      <c r="P52" s="384"/>
      <c r="Q52" s="384"/>
      <c r="R52" s="384"/>
      <c r="S52" s="384"/>
      <c r="T52" s="384"/>
    </row>
    <row r="53" spans="1:20" s="111" customFormat="1" ht="13.8" x14ac:dyDescent="0.3">
      <c r="A53" s="379" t="s">
        <v>151</v>
      </c>
      <c r="B53" s="379"/>
      <c r="C53" s="379"/>
      <c r="D53" s="379"/>
      <c r="E53" s="379"/>
      <c r="F53" s="379"/>
      <c r="G53" s="379"/>
      <c r="H53" s="379"/>
      <c r="I53" s="379"/>
      <c r="J53" s="379"/>
      <c r="K53" s="379"/>
      <c r="L53" s="379"/>
      <c r="M53" s="379"/>
      <c r="N53" s="379"/>
      <c r="O53" s="379"/>
      <c r="P53" s="379"/>
      <c r="Q53" s="379"/>
      <c r="R53" s="379"/>
    </row>
    <row r="54" spans="1:20" x14ac:dyDescent="0.3">
      <c r="R54" s="117"/>
    </row>
  </sheetData>
  <mergeCells count="11">
    <mergeCell ref="A34:R34"/>
    <mergeCell ref="A1:T1"/>
    <mergeCell ref="A2:R2"/>
    <mergeCell ref="A3:R3"/>
    <mergeCell ref="A18:R18"/>
    <mergeCell ref="A19:R19"/>
    <mergeCell ref="A35:R35"/>
    <mergeCell ref="A50:R50"/>
    <mergeCell ref="A51:S51"/>
    <mergeCell ref="A52:T52"/>
    <mergeCell ref="A53:R53"/>
  </mergeCells>
  <pageMargins left="0.5" right="0" top="0.75" bottom="0.75" header="0.3" footer="0.3"/>
  <pageSetup scale="86"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CF6359-8FC1-4451-8B8E-7DC638436242}">
  <sheetPr codeName="Sheet44">
    <pageSetUpPr fitToPage="1"/>
  </sheetPr>
  <dimension ref="A1:U54"/>
  <sheetViews>
    <sheetView showGridLines="0" zoomScaleNormal="100" workbookViewId="0">
      <pane ySplit="1" topLeftCell="A2" activePane="bottomLeft" state="frozen"/>
      <selection pane="bottomLeft" sqref="A1:T1"/>
    </sheetView>
  </sheetViews>
  <sheetFormatPr defaultColWidth="12.5546875" defaultRowHeight="14.4" x14ac:dyDescent="0.3"/>
  <cols>
    <col min="1" max="1" width="12.5546875" style="180" customWidth="1"/>
    <col min="2" max="16" width="13.5546875" style="173" hidden="1" customWidth="1"/>
    <col min="17" max="17" width="13.5546875" style="173" customWidth="1"/>
    <col min="18" max="18" width="13.5546875" style="145" customWidth="1"/>
    <col min="19" max="16384" width="12.5546875" style="173"/>
  </cols>
  <sheetData>
    <row r="1" spans="1:21" s="112" customFormat="1" ht="21" x14ac:dyDescent="0.3">
      <c r="A1" s="380" t="s">
        <v>258</v>
      </c>
      <c r="B1" s="380"/>
      <c r="C1" s="380"/>
      <c r="D1" s="380"/>
      <c r="E1" s="380"/>
      <c r="F1" s="380"/>
      <c r="G1" s="380"/>
      <c r="H1" s="380"/>
      <c r="I1" s="380"/>
      <c r="J1" s="380"/>
      <c r="K1" s="380"/>
      <c r="L1" s="380"/>
      <c r="M1" s="380"/>
      <c r="N1" s="380"/>
      <c r="O1" s="380"/>
      <c r="P1" s="380"/>
      <c r="Q1" s="380"/>
      <c r="R1" s="380"/>
      <c r="S1" s="380"/>
      <c r="T1" s="380"/>
      <c r="U1" s="338"/>
    </row>
    <row r="2" spans="1:21" s="106" customFormat="1" ht="18" x14ac:dyDescent="0.3">
      <c r="A2" s="381" t="str">
        <f>'Local SUT'!A2</f>
        <v>CY 2004-2020</v>
      </c>
      <c r="B2" s="381"/>
      <c r="C2" s="381"/>
      <c r="D2" s="381"/>
      <c r="E2" s="381"/>
      <c r="F2" s="381"/>
      <c r="G2" s="381"/>
      <c r="H2" s="381"/>
      <c r="I2" s="381"/>
      <c r="J2" s="381"/>
      <c r="K2" s="381"/>
      <c r="L2" s="381"/>
      <c r="M2" s="381"/>
      <c r="N2" s="381"/>
      <c r="O2" s="381"/>
      <c r="P2" s="381"/>
      <c r="Q2" s="381"/>
      <c r="R2" s="381"/>
    </row>
    <row r="3" spans="1:21" s="106" customFormat="1" ht="18" x14ac:dyDescent="0.3">
      <c r="A3" s="370" t="s">
        <v>259</v>
      </c>
      <c r="B3" s="370"/>
      <c r="C3" s="370"/>
      <c r="D3" s="370"/>
      <c r="E3" s="370"/>
      <c r="F3" s="370"/>
      <c r="G3" s="370"/>
      <c r="H3" s="370"/>
      <c r="I3" s="370"/>
      <c r="J3" s="370"/>
      <c r="K3" s="370"/>
      <c r="L3" s="370"/>
      <c r="M3" s="370"/>
      <c r="N3" s="370"/>
      <c r="O3" s="370"/>
      <c r="P3" s="370"/>
      <c r="Q3" s="370"/>
      <c r="R3" s="370"/>
    </row>
    <row r="4" spans="1:21" s="63" customFormat="1" ht="15.6" x14ac:dyDescent="0.3">
      <c r="A4" s="77" t="s">
        <v>23</v>
      </c>
      <c r="B4" s="91">
        <v>2004</v>
      </c>
      <c r="C4" s="64">
        <v>2005</v>
      </c>
      <c r="D4" s="64">
        <v>2006</v>
      </c>
      <c r="E4" s="64">
        <v>2007</v>
      </c>
      <c r="F4" s="64">
        <v>2008</v>
      </c>
      <c r="G4" s="64">
        <v>2009</v>
      </c>
      <c r="H4" s="64">
        <v>2010</v>
      </c>
      <c r="I4" s="64">
        <v>2011</v>
      </c>
      <c r="J4" s="65">
        <v>2012</v>
      </c>
      <c r="K4" s="65">
        <v>2013</v>
      </c>
      <c r="L4" s="65">
        <v>2014</v>
      </c>
      <c r="M4" s="65">
        <v>2015</v>
      </c>
      <c r="N4" s="65">
        <v>2016</v>
      </c>
      <c r="O4" s="65">
        <v>2017</v>
      </c>
      <c r="P4" s="65">
        <v>2018</v>
      </c>
      <c r="Q4" s="336">
        <v>2019</v>
      </c>
      <c r="R4" s="337">
        <v>2020</v>
      </c>
    </row>
    <row r="5" spans="1:21" s="63" customFormat="1" ht="15.6" x14ac:dyDescent="0.3">
      <c r="A5" s="76" t="s">
        <v>24</v>
      </c>
      <c r="B5" s="108" t="s">
        <v>152</v>
      </c>
      <c r="C5" s="107" t="s">
        <v>152</v>
      </c>
      <c r="D5" s="107" t="s">
        <v>152</v>
      </c>
      <c r="E5" s="107" t="s">
        <v>152</v>
      </c>
      <c r="F5" s="107" t="s">
        <v>152</v>
      </c>
      <c r="G5" s="107" t="s">
        <v>152</v>
      </c>
      <c r="H5" s="107" t="s">
        <v>152</v>
      </c>
      <c r="I5" s="107" t="s">
        <v>152</v>
      </c>
      <c r="J5" s="107" t="s">
        <v>152</v>
      </c>
      <c r="K5" s="107" t="s">
        <v>152</v>
      </c>
      <c r="L5" s="107" t="s">
        <v>152</v>
      </c>
      <c r="M5" s="107" t="s">
        <v>152</v>
      </c>
      <c r="N5" s="107" t="s">
        <v>152</v>
      </c>
      <c r="O5" s="107" t="s">
        <v>152</v>
      </c>
      <c r="P5" s="107" t="s">
        <v>152</v>
      </c>
      <c r="Q5" s="107" t="s">
        <v>152</v>
      </c>
      <c r="R5" s="286">
        <v>87088</v>
      </c>
    </row>
    <row r="6" spans="1:21" s="63" customFormat="1" ht="15.6" x14ac:dyDescent="0.3">
      <c r="A6" s="75" t="s">
        <v>25</v>
      </c>
      <c r="B6" s="170" t="s">
        <v>152</v>
      </c>
      <c r="C6" s="67" t="s">
        <v>152</v>
      </c>
      <c r="D6" s="67" t="s">
        <v>152</v>
      </c>
      <c r="E6" s="67" t="s">
        <v>152</v>
      </c>
      <c r="F6" s="67" t="s">
        <v>152</v>
      </c>
      <c r="G6" s="107" t="s">
        <v>152</v>
      </c>
      <c r="H6" s="107" t="s">
        <v>152</v>
      </c>
      <c r="I6" s="107" t="s">
        <v>152</v>
      </c>
      <c r="J6" s="107" t="s">
        <v>152</v>
      </c>
      <c r="K6" s="107" t="s">
        <v>152</v>
      </c>
      <c r="L6" s="107" t="s">
        <v>152</v>
      </c>
      <c r="M6" s="107" t="s">
        <v>152</v>
      </c>
      <c r="N6" s="107" t="s">
        <v>152</v>
      </c>
      <c r="O6" s="107" t="s">
        <v>152</v>
      </c>
      <c r="P6" s="107" t="s">
        <v>152</v>
      </c>
      <c r="Q6" s="107" t="s">
        <v>152</v>
      </c>
      <c r="R6" s="287">
        <v>64499</v>
      </c>
    </row>
    <row r="7" spans="1:21" s="63" customFormat="1" ht="15.6" x14ac:dyDescent="0.3">
      <c r="A7" s="75" t="s">
        <v>26</v>
      </c>
      <c r="B7" s="170" t="s">
        <v>152</v>
      </c>
      <c r="C7" s="67" t="s">
        <v>152</v>
      </c>
      <c r="D7" s="67" t="s">
        <v>152</v>
      </c>
      <c r="E7" s="67" t="s">
        <v>152</v>
      </c>
      <c r="F7" s="67" t="s">
        <v>152</v>
      </c>
      <c r="G7" s="107" t="s">
        <v>152</v>
      </c>
      <c r="H7" s="107" t="s">
        <v>152</v>
      </c>
      <c r="I7" s="107" t="s">
        <v>152</v>
      </c>
      <c r="J7" s="107" t="s">
        <v>152</v>
      </c>
      <c r="K7" s="107" t="s">
        <v>152</v>
      </c>
      <c r="L7" s="107" t="s">
        <v>152</v>
      </c>
      <c r="M7" s="107" t="s">
        <v>152</v>
      </c>
      <c r="N7" s="107" t="s">
        <v>152</v>
      </c>
      <c r="O7" s="107" t="s">
        <v>152</v>
      </c>
      <c r="P7" s="107" t="s">
        <v>152</v>
      </c>
      <c r="Q7" s="107" t="s">
        <v>152</v>
      </c>
      <c r="R7" s="287">
        <v>66887</v>
      </c>
    </row>
    <row r="8" spans="1:21" s="63" customFormat="1" ht="15.6" x14ac:dyDescent="0.3">
      <c r="A8" s="75" t="s">
        <v>27</v>
      </c>
      <c r="B8" s="170" t="s">
        <v>152</v>
      </c>
      <c r="C8" s="67" t="s">
        <v>152</v>
      </c>
      <c r="D8" s="67" t="s">
        <v>152</v>
      </c>
      <c r="E8" s="67" t="s">
        <v>152</v>
      </c>
      <c r="F8" s="67" t="s">
        <v>152</v>
      </c>
      <c r="G8" s="107" t="s">
        <v>152</v>
      </c>
      <c r="H8" s="107" t="s">
        <v>152</v>
      </c>
      <c r="I8" s="107" t="s">
        <v>152</v>
      </c>
      <c r="J8" s="107" t="s">
        <v>152</v>
      </c>
      <c r="K8" s="107" t="s">
        <v>152</v>
      </c>
      <c r="L8" s="107" t="s">
        <v>152</v>
      </c>
      <c r="M8" s="107" t="s">
        <v>152</v>
      </c>
      <c r="N8" s="107" t="s">
        <v>152</v>
      </c>
      <c r="O8" s="107" t="s">
        <v>152</v>
      </c>
      <c r="P8" s="107" t="s">
        <v>152</v>
      </c>
      <c r="Q8" s="107" t="s">
        <v>152</v>
      </c>
      <c r="R8" s="287">
        <v>73305</v>
      </c>
    </row>
    <row r="9" spans="1:21" s="63" customFormat="1" ht="15.6" x14ac:dyDescent="0.3">
      <c r="A9" s="75" t="s">
        <v>28</v>
      </c>
      <c r="B9" s="170" t="s">
        <v>152</v>
      </c>
      <c r="C9" s="67" t="s">
        <v>152</v>
      </c>
      <c r="D9" s="67" t="s">
        <v>152</v>
      </c>
      <c r="E9" s="67" t="s">
        <v>152</v>
      </c>
      <c r="F9" s="67" t="s">
        <v>152</v>
      </c>
      <c r="G9" s="107" t="s">
        <v>152</v>
      </c>
      <c r="H9" s="107" t="s">
        <v>152</v>
      </c>
      <c r="I9" s="107" t="s">
        <v>152</v>
      </c>
      <c r="J9" s="107" t="s">
        <v>152</v>
      </c>
      <c r="K9" s="107" t="s">
        <v>152</v>
      </c>
      <c r="L9" s="107" t="s">
        <v>152</v>
      </c>
      <c r="M9" s="107" t="s">
        <v>152</v>
      </c>
      <c r="N9" s="107" t="s">
        <v>152</v>
      </c>
      <c r="O9" s="107" t="s">
        <v>152</v>
      </c>
      <c r="P9" s="107" t="s">
        <v>152</v>
      </c>
      <c r="Q9" s="107" t="s">
        <v>152</v>
      </c>
      <c r="R9" s="287">
        <v>73217</v>
      </c>
    </row>
    <row r="10" spans="1:21" s="63" customFormat="1" ht="15.6" x14ac:dyDescent="0.3">
      <c r="A10" s="75" t="s">
        <v>29</v>
      </c>
      <c r="B10" s="170" t="s">
        <v>152</v>
      </c>
      <c r="C10" s="67" t="s">
        <v>152</v>
      </c>
      <c r="D10" s="67" t="s">
        <v>152</v>
      </c>
      <c r="E10" s="67" t="s">
        <v>152</v>
      </c>
      <c r="F10" s="67" t="s">
        <v>152</v>
      </c>
      <c r="G10" s="107" t="s">
        <v>152</v>
      </c>
      <c r="H10" s="107" t="s">
        <v>152</v>
      </c>
      <c r="I10" s="107" t="s">
        <v>152</v>
      </c>
      <c r="J10" s="107" t="s">
        <v>152</v>
      </c>
      <c r="K10" s="107" t="s">
        <v>152</v>
      </c>
      <c r="L10" s="107" t="s">
        <v>152</v>
      </c>
      <c r="M10" s="107" t="s">
        <v>152</v>
      </c>
      <c r="N10" s="107" t="s">
        <v>152</v>
      </c>
      <c r="O10" s="107" t="s">
        <v>152</v>
      </c>
      <c r="P10" s="107" t="s">
        <v>152</v>
      </c>
      <c r="Q10" s="107" t="s">
        <v>152</v>
      </c>
      <c r="R10" s="287">
        <v>90755</v>
      </c>
    </row>
    <row r="11" spans="1:21" s="63" customFormat="1" ht="15.6" x14ac:dyDescent="0.3">
      <c r="A11" s="75" t="s">
        <v>30</v>
      </c>
      <c r="B11" s="170" t="s">
        <v>152</v>
      </c>
      <c r="C11" s="67" t="s">
        <v>152</v>
      </c>
      <c r="D11" s="67" t="s">
        <v>152</v>
      </c>
      <c r="E11" s="67" t="s">
        <v>152</v>
      </c>
      <c r="F11" s="67" t="s">
        <v>152</v>
      </c>
      <c r="G11" s="107" t="s">
        <v>152</v>
      </c>
      <c r="H11" s="107" t="s">
        <v>152</v>
      </c>
      <c r="I11" s="107" t="s">
        <v>152</v>
      </c>
      <c r="J11" s="107" t="s">
        <v>152</v>
      </c>
      <c r="K11" s="107" t="s">
        <v>152</v>
      </c>
      <c r="L11" s="107" t="s">
        <v>152</v>
      </c>
      <c r="M11" s="107" t="s">
        <v>152</v>
      </c>
      <c r="N11" s="107" t="s">
        <v>152</v>
      </c>
      <c r="O11" s="107" t="s">
        <v>152</v>
      </c>
      <c r="P11" s="107" t="s">
        <v>152</v>
      </c>
      <c r="Q11" s="107" t="s">
        <v>152</v>
      </c>
      <c r="R11" s="291" t="s">
        <v>152</v>
      </c>
    </row>
    <row r="12" spans="1:21" s="63" customFormat="1" ht="15.6" x14ac:dyDescent="0.3">
      <c r="A12" s="75" t="s">
        <v>31</v>
      </c>
      <c r="B12" s="170" t="s">
        <v>152</v>
      </c>
      <c r="C12" s="67" t="s">
        <v>152</v>
      </c>
      <c r="D12" s="67" t="s">
        <v>152</v>
      </c>
      <c r="E12" s="67" t="s">
        <v>152</v>
      </c>
      <c r="F12" s="67" t="s">
        <v>152</v>
      </c>
      <c r="G12" s="107" t="s">
        <v>152</v>
      </c>
      <c r="H12" s="107" t="s">
        <v>152</v>
      </c>
      <c r="I12" s="107" t="s">
        <v>152</v>
      </c>
      <c r="J12" s="107" t="s">
        <v>152</v>
      </c>
      <c r="K12" s="107" t="s">
        <v>152</v>
      </c>
      <c r="L12" s="107" t="s">
        <v>152</v>
      </c>
      <c r="M12" s="107" t="s">
        <v>152</v>
      </c>
      <c r="N12" s="107" t="s">
        <v>152</v>
      </c>
      <c r="O12" s="107" t="s">
        <v>152</v>
      </c>
      <c r="P12" s="107" t="s">
        <v>152</v>
      </c>
      <c r="Q12" s="174" t="s">
        <v>152</v>
      </c>
      <c r="R12" s="295" t="s">
        <v>152</v>
      </c>
    </row>
    <row r="13" spans="1:21" s="63" customFormat="1" ht="15.6" x14ac:dyDescent="0.3">
      <c r="A13" s="75" t="s">
        <v>32</v>
      </c>
      <c r="B13" s="170" t="s">
        <v>152</v>
      </c>
      <c r="C13" s="67" t="s">
        <v>152</v>
      </c>
      <c r="D13" s="67" t="s">
        <v>152</v>
      </c>
      <c r="E13" s="67" t="s">
        <v>152</v>
      </c>
      <c r="F13" s="67" t="s">
        <v>152</v>
      </c>
      <c r="G13" s="107" t="s">
        <v>152</v>
      </c>
      <c r="H13" s="107" t="s">
        <v>152</v>
      </c>
      <c r="I13" s="107" t="s">
        <v>152</v>
      </c>
      <c r="J13" s="107" t="s">
        <v>152</v>
      </c>
      <c r="K13" s="107" t="s">
        <v>152</v>
      </c>
      <c r="L13" s="107" t="s">
        <v>152</v>
      </c>
      <c r="M13" s="107" t="s">
        <v>152</v>
      </c>
      <c r="N13" s="107" t="s">
        <v>152</v>
      </c>
      <c r="O13" s="107" t="s">
        <v>152</v>
      </c>
      <c r="P13" s="107" t="s">
        <v>152</v>
      </c>
      <c r="Q13" s="107" t="s">
        <v>152</v>
      </c>
      <c r="R13" s="295" t="s">
        <v>152</v>
      </c>
    </row>
    <row r="14" spans="1:21" s="63" customFormat="1" ht="15.6" x14ac:dyDescent="0.3">
      <c r="A14" s="75" t="s">
        <v>33</v>
      </c>
      <c r="B14" s="170" t="s">
        <v>152</v>
      </c>
      <c r="C14" s="67" t="s">
        <v>152</v>
      </c>
      <c r="D14" s="67" t="s">
        <v>152</v>
      </c>
      <c r="E14" s="67" t="s">
        <v>152</v>
      </c>
      <c r="F14" s="67" t="s">
        <v>152</v>
      </c>
      <c r="G14" s="107" t="s">
        <v>152</v>
      </c>
      <c r="H14" s="107" t="s">
        <v>152</v>
      </c>
      <c r="I14" s="107" t="s">
        <v>152</v>
      </c>
      <c r="J14" s="107" t="s">
        <v>152</v>
      </c>
      <c r="K14" s="107" t="s">
        <v>152</v>
      </c>
      <c r="L14" s="107" t="s">
        <v>152</v>
      </c>
      <c r="M14" s="107" t="s">
        <v>152</v>
      </c>
      <c r="N14" s="107" t="s">
        <v>152</v>
      </c>
      <c r="O14" s="107" t="s">
        <v>152</v>
      </c>
      <c r="P14" s="107" t="s">
        <v>152</v>
      </c>
      <c r="Q14" s="271">
        <v>424</v>
      </c>
      <c r="R14" s="295" t="s">
        <v>152</v>
      </c>
    </row>
    <row r="15" spans="1:21" s="63" customFormat="1" ht="15.6" x14ac:dyDescent="0.3">
      <c r="A15" s="75" t="s">
        <v>34</v>
      </c>
      <c r="B15" s="170" t="s">
        <v>152</v>
      </c>
      <c r="C15" s="67" t="s">
        <v>152</v>
      </c>
      <c r="D15" s="67" t="s">
        <v>152</v>
      </c>
      <c r="E15" s="67" t="s">
        <v>152</v>
      </c>
      <c r="F15" s="67" t="s">
        <v>152</v>
      </c>
      <c r="G15" s="107" t="s">
        <v>152</v>
      </c>
      <c r="H15" s="107" t="s">
        <v>152</v>
      </c>
      <c r="I15" s="107" t="s">
        <v>152</v>
      </c>
      <c r="J15" s="107" t="s">
        <v>152</v>
      </c>
      <c r="K15" s="107" t="s">
        <v>152</v>
      </c>
      <c r="L15" s="107" t="s">
        <v>152</v>
      </c>
      <c r="M15" s="107" t="s">
        <v>152</v>
      </c>
      <c r="N15" s="107" t="s">
        <v>152</v>
      </c>
      <c r="O15" s="107" t="s">
        <v>152</v>
      </c>
      <c r="P15" s="107" t="s">
        <v>152</v>
      </c>
      <c r="Q15" s="66">
        <v>77950</v>
      </c>
      <c r="R15" s="295" t="s">
        <v>152</v>
      </c>
    </row>
    <row r="16" spans="1:21" s="63" customFormat="1" ht="16.2" thickBot="1" x14ac:dyDescent="0.35">
      <c r="A16" s="88" t="s">
        <v>36</v>
      </c>
      <c r="B16" s="87" t="s">
        <v>152</v>
      </c>
      <c r="C16" s="72" t="s">
        <v>152</v>
      </c>
      <c r="D16" s="72" t="s">
        <v>152</v>
      </c>
      <c r="E16" s="72" t="s">
        <v>152</v>
      </c>
      <c r="F16" s="72" t="s">
        <v>152</v>
      </c>
      <c r="G16" s="192" t="s">
        <v>152</v>
      </c>
      <c r="H16" s="192" t="s">
        <v>152</v>
      </c>
      <c r="I16" s="192" t="s">
        <v>152</v>
      </c>
      <c r="J16" s="192" t="s">
        <v>152</v>
      </c>
      <c r="K16" s="192" t="s">
        <v>152</v>
      </c>
      <c r="L16" s="192" t="s">
        <v>152</v>
      </c>
      <c r="M16" s="192" t="s">
        <v>152</v>
      </c>
      <c r="N16" s="192" t="s">
        <v>152</v>
      </c>
      <c r="O16" s="192" t="s">
        <v>152</v>
      </c>
      <c r="P16" s="192" t="s">
        <v>152</v>
      </c>
      <c r="Q16" s="71">
        <v>80465</v>
      </c>
      <c r="R16" s="292" t="s">
        <v>152</v>
      </c>
    </row>
    <row r="17" spans="1:18" s="63" customFormat="1" ht="16.2" thickTop="1" x14ac:dyDescent="0.3">
      <c r="A17" s="89" t="s">
        <v>37</v>
      </c>
      <c r="B17" s="90" t="s">
        <v>152</v>
      </c>
      <c r="C17" s="73" t="s">
        <v>152</v>
      </c>
      <c r="D17" s="73" t="s">
        <v>152</v>
      </c>
      <c r="E17" s="73" t="s">
        <v>152</v>
      </c>
      <c r="F17" s="73" t="s">
        <v>152</v>
      </c>
      <c r="G17" s="273">
        <f t="shared" ref="G17:R17" si="0">SUM(G5:G16)</f>
        <v>0</v>
      </c>
      <c r="H17" s="273">
        <f t="shared" si="0"/>
        <v>0</v>
      </c>
      <c r="I17" s="273">
        <f t="shared" si="0"/>
        <v>0</v>
      </c>
      <c r="J17" s="273">
        <f t="shared" si="0"/>
        <v>0</v>
      </c>
      <c r="K17" s="273">
        <f t="shared" si="0"/>
        <v>0</v>
      </c>
      <c r="L17" s="273">
        <f t="shared" si="0"/>
        <v>0</v>
      </c>
      <c r="M17" s="273">
        <f t="shared" si="0"/>
        <v>0</v>
      </c>
      <c r="N17" s="273">
        <f t="shared" si="0"/>
        <v>0</v>
      </c>
      <c r="O17" s="273">
        <f t="shared" si="0"/>
        <v>0</v>
      </c>
      <c r="P17" s="273">
        <f t="shared" si="0"/>
        <v>0</v>
      </c>
      <c r="Q17" s="273">
        <f t="shared" si="0"/>
        <v>158839</v>
      </c>
      <c r="R17" s="288">
        <f t="shared" si="0"/>
        <v>455751</v>
      </c>
    </row>
    <row r="18" spans="1:18" s="113" customFormat="1" ht="6.6" x14ac:dyDescent="0.3">
      <c r="A18" s="371" t="s">
        <v>174</v>
      </c>
      <c r="B18" s="371"/>
      <c r="C18" s="371"/>
      <c r="D18" s="371"/>
      <c r="E18" s="371"/>
      <c r="F18" s="371"/>
      <c r="G18" s="371"/>
      <c r="H18" s="371"/>
      <c r="I18" s="371"/>
      <c r="J18" s="371"/>
      <c r="K18" s="371"/>
      <c r="L18" s="371"/>
      <c r="M18" s="371"/>
      <c r="N18" s="371"/>
      <c r="O18" s="371"/>
      <c r="P18" s="371"/>
      <c r="Q18" s="371"/>
      <c r="R18" s="371"/>
    </row>
    <row r="19" spans="1:18" s="106" customFormat="1" ht="18" x14ac:dyDescent="0.3">
      <c r="A19" s="395" t="s">
        <v>260</v>
      </c>
      <c r="B19" s="395"/>
      <c r="C19" s="395"/>
      <c r="D19" s="395"/>
      <c r="E19" s="395"/>
      <c r="F19" s="395"/>
      <c r="G19" s="395"/>
      <c r="H19" s="395"/>
      <c r="I19" s="395"/>
      <c r="J19" s="395"/>
      <c r="K19" s="395"/>
      <c r="L19" s="395"/>
      <c r="M19" s="395"/>
      <c r="N19" s="395"/>
      <c r="O19" s="395"/>
      <c r="P19" s="395"/>
      <c r="Q19" s="395"/>
      <c r="R19" s="395"/>
    </row>
    <row r="20" spans="1:18" s="63" customFormat="1" ht="15.6" x14ac:dyDescent="0.3">
      <c r="A20" s="77" t="s">
        <v>23</v>
      </c>
      <c r="B20" s="91">
        <v>2005</v>
      </c>
      <c r="C20" s="64">
        <v>2005</v>
      </c>
      <c r="D20" s="64">
        <v>2006</v>
      </c>
      <c r="E20" s="64">
        <v>2007</v>
      </c>
      <c r="F20" s="64">
        <v>2008</v>
      </c>
      <c r="G20" s="64">
        <v>2009</v>
      </c>
      <c r="H20" s="64">
        <v>2010</v>
      </c>
      <c r="I20" s="64">
        <v>2011</v>
      </c>
      <c r="J20" s="65">
        <v>2012</v>
      </c>
      <c r="K20" s="65">
        <v>2013</v>
      </c>
      <c r="L20" s="65">
        <v>2014</v>
      </c>
      <c r="M20" s="65">
        <v>2015</v>
      </c>
      <c r="N20" s="65">
        <v>2016</v>
      </c>
      <c r="O20" s="65">
        <v>2017</v>
      </c>
      <c r="P20" s="65">
        <v>2018</v>
      </c>
      <c r="Q20" s="336">
        <v>2019</v>
      </c>
      <c r="R20" s="337">
        <v>2020</v>
      </c>
    </row>
    <row r="21" spans="1:18" s="63" customFormat="1" ht="15.6" x14ac:dyDescent="0.3">
      <c r="A21" s="76" t="s">
        <v>24</v>
      </c>
      <c r="B21" s="108" t="s">
        <v>152</v>
      </c>
      <c r="C21" s="107" t="s">
        <v>152</v>
      </c>
      <c r="D21" s="107" t="s">
        <v>152</v>
      </c>
      <c r="E21" s="107" t="s">
        <v>152</v>
      </c>
      <c r="F21" s="107" t="s">
        <v>152</v>
      </c>
      <c r="G21" s="107" t="s">
        <v>152</v>
      </c>
      <c r="H21" s="107" t="s">
        <v>152</v>
      </c>
      <c r="I21" s="107" t="s">
        <v>152</v>
      </c>
      <c r="J21" s="107" t="s">
        <v>152</v>
      </c>
      <c r="K21" s="107" t="s">
        <v>152</v>
      </c>
      <c r="L21" s="107" t="s">
        <v>152</v>
      </c>
      <c r="M21" s="107" t="s">
        <v>152</v>
      </c>
      <c r="N21" s="107" t="s">
        <v>152</v>
      </c>
      <c r="O21" s="107" t="s">
        <v>152</v>
      </c>
      <c r="P21" s="107" t="s">
        <v>152</v>
      </c>
      <c r="Q21" s="107" t="s">
        <v>152</v>
      </c>
      <c r="R21" s="286">
        <v>1794</v>
      </c>
    </row>
    <row r="22" spans="1:18" s="63" customFormat="1" ht="15.6" x14ac:dyDescent="0.3">
      <c r="A22" s="75" t="s">
        <v>25</v>
      </c>
      <c r="B22" s="170" t="s">
        <v>152</v>
      </c>
      <c r="C22" s="67" t="s">
        <v>152</v>
      </c>
      <c r="D22" s="67" t="s">
        <v>152</v>
      </c>
      <c r="E22" s="67" t="s">
        <v>152</v>
      </c>
      <c r="F22" s="67" t="s">
        <v>152</v>
      </c>
      <c r="G22" s="107" t="s">
        <v>152</v>
      </c>
      <c r="H22" s="107" t="s">
        <v>152</v>
      </c>
      <c r="I22" s="107" t="s">
        <v>152</v>
      </c>
      <c r="J22" s="107" t="s">
        <v>152</v>
      </c>
      <c r="K22" s="107" t="s">
        <v>152</v>
      </c>
      <c r="L22" s="107" t="s">
        <v>152</v>
      </c>
      <c r="M22" s="107" t="s">
        <v>152</v>
      </c>
      <c r="N22" s="107" t="s">
        <v>152</v>
      </c>
      <c r="O22" s="107" t="s">
        <v>152</v>
      </c>
      <c r="P22" s="107" t="s">
        <v>152</v>
      </c>
      <c r="Q22" s="107" t="s">
        <v>152</v>
      </c>
      <c r="R22" s="287">
        <v>7701</v>
      </c>
    </row>
    <row r="23" spans="1:18" s="63" customFormat="1" ht="15.6" x14ac:dyDescent="0.3">
      <c r="A23" s="75" t="s">
        <v>26</v>
      </c>
      <c r="B23" s="170" t="s">
        <v>152</v>
      </c>
      <c r="C23" s="67" t="s">
        <v>152</v>
      </c>
      <c r="D23" s="67" t="s">
        <v>152</v>
      </c>
      <c r="E23" s="67" t="s">
        <v>152</v>
      </c>
      <c r="F23" s="67" t="s">
        <v>152</v>
      </c>
      <c r="G23" s="107" t="s">
        <v>152</v>
      </c>
      <c r="H23" s="107" t="s">
        <v>152</v>
      </c>
      <c r="I23" s="107" t="s">
        <v>152</v>
      </c>
      <c r="J23" s="107" t="s">
        <v>152</v>
      </c>
      <c r="K23" s="107" t="s">
        <v>152</v>
      </c>
      <c r="L23" s="107" t="s">
        <v>152</v>
      </c>
      <c r="M23" s="107" t="s">
        <v>152</v>
      </c>
      <c r="N23" s="107" t="s">
        <v>152</v>
      </c>
      <c r="O23" s="107" t="s">
        <v>152</v>
      </c>
      <c r="P23" s="107" t="s">
        <v>152</v>
      </c>
      <c r="Q23" s="107" t="s">
        <v>152</v>
      </c>
      <c r="R23" s="287">
        <v>2344</v>
      </c>
    </row>
    <row r="24" spans="1:18" s="63" customFormat="1" ht="15.6" x14ac:dyDescent="0.3">
      <c r="A24" s="75" t="s">
        <v>27</v>
      </c>
      <c r="B24" s="170" t="s">
        <v>152</v>
      </c>
      <c r="C24" s="67" t="s">
        <v>152</v>
      </c>
      <c r="D24" s="67" t="s">
        <v>152</v>
      </c>
      <c r="E24" s="67" t="s">
        <v>152</v>
      </c>
      <c r="F24" s="67" t="s">
        <v>152</v>
      </c>
      <c r="G24" s="107" t="s">
        <v>152</v>
      </c>
      <c r="H24" s="107" t="s">
        <v>152</v>
      </c>
      <c r="I24" s="107" t="s">
        <v>152</v>
      </c>
      <c r="J24" s="107" t="s">
        <v>152</v>
      </c>
      <c r="K24" s="107" t="s">
        <v>152</v>
      </c>
      <c r="L24" s="107" t="s">
        <v>152</v>
      </c>
      <c r="M24" s="107" t="s">
        <v>152</v>
      </c>
      <c r="N24" s="107" t="s">
        <v>152</v>
      </c>
      <c r="O24" s="107" t="s">
        <v>152</v>
      </c>
      <c r="P24" s="107" t="s">
        <v>152</v>
      </c>
      <c r="Q24" s="107" t="s">
        <v>152</v>
      </c>
      <c r="R24" s="287">
        <v>1640</v>
      </c>
    </row>
    <row r="25" spans="1:18" s="63" customFormat="1" ht="15.6" x14ac:dyDescent="0.3">
      <c r="A25" s="75" t="s">
        <v>28</v>
      </c>
      <c r="B25" s="170" t="s">
        <v>152</v>
      </c>
      <c r="C25" s="67" t="s">
        <v>152</v>
      </c>
      <c r="D25" s="67" t="s">
        <v>152</v>
      </c>
      <c r="E25" s="67" t="s">
        <v>152</v>
      </c>
      <c r="F25" s="67" t="s">
        <v>152</v>
      </c>
      <c r="G25" s="107" t="s">
        <v>152</v>
      </c>
      <c r="H25" s="107" t="s">
        <v>152</v>
      </c>
      <c r="I25" s="107" t="s">
        <v>152</v>
      </c>
      <c r="J25" s="107" t="s">
        <v>152</v>
      </c>
      <c r="K25" s="107" t="s">
        <v>152</v>
      </c>
      <c r="L25" s="107" t="s">
        <v>152</v>
      </c>
      <c r="M25" s="107" t="s">
        <v>152</v>
      </c>
      <c r="N25" s="107" t="s">
        <v>152</v>
      </c>
      <c r="O25" s="107" t="s">
        <v>152</v>
      </c>
      <c r="P25" s="107" t="s">
        <v>152</v>
      </c>
      <c r="Q25" s="107" t="s">
        <v>152</v>
      </c>
      <c r="R25" s="287">
        <v>2371</v>
      </c>
    </row>
    <row r="26" spans="1:18" s="63" customFormat="1" ht="15.6" x14ac:dyDescent="0.3">
      <c r="A26" s="75" t="s">
        <v>29</v>
      </c>
      <c r="B26" s="170" t="s">
        <v>152</v>
      </c>
      <c r="C26" s="67" t="s">
        <v>152</v>
      </c>
      <c r="D26" s="67" t="s">
        <v>152</v>
      </c>
      <c r="E26" s="67" t="s">
        <v>152</v>
      </c>
      <c r="F26" s="67" t="s">
        <v>152</v>
      </c>
      <c r="G26" s="107" t="s">
        <v>152</v>
      </c>
      <c r="H26" s="107" t="s">
        <v>152</v>
      </c>
      <c r="I26" s="107" t="s">
        <v>152</v>
      </c>
      <c r="J26" s="107" t="s">
        <v>152</v>
      </c>
      <c r="K26" s="107" t="s">
        <v>152</v>
      </c>
      <c r="L26" s="107" t="s">
        <v>152</v>
      </c>
      <c r="M26" s="107" t="s">
        <v>152</v>
      </c>
      <c r="N26" s="107" t="s">
        <v>152</v>
      </c>
      <c r="O26" s="107" t="s">
        <v>152</v>
      </c>
      <c r="P26" s="107" t="s">
        <v>152</v>
      </c>
      <c r="Q26" s="107" t="s">
        <v>152</v>
      </c>
      <c r="R26" s="287">
        <v>2175</v>
      </c>
    </row>
    <row r="27" spans="1:18" s="63" customFormat="1" ht="15.6" x14ac:dyDescent="0.3">
      <c r="A27" s="75" t="s">
        <v>30</v>
      </c>
      <c r="B27" s="170" t="s">
        <v>152</v>
      </c>
      <c r="C27" s="67" t="s">
        <v>152</v>
      </c>
      <c r="D27" s="67" t="s">
        <v>152</v>
      </c>
      <c r="E27" s="67" t="s">
        <v>152</v>
      </c>
      <c r="F27" s="67" t="s">
        <v>152</v>
      </c>
      <c r="G27" s="107" t="s">
        <v>152</v>
      </c>
      <c r="H27" s="107" t="s">
        <v>152</v>
      </c>
      <c r="I27" s="107" t="s">
        <v>152</v>
      </c>
      <c r="J27" s="107" t="s">
        <v>152</v>
      </c>
      <c r="K27" s="107" t="s">
        <v>152</v>
      </c>
      <c r="L27" s="107" t="s">
        <v>152</v>
      </c>
      <c r="M27" s="107" t="s">
        <v>152</v>
      </c>
      <c r="N27" s="107" t="s">
        <v>152</v>
      </c>
      <c r="O27" s="107" t="s">
        <v>152</v>
      </c>
      <c r="P27" s="107" t="s">
        <v>152</v>
      </c>
      <c r="Q27" s="174" t="s">
        <v>152</v>
      </c>
      <c r="R27" s="291" t="s">
        <v>152</v>
      </c>
    </row>
    <row r="28" spans="1:18" s="63" customFormat="1" ht="15.6" x14ac:dyDescent="0.3">
      <c r="A28" s="75" t="s">
        <v>31</v>
      </c>
      <c r="B28" s="170" t="s">
        <v>152</v>
      </c>
      <c r="C28" s="67" t="s">
        <v>152</v>
      </c>
      <c r="D28" s="67" t="s">
        <v>152</v>
      </c>
      <c r="E28" s="67" t="s">
        <v>152</v>
      </c>
      <c r="F28" s="67" t="s">
        <v>152</v>
      </c>
      <c r="G28" s="107" t="s">
        <v>152</v>
      </c>
      <c r="H28" s="107" t="s">
        <v>152</v>
      </c>
      <c r="I28" s="107" t="s">
        <v>152</v>
      </c>
      <c r="J28" s="107" t="s">
        <v>152</v>
      </c>
      <c r="K28" s="107" t="s">
        <v>152</v>
      </c>
      <c r="L28" s="107" t="s">
        <v>152</v>
      </c>
      <c r="M28" s="107" t="s">
        <v>152</v>
      </c>
      <c r="N28" s="107" t="s">
        <v>152</v>
      </c>
      <c r="O28" s="107" t="s">
        <v>152</v>
      </c>
      <c r="P28" s="107" t="s">
        <v>152</v>
      </c>
      <c r="Q28" s="107" t="s">
        <v>152</v>
      </c>
      <c r="R28" s="295" t="s">
        <v>152</v>
      </c>
    </row>
    <row r="29" spans="1:18" s="63" customFormat="1" ht="15.6" x14ac:dyDescent="0.3">
      <c r="A29" s="75" t="s">
        <v>32</v>
      </c>
      <c r="B29" s="170" t="s">
        <v>152</v>
      </c>
      <c r="C29" s="67" t="s">
        <v>152</v>
      </c>
      <c r="D29" s="67" t="s">
        <v>152</v>
      </c>
      <c r="E29" s="67" t="s">
        <v>152</v>
      </c>
      <c r="F29" s="67" t="s">
        <v>152</v>
      </c>
      <c r="G29" s="107" t="s">
        <v>152</v>
      </c>
      <c r="H29" s="107" t="s">
        <v>152</v>
      </c>
      <c r="I29" s="107" t="s">
        <v>152</v>
      </c>
      <c r="J29" s="107" t="s">
        <v>152</v>
      </c>
      <c r="K29" s="107" t="s">
        <v>152</v>
      </c>
      <c r="L29" s="107" t="s">
        <v>152</v>
      </c>
      <c r="M29" s="107" t="s">
        <v>152</v>
      </c>
      <c r="N29" s="107" t="s">
        <v>152</v>
      </c>
      <c r="O29" s="107" t="s">
        <v>152</v>
      </c>
      <c r="P29" s="107" t="s">
        <v>152</v>
      </c>
      <c r="Q29" s="107" t="s">
        <v>152</v>
      </c>
      <c r="R29" s="295" t="s">
        <v>152</v>
      </c>
    </row>
    <row r="30" spans="1:18" s="63" customFormat="1" ht="15.6" x14ac:dyDescent="0.3">
      <c r="A30" s="75" t="s">
        <v>33</v>
      </c>
      <c r="B30" s="170" t="s">
        <v>152</v>
      </c>
      <c r="C30" s="67" t="s">
        <v>152</v>
      </c>
      <c r="D30" s="67" t="s">
        <v>152</v>
      </c>
      <c r="E30" s="67" t="s">
        <v>152</v>
      </c>
      <c r="F30" s="67" t="s">
        <v>152</v>
      </c>
      <c r="G30" s="107" t="s">
        <v>152</v>
      </c>
      <c r="H30" s="107" t="s">
        <v>152</v>
      </c>
      <c r="I30" s="107" t="s">
        <v>152</v>
      </c>
      <c r="J30" s="107" t="s">
        <v>152</v>
      </c>
      <c r="K30" s="107" t="s">
        <v>152</v>
      </c>
      <c r="L30" s="107" t="s">
        <v>152</v>
      </c>
      <c r="M30" s="107" t="s">
        <v>152</v>
      </c>
      <c r="N30" s="107" t="s">
        <v>152</v>
      </c>
      <c r="O30" s="107" t="s">
        <v>152</v>
      </c>
      <c r="P30" s="107" t="s">
        <v>152</v>
      </c>
      <c r="Q30" s="271">
        <v>0</v>
      </c>
      <c r="R30" s="295" t="s">
        <v>152</v>
      </c>
    </row>
    <row r="31" spans="1:18" s="63" customFormat="1" ht="15.6" x14ac:dyDescent="0.3">
      <c r="A31" s="75" t="s">
        <v>34</v>
      </c>
      <c r="B31" s="170" t="s">
        <v>152</v>
      </c>
      <c r="C31" s="67" t="s">
        <v>152</v>
      </c>
      <c r="D31" s="67" t="s">
        <v>152</v>
      </c>
      <c r="E31" s="67" t="s">
        <v>152</v>
      </c>
      <c r="F31" s="67" t="s">
        <v>152</v>
      </c>
      <c r="G31" s="107" t="s">
        <v>152</v>
      </c>
      <c r="H31" s="107" t="s">
        <v>152</v>
      </c>
      <c r="I31" s="107" t="s">
        <v>152</v>
      </c>
      <c r="J31" s="107" t="s">
        <v>152</v>
      </c>
      <c r="K31" s="107" t="s">
        <v>152</v>
      </c>
      <c r="L31" s="107" t="s">
        <v>152</v>
      </c>
      <c r="M31" s="107" t="s">
        <v>152</v>
      </c>
      <c r="N31" s="107" t="s">
        <v>152</v>
      </c>
      <c r="O31" s="107" t="s">
        <v>152</v>
      </c>
      <c r="P31" s="107" t="s">
        <v>152</v>
      </c>
      <c r="Q31" s="66">
        <v>1839</v>
      </c>
      <c r="R31" s="295" t="s">
        <v>152</v>
      </c>
    </row>
    <row r="32" spans="1:18" s="63" customFormat="1" ht="16.2" thickBot="1" x14ac:dyDescent="0.35">
      <c r="A32" s="88" t="s">
        <v>36</v>
      </c>
      <c r="B32" s="87" t="s">
        <v>152</v>
      </c>
      <c r="C32" s="72" t="s">
        <v>152</v>
      </c>
      <c r="D32" s="72" t="s">
        <v>152</v>
      </c>
      <c r="E32" s="72" t="s">
        <v>152</v>
      </c>
      <c r="F32" s="72" t="s">
        <v>152</v>
      </c>
      <c r="G32" s="192" t="s">
        <v>152</v>
      </c>
      <c r="H32" s="192" t="s">
        <v>152</v>
      </c>
      <c r="I32" s="192" t="s">
        <v>152</v>
      </c>
      <c r="J32" s="192" t="s">
        <v>152</v>
      </c>
      <c r="K32" s="192" t="s">
        <v>152</v>
      </c>
      <c r="L32" s="192" t="s">
        <v>152</v>
      </c>
      <c r="M32" s="192" t="s">
        <v>152</v>
      </c>
      <c r="N32" s="192" t="s">
        <v>152</v>
      </c>
      <c r="O32" s="192" t="s">
        <v>152</v>
      </c>
      <c r="P32" s="192" t="s">
        <v>152</v>
      </c>
      <c r="Q32" s="71">
        <v>978</v>
      </c>
      <c r="R32" s="292" t="s">
        <v>152</v>
      </c>
    </row>
    <row r="33" spans="1:18" s="63" customFormat="1" ht="16.2" thickTop="1" x14ac:dyDescent="0.3">
      <c r="A33" s="89" t="s">
        <v>37</v>
      </c>
      <c r="B33" s="90" t="s">
        <v>152</v>
      </c>
      <c r="C33" s="73" t="s">
        <v>152</v>
      </c>
      <c r="D33" s="73" t="s">
        <v>152</v>
      </c>
      <c r="E33" s="73" t="s">
        <v>152</v>
      </c>
      <c r="F33" s="73" t="s">
        <v>152</v>
      </c>
      <c r="G33" s="273">
        <f t="shared" ref="G33:R33" si="1">SUM(G21:G32)</f>
        <v>0</v>
      </c>
      <c r="H33" s="273">
        <f t="shared" si="1"/>
        <v>0</v>
      </c>
      <c r="I33" s="273">
        <f t="shared" si="1"/>
        <v>0</v>
      </c>
      <c r="J33" s="273">
        <f t="shared" si="1"/>
        <v>0</v>
      </c>
      <c r="K33" s="273">
        <f t="shared" si="1"/>
        <v>0</v>
      </c>
      <c r="L33" s="273">
        <f t="shared" si="1"/>
        <v>0</v>
      </c>
      <c r="M33" s="273">
        <f t="shared" si="1"/>
        <v>0</v>
      </c>
      <c r="N33" s="273">
        <f t="shared" si="1"/>
        <v>0</v>
      </c>
      <c r="O33" s="273">
        <f t="shared" si="1"/>
        <v>0</v>
      </c>
      <c r="P33" s="273">
        <f t="shared" si="1"/>
        <v>0</v>
      </c>
      <c r="Q33" s="273">
        <f t="shared" si="1"/>
        <v>2817</v>
      </c>
      <c r="R33" s="288">
        <f t="shared" si="1"/>
        <v>18025</v>
      </c>
    </row>
    <row r="34" spans="1:18" s="113" customFormat="1" ht="6.6" x14ac:dyDescent="0.3">
      <c r="A34" s="371" t="s">
        <v>174</v>
      </c>
      <c r="B34" s="371"/>
      <c r="C34" s="371"/>
      <c r="D34" s="371"/>
      <c r="E34" s="371"/>
      <c r="F34" s="371"/>
      <c r="G34" s="371"/>
      <c r="H34" s="371"/>
      <c r="I34" s="371"/>
      <c r="J34" s="371"/>
      <c r="K34" s="371"/>
      <c r="L34" s="371"/>
      <c r="M34" s="371"/>
      <c r="N34" s="371"/>
      <c r="O34" s="371"/>
      <c r="P34" s="371"/>
      <c r="Q34" s="371"/>
      <c r="R34" s="371"/>
    </row>
    <row r="35" spans="1:18" s="106" customFormat="1" ht="18" x14ac:dyDescent="0.3">
      <c r="A35" s="370" t="s">
        <v>291</v>
      </c>
      <c r="B35" s="370"/>
      <c r="C35" s="370"/>
      <c r="D35" s="370"/>
      <c r="E35" s="370"/>
      <c r="F35" s="370"/>
      <c r="G35" s="370"/>
      <c r="H35" s="370"/>
      <c r="I35" s="370"/>
      <c r="J35" s="370"/>
      <c r="K35" s="370"/>
      <c r="L35" s="370"/>
      <c r="M35" s="370"/>
      <c r="N35" s="370"/>
      <c r="O35" s="370"/>
      <c r="P35" s="370"/>
      <c r="Q35" s="370"/>
      <c r="R35" s="370"/>
    </row>
    <row r="36" spans="1:18" s="63" customFormat="1" ht="15.6" x14ac:dyDescent="0.3">
      <c r="A36" s="77" t="s">
        <v>23</v>
      </c>
      <c r="B36" s="91">
        <v>2005</v>
      </c>
      <c r="C36" s="64">
        <v>2005</v>
      </c>
      <c r="D36" s="64">
        <v>2006</v>
      </c>
      <c r="E36" s="64">
        <v>2007</v>
      </c>
      <c r="F36" s="64">
        <v>2008</v>
      </c>
      <c r="G36" s="64">
        <v>2009</v>
      </c>
      <c r="H36" s="64">
        <v>2010</v>
      </c>
      <c r="I36" s="64">
        <v>2011</v>
      </c>
      <c r="J36" s="65">
        <v>2012</v>
      </c>
      <c r="K36" s="65">
        <v>2013</v>
      </c>
      <c r="L36" s="65">
        <v>2014</v>
      </c>
      <c r="M36" s="65">
        <v>2015</v>
      </c>
      <c r="N36" s="65">
        <v>2016</v>
      </c>
      <c r="O36" s="65">
        <v>2017</v>
      </c>
      <c r="P36" s="65">
        <v>2018</v>
      </c>
      <c r="Q36" s="336">
        <v>2019</v>
      </c>
      <c r="R36" s="337">
        <v>2020</v>
      </c>
    </row>
    <row r="37" spans="1:18" s="63" customFormat="1" ht="15.6" x14ac:dyDescent="0.3">
      <c r="A37" s="76" t="s">
        <v>24</v>
      </c>
      <c r="B37" s="108" t="s">
        <v>152</v>
      </c>
      <c r="C37" s="107" t="s">
        <v>152</v>
      </c>
      <c r="D37" s="107" t="s">
        <v>152</v>
      </c>
      <c r="E37" s="107" t="s">
        <v>152</v>
      </c>
      <c r="F37" s="107" t="s">
        <v>152</v>
      </c>
      <c r="G37" s="107" t="s">
        <v>152</v>
      </c>
      <c r="H37" s="107" t="s">
        <v>152</v>
      </c>
      <c r="I37" s="107" t="s">
        <v>152</v>
      </c>
      <c r="J37" s="107" t="s">
        <v>152</v>
      </c>
      <c r="K37" s="107" t="s">
        <v>152</v>
      </c>
      <c r="L37" s="107" t="s">
        <v>152</v>
      </c>
      <c r="M37" s="107" t="s">
        <v>152</v>
      </c>
      <c r="N37" s="107" t="s">
        <v>152</v>
      </c>
      <c r="O37" s="107" t="s">
        <v>152</v>
      </c>
      <c r="P37" s="107" t="s">
        <v>152</v>
      </c>
      <c r="Q37" s="107" t="s">
        <v>152</v>
      </c>
      <c r="R37" s="286">
        <v>0</v>
      </c>
    </row>
    <row r="38" spans="1:18" s="63" customFormat="1" ht="15.6" x14ac:dyDescent="0.3">
      <c r="A38" s="75" t="s">
        <v>25</v>
      </c>
      <c r="B38" s="170" t="s">
        <v>152</v>
      </c>
      <c r="C38" s="67" t="s">
        <v>152</v>
      </c>
      <c r="D38" s="67" t="s">
        <v>152</v>
      </c>
      <c r="E38" s="67" t="s">
        <v>152</v>
      </c>
      <c r="F38" s="67" t="s">
        <v>152</v>
      </c>
      <c r="G38" s="107" t="s">
        <v>152</v>
      </c>
      <c r="H38" s="107" t="s">
        <v>152</v>
      </c>
      <c r="I38" s="107" t="s">
        <v>152</v>
      </c>
      <c r="J38" s="107" t="s">
        <v>152</v>
      </c>
      <c r="K38" s="107" t="s">
        <v>152</v>
      </c>
      <c r="L38" s="107" t="s">
        <v>152</v>
      </c>
      <c r="M38" s="107" t="s">
        <v>152</v>
      </c>
      <c r="N38" s="107" t="s">
        <v>152</v>
      </c>
      <c r="O38" s="107" t="s">
        <v>152</v>
      </c>
      <c r="P38" s="107" t="s">
        <v>152</v>
      </c>
      <c r="Q38" s="107" t="s">
        <v>152</v>
      </c>
      <c r="R38" s="287">
        <v>-2</v>
      </c>
    </row>
    <row r="39" spans="1:18" s="63" customFormat="1" ht="15.6" x14ac:dyDescent="0.3">
      <c r="A39" s="75" t="s">
        <v>26</v>
      </c>
      <c r="B39" s="170" t="s">
        <v>152</v>
      </c>
      <c r="C39" s="67" t="s">
        <v>152</v>
      </c>
      <c r="D39" s="67" t="s">
        <v>152</v>
      </c>
      <c r="E39" s="67" t="s">
        <v>152</v>
      </c>
      <c r="F39" s="67" t="s">
        <v>152</v>
      </c>
      <c r="G39" s="107" t="s">
        <v>152</v>
      </c>
      <c r="H39" s="107" t="s">
        <v>152</v>
      </c>
      <c r="I39" s="107" t="s">
        <v>152</v>
      </c>
      <c r="J39" s="107" t="s">
        <v>152</v>
      </c>
      <c r="K39" s="107" t="s">
        <v>152</v>
      </c>
      <c r="L39" s="107" t="s">
        <v>152</v>
      </c>
      <c r="M39" s="107" t="s">
        <v>152</v>
      </c>
      <c r="N39" s="107" t="s">
        <v>152</v>
      </c>
      <c r="O39" s="107" t="s">
        <v>152</v>
      </c>
      <c r="P39" s="107" t="s">
        <v>152</v>
      </c>
      <c r="Q39" s="107" t="s">
        <v>152</v>
      </c>
      <c r="R39" s="287">
        <v>0</v>
      </c>
    </row>
    <row r="40" spans="1:18" s="63" customFormat="1" ht="15.6" x14ac:dyDescent="0.3">
      <c r="A40" s="75" t="s">
        <v>27</v>
      </c>
      <c r="B40" s="170" t="s">
        <v>152</v>
      </c>
      <c r="C40" s="67" t="s">
        <v>152</v>
      </c>
      <c r="D40" s="67" t="s">
        <v>152</v>
      </c>
      <c r="E40" s="67" t="s">
        <v>152</v>
      </c>
      <c r="F40" s="67" t="s">
        <v>152</v>
      </c>
      <c r="G40" s="107" t="s">
        <v>152</v>
      </c>
      <c r="H40" s="107" t="s">
        <v>152</v>
      </c>
      <c r="I40" s="107" t="s">
        <v>152</v>
      </c>
      <c r="J40" s="107" t="s">
        <v>152</v>
      </c>
      <c r="K40" s="107" t="s">
        <v>152</v>
      </c>
      <c r="L40" s="107" t="s">
        <v>152</v>
      </c>
      <c r="M40" s="107" t="s">
        <v>152</v>
      </c>
      <c r="N40" s="107" t="s">
        <v>152</v>
      </c>
      <c r="O40" s="107" t="s">
        <v>152</v>
      </c>
      <c r="P40" s="107" t="s">
        <v>152</v>
      </c>
      <c r="Q40" s="174" t="s">
        <v>152</v>
      </c>
      <c r="R40" s="287">
        <v>0</v>
      </c>
    </row>
    <row r="41" spans="1:18" s="63" customFormat="1" ht="15.6" x14ac:dyDescent="0.3">
      <c r="A41" s="75" t="s">
        <v>28</v>
      </c>
      <c r="B41" s="170" t="s">
        <v>152</v>
      </c>
      <c r="C41" s="67" t="s">
        <v>152</v>
      </c>
      <c r="D41" s="67" t="s">
        <v>152</v>
      </c>
      <c r="E41" s="67" t="s">
        <v>152</v>
      </c>
      <c r="F41" s="67" t="s">
        <v>152</v>
      </c>
      <c r="G41" s="107" t="s">
        <v>152</v>
      </c>
      <c r="H41" s="107" t="s">
        <v>152</v>
      </c>
      <c r="I41" s="107" t="s">
        <v>152</v>
      </c>
      <c r="J41" s="107" t="s">
        <v>152</v>
      </c>
      <c r="K41" s="107" t="s">
        <v>152</v>
      </c>
      <c r="L41" s="107" t="s">
        <v>152</v>
      </c>
      <c r="M41" s="107" t="s">
        <v>152</v>
      </c>
      <c r="N41" s="107" t="s">
        <v>152</v>
      </c>
      <c r="O41" s="107" t="s">
        <v>152</v>
      </c>
      <c r="P41" s="107" t="s">
        <v>152</v>
      </c>
      <c r="Q41" s="107" t="s">
        <v>152</v>
      </c>
      <c r="R41" s="287">
        <v>-2</v>
      </c>
    </row>
    <row r="42" spans="1:18" s="63" customFormat="1" ht="15.6" x14ac:dyDescent="0.3">
      <c r="A42" s="75" t="s">
        <v>29</v>
      </c>
      <c r="B42" s="170" t="s">
        <v>152</v>
      </c>
      <c r="C42" s="67" t="s">
        <v>152</v>
      </c>
      <c r="D42" s="67" t="s">
        <v>152</v>
      </c>
      <c r="E42" s="67" t="s">
        <v>152</v>
      </c>
      <c r="F42" s="67" t="s">
        <v>152</v>
      </c>
      <c r="G42" s="107" t="s">
        <v>152</v>
      </c>
      <c r="H42" s="107" t="s">
        <v>152</v>
      </c>
      <c r="I42" s="107" t="s">
        <v>152</v>
      </c>
      <c r="J42" s="107" t="s">
        <v>152</v>
      </c>
      <c r="K42" s="107" t="s">
        <v>152</v>
      </c>
      <c r="L42" s="107" t="s">
        <v>152</v>
      </c>
      <c r="M42" s="107" t="s">
        <v>152</v>
      </c>
      <c r="N42" s="107" t="s">
        <v>152</v>
      </c>
      <c r="O42" s="107" t="s">
        <v>152</v>
      </c>
      <c r="P42" s="107" t="s">
        <v>152</v>
      </c>
      <c r="Q42" s="107" t="s">
        <v>152</v>
      </c>
      <c r="R42" s="287">
        <v>0</v>
      </c>
    </row>
    <row r="43" spans="1:18" s="63" customFormat="1" ht="15.6" x14ac:dyDescent="0.3">
      <c r="A43" s="75" t="s">
        <v>30</v>
      </c>
      <c r="B43" s="170" t="s">
        <v>152</v>
      </c>
      <c r="C43" s="67" t="s">
        <v>152</v>
      </c>
      <c r="D43" s="67" t="s">
        <v>152</v>
      </c>
      <c r="E43" s="67" t="s">
        <v>152</v>
      </c>
      <c r="F43" s="67" t="s">
        <v>152</v>
      </c>
      <c r="G43" s="107" t="s">
        <v>152</v>
      </c>
      <c r="H43" s="107" t="s">
        <v>152</v>
      </c>
      <c r="I43" s="107" t="s">
        <v>152</v>
      </c>
      <c r="J43" s="107" t="s">
        <v>152</v>
      </c>
      <c r="K43" s="107" t="s">
        <v>152</v>
      </c>
      <c r="L43" s="107" t="s">
        <v>152</v>
      </c>
      <c r="M43" s="107" t="s">
        <v>152</v>
      </c>
      <c r="N43" s="107" t="s">
        <v>152</v>
      </c>
      <c r="O43" s="107" t="s">
        <v>152</v>
      </c>
      <c r="P43" s="107" t="s">
        <v>152</v>
      </c>
      <c r="Q43" s="107" t="s">
        <v>152</v>
      </c>
      <c r="R43" s="291" t="s">
        <v>152</v>
      </c>
    </row>
    <row r="44" spans="1:18" s="63" customFormat="1" ht="15.6" x14ac:dyDescent="0.3">
      <c r="A44" s="75" t="s">
        <v>31</v>
      </c>
      <c r="B44" s="170" t="s">
        <v>152</v>
      </c>
      <c r="C44" s="67" t="s">
        <v>152</v>
      </c>
      <c r="D44" s="67" t="s">
        <v>152</v>
      </c>
      <c r="E44" s="67" t="s">
        <v>152</v>
      </c>
      <c r="F44" s="67" t="s">
        <v>152</v>
      </c>
      <c r="G44" s="107" t="s">
        <v>152</v>
      </c>
      <c r="H44" s="107" t="s">
        <v>152</v>
      </c>
      <c r="I44" s="107" t="s">
        <v>152</v>
      </c>
      <c r="J44" s="107" t="s">
        <v>152</v>
      </c>
      <c r="K44" s="107" t="s">
        <v>152</v>
      </c>
      <c r="L44" s="107" t="s">
        <v>152</v>
      </c>
      <c r="M44" s="107" t="s">
        <v>152</v>
      </c>
      <c r="N44" s="107" t="s">
        <v>152</v>
      </c>
      <c r="O44" s="107" t="s">
        <v>152</v>
      </c>
      <c r="P44" s="107" t="s">
        <v>152</v>
      </c>
      <c r="Q44" s="107" t="s">
        <v>152</v>
      </c>
      <c r="R44" s="295" t="s">
        <v>152</v>
      </c>
    </row>
    <row r="45" spans="1:18" s="63" customFormat="1" ht="15.6" x14ac:dyDescent="0.3">
      <c r="A45" s="75" t="s">
        <v>32</v>
      </c>
      <c r="B45" s="170" t="s">
        <v>152</v>
      </c>
      <c r="C45" s="67" t="s">
        <v>152</v>
      </c>
      <c r="D45" s="67" t="s">
        <v>152</v>
      </c>
      <c r="E45" s="67" t="s">
        <v>152</v>
      </c>
      <c r="F45" s="67" t="s">
        <v>152</v>
      </c>
      <c r="G45" s="107" t="s">
        <v>152</v>
      </c>
      <c r="H45" s="107" t="s">
        <v>152</v>
      </c>
      <c r="I45" s="107" t="s">
        <v>152</v>
      </c>
      <c r="J45" s="107" t="s">
        <v>152</v>
      </c>
      <c r="K45" s="107" t="s">
        <v>152</v>
      </c>
      <c r="L45" s="107" t="s">
        <v>152</v>
      </c>
      <c r="M45" s="107" t="s">
        <v>152</v>
      </c>
      <c r="N45" s="107" t="s">
        <v>152</v>
      </c>
      <c r="O45" s="107" t="s">
        <v>152</v>
      </c>
      <c r="P45" s="107" t="s">
        <v>152</v>
      </c>
      <c r="Q45" s="107" t="s">
        <v>152</v>
      </c>
      <c r="R45" s="295" t="s">
        <v>152</v>
      </c>
    </row>
    <row r="46" spans="1:18" s="63" customFormat="1" ht="15.6" x14ac:dyDescent="0.3">
      <c r="A46" s="75" t="s">
        <v>33</v>
      </c>
      <c r="B46" s="170" t="s">
        <v>152</v>
      </c>
      <c r="C46" s="67" t="s">
        <v>152</v>
      </c>
      <c r="D46" s="67" t="s">
        <v>152</v>
      </c>
      <c r="E46" s="67" t="s">
        <v>152</v>
      </c>
      <c r="F46" s="67" t="s">
        <v>152</v>
      </c>
      <c r="G46" s="107" t="s">
        <v>152</v>
      </c>
      <c r="H46" s="107" t="s">
        <v>152</v>
      </c>
      <c r="I46" s="107" t="s">
        <v>152</v>
      </c>
      <c r="J46" s="107" t="s">
        <v>152</v>
      </c>
      <c r="K46" s="107" t="s">
        <v>152</v>
      </c>
      <c r="L46" s="107" t="s">
        <v>152</v>
      </c>
      <c r="M46" s="107" t="s">
        <v>152</v>
      </c>
      <c r="N46" s="107" t="s">
        <v>152</v>
      </c>
      <c r="O46" s="107" t="s">
        <v>152</v>
      </c>
      <c r="P46" s="107" t="s">
        <v>152</v>
      </c>
      <c r="Q46" s="271">
        <v>0</v>
      </c>
      <c r="R46" s="295" t="s">
        <v>152</v>
      </c>
    </row>
    <row r="47" spans="1:18" s="63" customFormat="1" ht="15.6" x14ac:dyDescent="0.3">
      <c r="A47" s="75" t="s">
        <v>34</v>
      </c>
      <c r="B47" s="170" t="s">
        <v>152</v>
      </c>
      <c r="C47" s="67" t="s">
        <v>152</v>
      </c>
      <c r="D47" s="67" t="s">
        <v>152</v>
      </c>
      <c r="E47" s="67" t="s">
        <v>152</v>
      </c>
      <c r="F47" s="67" t="s">
        <v>152</v>
      </c>
      <c r="G47" s="107" t="s">
        <v>152</v>
      </c>
      <c r="H47" s="107" t="s">
        <v>152</v>
      </c>
      <c r="I47" s="107" t="s">
        <v>152</v>
      </c>
      <c r="J47" s="107" t="s">
        <v>152</v>
      </c>
      <c r="K47" s="107" t="s">
        <v>152</v>
      </c>
      <c r="L47" s="107" t="s">
        <v>152</v>
      </c>
      <c r="M47" s="107" t="s">
        <v>152</v>
      </c>
      <c r="N47" s="107" t="s">
        <v>152</v>
      </c>
      <c r="O47" s="107" t="s">
        <v>152</v>
      </c>
      <c r="P47" s="107" t="s">
        <v>152</v>
      </c>
      <c r="Q47" s="66">
        <v>0</v>
      </c>
      <c r="R47" s="295" t="s">
        <v>152</v>
      </c>
    </row>
    <row r="48" spans="1:18" s="63" customFormat="1" ht="16.2" thickBot="1" x14ac:dyDescent="0.35">
      <c r="A48" s="88" t="s">
        <v>36</v>
      </c>
      <c r="B48" s="87" t="s">
        <v>152</v>
      </c>
      <c r="C48" s="72" t="s">
        <v>152</v>
      </c>
      <c r="D48" s="72" t="s">
        <v>152</v>
      </c>
      <c r="E48" s="72" t="s">
        <v>152</v>
      </c>
      <c r="F48" s="72" t="s">
        <v>152</v>
      </c>
      <c r="G48" s="192" t="s">
        <v>152</v>
      </c>
      <c r="H48" s="192" t="s">
        <v>152</v>
      </c>
      <c r="I48" s="192" t="s">
        <v>152</v>
      </c>
      <c r="J48" s="192" t="s">
        <v>152</v>
      </c>
      <c r="K48" s="192" t="s">
        <v>152</v>
      </c>
      <c r="L48" s="192" t="s">
        <v>152</v>
      </c>
      <c r="M48" s="192" t="s">
        <v>152</v>
      </c>
      <c r="N48" s="192" t="s">
        <v>152</v>
      </c>
      <c r="O48" s="192" t="s">
        <v>152</v>
      </c>
      <c r="P48" s="192" t="s">
        <v>152</v>
      </c>
      <c r="Q48" s="71">
        <v>0</v>
      </c>
      <c r="R48" s="292" t="s">
        <v>152</v>
      </c>
    </row>
    <row r="49" spans="1:20" s="63" customFormat="1" ht="16.2" thickTop="1" x14ac:dyDescent="0.3">
      <c r="A49" s="89" t="s">
        <v>37</v>
      </c>
      <c r="B49" s="90" t="s">
        <v>152</v>
      </c>
      <c r="C49" s="73" t="s">
        <v>152</v>
      </c>
      <c r="D49" s="73" t="s">
        <v>152</v>
      </c>
      <c r="E49" s="73" t="s">
        <v>152</v>
      </c>
      <c r="F49" s="73" t="s">
        <v>152</v>
      </c>
      <c r="G49" s="273">
        <f t="shared" ref="G49:R49" si="2">SUM(G37:G48)</f>
        <v>0</v>
      </c>
      <c r="H49" s="273">
        <f t="shared" si="2"/>
        <v>0</v>
      </c>
      <c r="I49" s="273">
        <f t="shared" si="2"/>
        <v>0</v>
      </c>
      <c r="J49" s="273">
        <f t="shared" si="2"/>
        <v>0</v>
      </c>
      <c r="K49" s="273">
        <f t="shared" si="2"/>
        <v>0</v>
      </c>
      <c r="L49" s="273">
        <f t="shared" si="2"/>
        <v>0</v>
      </c>
      <c r="M49" s="273">
        <f t="shared" si="2"/>
        <v>0</v>
      </c>
      <c r="N49" s="273">
        <f t="shared" si="2"/>
        <v>0</v>
      </c>
      <c r="O49" s="273">
        <f t="shared" si="2"/>
        <v>0</v>
      </c>
      <c r="P49" s="273">
        <f t="shared" si="2"/>
        <v>0</v>
      </c>
      <c r="Q49" s="273">
        <f t="shared" si="2"/>
        <v>0</v>
      </c>
      <c r="R49" s="288">
        <f t="shared" si="2"/>
        <v>-4</v>
      </c>
    </row>
    <row r="50" spans="1:20" s="113" customFormat="1" ht="6.6" x14ac:dyDescent="0.3">
      <c r="A50" s="371" t="s">
        <v>174</v>
      </c>
      <c r="B50" s="371"/>
      <c r="C50" s="371"/>
      <c r="D50" s="371"/>
      <c r="E50" s="371"/>
      <c r="F50" s="371"/>
      <c r="G50" s="371"/>
      <c r="H50" s="371"/>
      <c r="I50" s="371"/>
      <c r="J50" s="371"/>
      <c r="K50" s="371"/>
      <c r="L50" s="371"/>
      <c r="M50" s="371"/>
      <c r="N50" s="371"/>
      <c r="O50" s="371"/>
      <c r="P50" s="371"/>
      <c r="Q50" s="371"/>
      <c r="R50" s="371"/>
    </row>
    <row r="51" spans="1:20" s="111" customFormat="1" ht="13.8" x14ac:dyDescent="0.3">
      <c r="A51" s="373" t="s">
        <v>221</v>
      </c>
      <c r="B51" s="373"/>
      <c r="C51" s="373"/>
      <c r="D51" s="373"/>
      <c r="E51" s="373"/>
      <c r="F51" s="373"/>
      <c r="G51" s="373"/>
      <c r="H51" s="373"/>
      <c r="I51" s="373"/>
      <c r="J51" s="373"/>
      <c r="K51" s="373"/>
      <c r="L51" s="373"/>
      <c r="M51" s="373"/>
      <c r="N51" s="373"/>
      <c r="O51" s="373"/>
      <c r="P51" s="373"/>
      <c r="Q51" s="373"/>
      <c r="R51" s="373"/>
      <c r="S51" s="373"/>
    </row>
    <row r="52" spans="1:20" s="111" customFormat="1" ht="13.8" x14ac:dyDescent="0.3">
      <c r="A52" s="384" t="str">
        <f>'Local SUT'!A60</f>
        <v>Source:  Minnesota Department of Revenue, Tax Research Division, February 2021</v>
      </c>
      <c r="B52" s="384"/>
      <c r="C52" s="384"/>
      <c r="D52" s="384"/>
      <c r="E52" s="384"/>
      <c r="F52" s="384"/>
      <c r="G52" s="384"/>
      <c r="H52" s="384"/>
      <c r="I52" s="384"/>
      <c r="J52" s="384"/>
      <c r="K52" s="384"/>
      <c r="L52" s="384"/>
      <c r="M52" s="384"/>
      <c r="N52" s="384"/>
      <c r="O52" s="384"/>
      <c r="P52" s="384"/>
      <c r="Q52" s="384"/>
      <c r="R52" s="384"/>
      <c r="S52" s="384"/>
      <c r="T52" s="384"/>
    </row>
    <row r="53" spans="1:20" s="111" customFormat="1" ht="13.8" x14ac:dyDescent="0.3">
      <c r="A53" s="379" t="s">
        <v>151</v>
      </c>
      <c r="B53" s="379"/>
      <c r="C53" s="379"/>
      <c r="D53" s="379"/>
      <c r="E53" s="379"/>
      <c r="F53" s="379"/>
      <c r="G53" s="379"/>
      <c r="H53" s="379"/>
      <c r="I53" s="379"/>
      <c r="J53" s="379"/>
      <c r="K53" s="379"/>
      <c r="L53" s="379"/>
      <c r="M53" s="379"/>
      <c r="N53" s="379"/>
      <c r="O53" s="379"/>
      <c r="P53" s="379"/>
      <c r="Q53" s="379"/>
      <c r="R53" s="379"/>
    </row>
    <row r="54" spans="1:20" x14ac:dyDescent="0.3">
      <c r="R54" s="117"/>
    </row>
  </sheetData>
  <mergeCells count="11">
    <mergeCell ref="A34:R34"/>
    <mergeCell ref="A1:T1"/>
    <mergeCell ref="A2:R2"/>
    <mergeCell ref="A3:R3"/>
    <mergeCell ref="A18:R18"/>
    <mergeCell ref="A19:R19"/>
    <mergeCell ref="A35:R35"/>
    <mergeCell ref="A50:R50"/>
    <mergeCell ref="A51:S51"/>
    <mergeCell ref="A52:T52"/>
    <mergeCell ref="A53:R53"/>
  </mergeCells>
  <pageMargins left="0.5" right="0" top="0.75" bottom="0.75" header="0.3" footer="0.3"/>
  <pageSetup scale="86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2B191F-5F7E-48E4-890B-2BD483671DD5}">
  <sheetPr codeName="Sheet45">
    <pageSetUpPr fitToPage="1"/>
  </sheetPr>
  <dimension ref="A1:U54"/>
  <sheetViews>
    <sheetView showGridLines="0" zoomScaleNormal="100" workbookViewId="0">
      <pane ySplit="1" topLeftCell="A2" activePane="bottomLeft" state="frozen"/>
      <selection pane="bottomLeft" sqref="A1:T1"/>
    </sheetView>
  </sheetViews>
  <sheetFormatPr defaultColWidth="12.5546875" defaultRowHeight="14.4" x14ac:dyDescent="0.3"/>
  <cols>
    <col min="1" max="1" width="12.5546875" style="180" customWidth="1"/>
    <col min="2" max="16" width="13.5546875" style="173" hidden="1" customWidth="1"/>
    <col min="17" max="17" width="13.5546875" style="173" customWidth="1"/>
    <col min="18" max="18" width="13.5546875" style="145" customWidth="1"/>
    <col min="19" max="16384" width="12.5546875" style="173"/>
  </cols>
  <sheetData>
    <row r="1" spans="1:21" s="112" customFormat="1" ht="21" x14ac:dyDescent="0.3">
      <c r="A1" s="380" t="s">
        <v>261</v>
      </c>
      <c r="B1" s="380"/>
      <c r="C1" s="380"/>
      <c r="D1" s="380"/>
      <c r="E1" s="380"/>
      <c r="F1" s="380"/>
      <c r="G1" s="380"/>
      <c r="H1" s="380"/>
      <c r="I1" s="380"/>
      <c r="J1" s="380"/>
      <c r="K1" s="380"/>
      <c r="L1" s="380"/>
      <c r="M1" s="380"/>
      <c r="N1" s="380"/>
      <c r="O1" s="380"/>
      <c r="P1" s="380"/>
      <c r="Q1" s="380"/>
      <c r="R1" s="380"/>
      <c r="S1" s="380"/>
      <c r="T1" s="380"/>
      <c r="U1" s="338"/>
    </row>
    <row r="2" spans="1:21" s="106" customFormat="1" ht="18" x14ac:dyDescent="0.3">
      <c r="A2" s="381" t="str">
        <f>'Local SUT'!A2</f>
        <v>CY 2004-2020</v>
      </c>
      <c r="B2" s="381"/>
      <c r="C2" s="381"/>
      <c r="D2" s="381"/>
      <c r="E2" s="381"/>
      <c r="F2" s="381"/>
      <c r="G2" s="381"/>
      <c r="H2" s="381"/>
      <c r="I2" s="381"/>
      <c r="J2" s="381"/>
      <c r="K2" s="381"/>
      <c r="L2" s="381"/>
      <c r="M2" s="381"/>
      <c r="N2" s="381"/>
      <c r="O2" s="381"/>
      <c r="P2" s="381"/>
      <c r="Q2" s="381"/>
      <c r="R2" s="381"/>
    </row>
    <row r="3" spans="1:21" s="106" customFormat="1" ht="18" x14ac:dyDescent="0.3">
      <c r="A3" s="370" t="s">
        <v>287</v>
      </c>
      <c r="B3" s="370"/>
      <c r="C3" s="370"/>
      <c r="D3" s="370"/>
      <c r="E3" s="370"/>
      <c r="F3" s="370"/>
      <c r="G3" s="370"/>
      <c r="H3" s="370"/>
      <c r="I3" s="370"/>
      <c r="J3" s="370"/>
      <c r="K3" s="370"/>
      <c r="L3" s="370"/>
      <c r="M3" s="370"/>
      <c r="N3" s="370"/>
      <c r="O3" s="370"/>
      <c r="P3" s="370"/>
      <c r="Q3" s="370"/>
      <c r="R3" s="370"/>
    </row>
    <row r="4" spans="1:21" s="63" customFormat="1" ht="15.6" x14ac:dyDescent="0.3">
      <c r="A4" s="77" t="s">
        <v>23</v>
      </c>
      <c r="B4" s="91">
        <v>2004</v>
      </c>
      <c r="C4" s="64">
        <v>2005</v>
      </c>
      <c r="D4" s="64">
        <v>2006</v>
      </c>
      <c r="E4" s="64">
        <v>2007</v>
      </c>
      <c r="F4" s="64">
        <v>2008</v>
      </c>
      <c r="G4" s="64">
        <v>2009</v>
      </c>
      <c r="H4" s="64">
        <v>2010</v>
      </c>
      <c r="I4" s="64">
        <v>2011</v>
      </c>
      <c r="J4" s="65">
        <v>2012</v>
      </c>
      <c r="K4" s="65">
        <v>2013</v>
      </c>
      <c r="L4" s="65">
        <v>2014</v>
      </c>
      <c r="M4" s="65">
        <v>2015</v>
      </c>
      <c r="N4" s="65">
        <v>2016</v>
      </c>
      <c r="O4" s="65">
        <v>2017</v>
      </c>
      <c r="P4" s="65">
        <v>2018</v>
      </c>
      <c r="Q4" s="336">
        <v>2019</v>
      </c>
      <c r="R4" s="337">
        <v>2020</v>
      </c>
    </row>
    <row r="5" spans="1:21" s="63" customFormat="1" ht="15.6" x14ac:dyDescent="0.3">
      <c r="A5" s="76" t="s">
        <v>24</v>
      </c>
      <c r="B5" s="108" t="s">
        <v>152</v>
      </c>
      <c r="C5" s="107" t="s">
        <v>152</v>
      </c>
      <c r="D5" s="107" t="s">
        <v>152</v>
      </c>
      <c r="E5" s="107" t="s">
        <v>152</v>
      </c>
      <c r="F5" s="107" t="s">
        <v>152</v>
      </c>
      <c r="G5" s="107" t="s">
        <v>152</v>
      </c>
      <c r="H5" s="107" t="s">
        <v>152</v>
      </c>
      <c r="I5" s="107" t="s">
        <v>152</v>
      </c>
      <c r="J5" s="107" t="s">
        <v>152</v>
      </c>
      <c r="K5" s="107" t="s">
        <v>152</v>
      </c>
      <c r="L5" s="107" t="s">
        <v>152</v>
      </c>
      <c r="M5" s="107" t="s">
        <v>152</v>
      </c>
      <c r="N5" s="107" t="s">
        <v>152</v>
      </c>
      <c r="O5" s="107" t="s">
        <v>152</v>
      </c>
      <c r="P5" s="107" t="s">
        <v>152</v>
      </c>
      <c r="Q5" s="107" t="s">
        <v>152</v>
      </c>
      <c r="R5" s="286">
        <v>90955</v>
      </c>
    </row>
    <row r="6" spans="1:21" s="63" customFormat="1" ht="15.6" x14ac:dyDescent="0.3">
      <c r="A6" s="75" t="s">
        <v>25</v>
      </c>
      <c r="B6" s="170" t="s">
        <v>152</v>
      </c>
      <c r="C6" s="67" t="s">
        <v>152</v>
      </c>
      <c r="D6" s="67" t="s">
        <v>152</v>
      </c>
      <c r="E6" s="67" t="s">
        <v>152</v>
      </c>
      <c r="F6" s="67" t="s">
        <v>152</v>
      </c>
      <c r="G6" s="107" t="s">
        <v>152</v>
      </c>
      <c r="H6" s="107" t="s">
        <v>152</v>
      </c>
      <c r="I6" s="107" t="s">
        <v>152</v>
      </c>
      <c r="J6" s="107" t="s">
        <v>152</v>
      </c>
      <c r="K6" s="107" t="s">
        <v>152</v>
      </c>
      <c r="L6" s="107" t="s">
        <v>152</v>
      </c>
      <c r="M6" s="107" t="s">
        <v>152</v>
      </c>
      <c r="N6" s="107" t="s">
        <v>152</v>
      </c>
      <c r="O6" s="107" t="s">
        <v>152</v>
      </c>
      <c r="P6" s="107" t="s">
        <v>152</v>
      </c>
      <c r="Q6" s="107" t="s">
        <v>152</v>
      </c>
      <c r="R6" s="287">
        <v>73662</v>
      </c>
    </row>
    <row r="7" spans="1:21" s="63" customFormat="1" ht="15.6" x14ac:dyDescent="0.3">
      <c r="A7" s="75" t="s">
        <v>26</v>
      </c>
      <c r="B7" s="170" t="s">
        <v>152</v>
      </c>
      <c r="C7" s="67" t="s">
        <v>152</v>
      </c>
      <c r="D7" s="67" t="s">
        <v>152</v>
      </c>
      <c r="E7" s="67" t="s">
        <v>152</v>
      </c>
      <c r="F7" s="67" t="s">
        <v>152</v>
      </c>
      <c r="G7" s="107" t="s">
        <v>152</v>
      </c>
      <c r="H7" s="107" t="s">
        <v>152</v>
      </c>
      <c r="I7" s="107" t="s">
        <v>152</v>
      </c>
      <c r="J7" s="107" t="s">
        <v>152</v>
      </c>
      <c r="K7" s="107" t="s">
        <v>152</v>
      </c>
      <c r="L7" s="107" t="s">
        <v>152</v>
      </c>
      <c r="M7" s="107" t="s">
        <v>152</v>
      </c>
      <c r="N7" s="107" t="s">
        <v>152</v>
      </c>
      <c r="O7" s="107" t="s">
        <v>152</v>
      </c>
      <c r="P7" s="107" t="s">
        <v>152</v>
      </c>
      <c r="Q7" s="107" t="s">
        <v>152</v>
      </c>
      <c r="R7" s="287">
        <v>78986</v>
      </c>
    </row>
    <row r="8" spans="1:21" s="63" customFormat="1" ht="15.6" x14ac:dyDescent="0.3">
      <c r="A8" s="75" t="s">
        <v>27</v>
      </c>
      <c r="B8" s="170" t="s">
        <v>152</v>
      </c>
      <c r="C8" s="67" t="s">
        <v>152</v>
      </c>
      <c r="D8" s="67" t="s">
        <v>152</v>
      </c>
      <c r="E8" s="67" t="s">
        <v>152</v>
      </c>
      <c r="F8" s="67" t="s">
        <v>152</v>
      </c>
      <c r="G8" s="107" t="s">
        <v>152</v>
      </c>
      <c r="H8" s="107" t="s">
        <v>152</v>
      </c>
      <c r="I8" s="107" t="s">
        <v>152</v>
      </c>
      <c r="J8" s="107" t="s">
        <v>152</v>
      </c>
      <c r="K8" s="107" t="s">
        <v>152</v>
      </c>
      <c r="L8" s="107" t="s">
        <v>152</v>
      </c>
      <c r="M8" s="107" t="s">
        <v>152</v>
      </c>
      <c r="N8" s="107" t="s">
        <v>152</v>
      </c>
      <c r="O8" s="107" t="s">
        <v>152</v>
      </c>
      <c r="P8" s="107" t="s">
        <v>152</v>
      </c>
      <c r="Q8" s="107" t="s">
        <v>152</v>
      </c>
      <c r="R8" s="287">
        <v>87140</v>
      </c>
    </row>
    <row r="9" spans="1:21" s="63" customFormat="1" ht="15.6" x14ac:dyDescent="0.3">
      <c r="A9" s="75" t="s">
        <v>28</v>
      </c>
      <c r="B9" s="170" t="s">
        <v>152</v>
      </c>
      <c r="C9" s="67" t="s">
        <v>152</v>
      </c>
      <c r="D9" s="67" t="s">
        <v>152</v>
      </c>
      <c r="E9" s="67" t="s">
        <v>152</v>
      </c>
      <c r="F9" s="67" t="s">
        <v>152</v>
      </c>
      <c r="G9" s="107" t="s">
        <v>152</v>
      </c>
      <c r="H9" s="107" t="s">
        <v>152</v>
      </c>
      <c r="I9" s="107" t="s">
        <v>152</v>
      </c>
      <c r="J9" s="107" t="s">
        <v>152</v>
      </c>
      <c r="K9" s="107" t="s">
        <v>152</v>
      </c>
      <c r="L9" s="107" t="s">
        <v>152</v>
      </c>
      <c r="M9" s="107" t="s">
        <v>152</v>
      </c>
      <c r="N9" s="107" t="s">
        <v>152</v>
      </c>
      <c r="O9" s="107" t="s">
        <v>152</v>
      </c>
      <c r="P9" s="107" t="s">
        <v>152</v>
      </c>
      <c r="Q9" s="107" t="s">
        <v>152</v>
      </c>
      <c r="R9" s="287">
        <v>76276</v>
      </c>
    </row>
    <row r="10" spans="1:21" s="63" customFormat="1" ht="15.6" x14ac:dyDescent="0.3">
      <c r="A10" s="75" t="s">
        <v>29</v>
      </c>
      <c r="B10" s="170" t="s">
        <v>152</v>
      </c>
      <c r="C10" s="67" t="s">
        <v>152</v>
      </c>
      <c r="D10" s="67" t="s">
        <v>152</v>
      </c>
      <c r="E10" s="67" t="s">
        <v>152</v>
      </c>
      <c r="F10" s="67" t="s">
        <v>152</v>
      </c>
      <c r="G10" s="107" t="s">
        <v>152</v>
      </c>
      <c r="H10" s="107" t="s">
        <v>152</v>
      </c>
      <c r="I10" s="107" t="s">
        <v>152</v>
      </c>
      <c r="J10" s="107" t="s">
        <v>152</v>
      </c>
      <c r="K10" s="107" t="s">
        <v>152</v>
      </c>
      <c r="L10" s="107" t="s">
        <v>152</v>
      </c>
      <c r="M10" s="107" t="s">
        <v>152</v>
      </c>
      <c r="N10" s="107" t="s">
        <v>152</v>
      </c>
      <c r="O10" s="107" t="s">
        <v>152</v>
      </c>
      <c r="P10" s="107" t="s">
        <v>152</v>
      </c>
      <c r="Q10" s="107" t="s">
        <v>152</v>
      </c>
      <c r="R10" s="287">
        <v>102994</v>
      </c>
    </row>
    <row r="11" spans="1:21" s="63" customFormat="1" ht="15.6" x14ac:dyDescent="0.3">
      <c r="A11" s="75" t="s">
        <v>30</v>
      </c>
      <c r="B11" s="170" t="s">
        <v>152</v>
      </c>
      <c r="C11" s="67" t="s">
        <v>152</v>
      </c>
      <c r="D11" s="67" t="s">
        <v>152</v>
      </c>
      <c r="E11" s="67" t="s">
        <v>152</v>
      </c>
      <c r="F11" s="67" t="s">
        <v>152</v>
      </c>
      <c r="G11" s="107" t="s">
        <v>152</v>
      </c>
      <c r="H11" s="107" t="s">
        <v>152</v>
      </c>
      <c r="I11" s="107" t="s">
        <v>152</v>
      </c>
      <c r="J11" s="107" t="s">
        <v>152</v>
      </c>
      <c r="K11" s="107" t="s">
        <v>152</v>
      </c>
      <c r="L11" s="107" t="s">
        <v>152</v>
      </c>
      <c r="M11" s="107" t="s">
        <v>152</v>
      </c>
      <c r="N11" s="107" t="s">
        <v>152</v>
      </c>
      <c r="O11" s="107" t="s">
        <v>152</v>
      </c>
      <c r="P11" s="107" t="s">
        <v>152</v>
      </c>
      <c r="Q11" s="107" t="s">
        <v>152</v>
      </c>
      <c r="R11" s="291" t="s">
        <v>152</v>
      </c>
    </row>
    <row r="12" spans="1:21" s="63" customFormat="1" ht="15.6" x14ac:dyDescent="0.3">
      <c r="A12" s="75" t="s">
        <v>31</v>
      </c>
      <c r="B12" s="170" t="s">
        <v>152</v>
      </c>
      <c r="C12" s="67" t="s">
        <v>152</v>
      </c>
      <c r="D12" s="67" t="s">
        <v>152</v>
      </c>
      <c r="E12" s="67" t="s">
        <v>152</v>
      </c>
      <c r="F12" s="67" t="s">
        <v>152</v>
      </c>
      <c r="G12" s="107" t="s">
        <v>152</v>
      </c>
      <c r="H12" s="107" t="s">
        <v>152</v>
      </c>
      <c r="I12" s="107" t="s">
        <v>152</v>
      </c>
      <c r="J12" s="107" t="s">
        <v>152</v>
      </c>
      <c r="K12" s="107" t="s">
        <v>152</v>
      </c>
      <c r="L12" s="107" t="s">
        <v>152</v>
      </c>
      <c r="M12" s="107" t="s">
        <v>152</v>
      </c>
      <c r="N12" s="107" t="s">
        <v>152</v>
      </c>
      <c r="O12" s="107" t="s">
        <v>152</v>
      </c>
      <c r="P12" s="107" t="s">
        <v>152</v>
      </c>
      <c r="Q12" s="174" t="s">
        <v>152</v>
      </c>
      <c r="R12" s="295" t="s">
        <v>152</v>
      </c>
    </row>
    <row r="13" spans="1:21" s="63" customFormat="1" ht="15.6" x14ac:dyDescent="0.3">
      <c r="A13" s="75" t="s">
        <v>32</v>
      </c>
      <c r="B13" s="170" t="s">
        <v>152</v>
      </c>
      <c r="C13" s="67" t="s">
        <v>152</v>
      </c>
      <c r="D13" s="67" t="s">
        <v>152</v>
      </c>
      <c r="E13" s="67" t="s">
        <v>152</v>
      </c>
      <c r="F13" s="67" t="s">
        <v>152</v>
      </c>
      <c r="G13" s="107" t="s">
        <v>152</v>
      </c>
      <c r="H13" s="107" t="s">
        <v>152</v>
      </c>
      <c r="I13" s="107" t="s">
        <v>152</v>
      </c>
      <c r="J13" s="107" t="s">
        <v>152</v>
      </c>
      <c r="K13" s="107" t="s">
        <v>152</v>
      </c>
      <c r="L13" s="107" t="s">
        <v>152</v>
      </c>
      <c r="M13" s="107" t="s">
        <v>152</v>
      </c>
      <c r="N13" s="107" t="s">
        <v>152</v>
      </c>
      <c r="O13" s="107" t="s">
        <v>152</v>
      </c>
      <c r="P13" s="107" t="s">
        <v>152</v>
      </c>
      <c r="Q13" s="107" t="s">
        <v>152</v>
      </c>
      <c r="R13" s="295" t="s">
        <v>152</v>
      </c>
    </row>
    <row r="14" spans="1:21" s="63" customFormat="1" ht="15.6" x14ac:dyDescent="0.3">
      <c r="A14" s="75" t="s">
        <v>33</v>
      </c>
      <c r="B14" s="170" t="s">
        <v>152</v>
      </c>
      <c r="C14" s="67" t="s">
        <v>152</v>
      </c>
      <c r="D14" s="67" t="s">
        <v>152</v>
      </c>
      <c r="E14" s="67" t="s">
        <v>152</v>
      </c>
      <c r="F14" s="67" t="s">
        <v>152</v>
      </c>
      <c r="G14" s="107" t="s">
        <v>152</v>
      </c>
      <c r="H14" s="107" t="s">
        <v>152</v>
      </c>
      <c r="I14" s="107" t="s">
        <v>152</v>
      </c>
      <c r="J14" s="107" t="s">
        <v>152</v>
      </c>
      <c r="K14" s="107" t="s">
        <v>152</v>
      </c>
      <c r="L14" s="107" t="s">
        <v>152</v>
      </c>
      <c r="M14" s="107" t="s">
        <v>152</v>
      </c>
      <c r="N14" s="107" t="s">
        <v>152</v>
      </c>
      <c r="O14" s="107" t="s">
        <v>152</v>
      </c>
      <c r="P14" s="107" t="s">
        <v>152</v>
      </c>
      <c r="Q14" s="271">
        <v>13</v>
      </c>
      <c r="R14" s="295" t="s">
        <v>152</v>
      </c>
    </row>
    <row r="15" spans="1:21" s="63" customFormat="1" ht="15.6" x14ac:dyDescent="0.3">
      <c r="A15" s="75" t="s">
        <v>34</v>
      </c>
      <c r="B15" s="170" t="s">
        <v>152</v>
      </c>
      <c r="C15" s="67" t="s">
        <v>152</v>
      </c>
      <c r="D15" s="67" t="s">
        <v>152</v>
      </c>
      <c r="E15" s="67" t="s">
        <v>152</v>
      </c>
      <c r="F15" s="67" t="s">
        <v>152</v>
      </c>
      <c r="G15" s="107" t="s">
        <v>152</v>
      </c>
      <c r="H15" s="107" t="s">
        <v>152</v>
      </c>
      <c r="I15" s="107" t="s">
        <v>152</v>
      </c>
      <c r="J15" s="107" t="s">
        <v>152</v>
      </c>
      <c r="K15" s="107" t="s">
        <v>152</v>
      </c>
      <c r="L15" s="107" t="s">
        <v>152</v>
      </c>
      <c r="M15" s="107" t="s">
        <v>152</v>
      </c>
      <c r="N15" s="107" t="s">
        <v>152</v>
      </c>
      <c r="O15" s="107" t="s">
        <v>152</v>
      </c>
      <c r="P15" s="107" t="s">
        <v>152</v>
      </c>
      <c r="Q15" s="66">
        <v>75317</v>
      </c>
      <c r="R15" s="295" t="s">
        <v>152</v>
      </c>
    </row>
    <row r="16" spans="1:21" s="63" customFormat="1" ht="16.2" thickBot="1" x14ac:dyDescent="0.35">
      <c r="A16" s="88" t="s">
        <v>36</v>
      </c>
      <c r="B16" s="87" t="s">
        <v>152</v>
      </c>
      <c r="C16" s="72" t="s">
        <v>152</v>
      </c>
      <c r="D16" s="72" t="s">
        <v>152</v>
      </c>
      <c r="E16" s="72" t="s">
        <v>152</v>
      </c>
      <c r="F16" s="72" t="s">
        <v>152</v>
      </c>
      <c r="G16" s="192" t="s">
        <v>152</v>
      </c>
      <c r="H16" s="192" t="s">
        <v>152</v>
      </c>
      <c r="I16" s="192" t="s">
        <v>152</v>
      </c>
      <c r="J16" s="192" t="s">
        <v>152</v>
      </c>
      <c r="K16" s="192" t="s">
        <v>152</v>
      </c>
      <c r="L16" s="192" t="s">
        <v>152</v>
      </c>
      <c r="M16" s="192" t="s">
        <v>152</v>
      </c>
      <c r="N16" s="192" t="s">
        <v>152</v>
      </c>
      <c r="O16" s="192" t="s">
        <v>152</v>
      </c>
      <c r="P16" s="192" t="s">
        <v>152</v>
      </c>
      <c r="Q16" s="71">
        <v>79018</v>
      </c>
      <c r="R16" s="292" t="s">
        <v>152</v>
      </c>
    </row>
    <row r="17" spans="1:18" s="63" customFormat="1" ht="16.2" thickTop="1" x14ac:dyDescent="0.3">
      <c r="A17" s="89" t="s">
        <v>37</v>
      </c>
      <c r="B17" s="90" t="s">
        <v>152</v>
      </c>
      <c r="C17" s="73" t="s">
        <v>152</v>
      </c>
      <c r="D17" s="73" t="s">
        <v>152</v>
      </c>
      <c r="E17" s="73" t="s">
        <v>152</v>
      </c>
      <c r="F17" s="73" t="s">
        <v>152</v>
      </c>
      <c r="G17" s="273">
        <f t="shared" ref="G17:R17" si="0">SUM(G5:G16)</f>
        <v>0</v>
      </c>
      <c r="H17" s="273">
        <f t="shared" si="0"/>
        <v>0</v>
      </c>
      <c r="I17" s="273">
        <f t="shared" si="0"/>
        <v>0</v>
      </c>
      <c r="J17" s="273">
        <f t="shared" si="0"/>
        <v>0</v>
      </c>
      <c r="K17" s="273">
        <f t="shared" si="0"/>
        <v>0</v>
      </c>
      <c r="L17" s="273">
        <f t="shared" si="0"/>
        <v>0</v>
      </c>
      <c r="M17" s="273">
        <f t="shared" si="0"/>
        <v>0</v>
      </c>
      <c r="N17" s="273">
        <f t="shared" si="0"/>
        <v>0</v>
      </c>
      <c r="O17" s="273">
        <f t="shared" si="0"/>
        <v>0</v>
      </c>
      <c r="P17" s="273">
        <f t="shared" si="0"/>
        <v>0</v>
      </c>
      <c r="Q17" s="273">
        <f t="shared" si="0"/>
        <v>154348</v>
      </c>
      <c r="R17" s="288">
        <f t="shared" si="0"/>
        <v>510013</v>
      </c>
    </row>
    <row r="18" spans="1:18" s="113" customFormat="1" ht="6.6" x14ac:dyDescent="0.3">
      <c r="A18" s="371" t="s">
        <v>174</v>
      </c>
      <c r="B18" s="371"/>
      <c r="C18" s="371"/>
      <c r="D18" s="371"/>
      <c r="E18" s="371"/>
      <c r="F18" s="371"/>
      <c r="G18" s="371"/>
      <c r="H18" s="371"/>
      <c r="I18" s="371"/>
      <c r="J18" s="371"/>
      <c r="K18" s="371"/>
      <c r="L18" s="371"/>
      <c r="M18" s="371"/>
      <c r="N18" s="371"/>
      <c r="O18" s="371"/>
      <c r="P18" s="371"/>
      <c r="Q18" s="371"/>
      <c r="R18" s="371"/>
    </row>
    <row r="19" spans="1:18" s="106" customFormat="1" ht="18" x14ac:dyDescent="0.3">
      <c r="A19" s="395" t="s">
        <v>288</v>
      </c>
      <c r="B19" s="395"/>
      <c r="C19" s="395"/>
      <c r="D19" s="395"/>
      <c r="E19" s="395"/>
      <c r="F19" s="395"/>
      <c r="G19" s="395"/>
      <c r="H19" s="395"/>
      <c r="I19" s="395"/>
      <c r="J19" s="395"/>
      <c r="K19" s="395"/>
      <c r="L19" s="395"/>
      <c r="M19" s="395"/>
      <c r="N19" s="395"/>
      <c r="O19" s="395"/>
      <c r="P19" s="395"/>
      <c r="Q19" s="395"/>
      <c r="R19" s="395"/>
    </row>
    <row r="20" spans="1:18" s="63" customFormat="1" ht="15.6" x14ac:dyDescent="0.3">
      <c r="A20" s="77" t="s">
        <v>23</v>
      </c>
      <c r="B20" s="91">
        <v>2005</v>
      </c>
      <c r="C20" s="64">
        <v>2005</v>
      </c>
      <c r="D20" s="64">
        <v>2006</v>
      </c>
      <c r="E20" s="64">
        <v>2007</v>
      </c>
      <c r="F20" s="64">
        <v>2008</v>
      </c>
      <c r="G20" s="64">
        <v>2009</v>
      </c>
      <c r="H20" s="64">
        <v>2010</v>
      </c>
      <c r="I20" s="64">
        <v>2011</v>
      </c>
      <c r="J20" s="65">
        <v>2012</v>
      </c>
      <c r="K20" s="65">
        <v>2013</v>
      </c>
      <c r="L20" s="65">
        <v>2014</v>
      </c>
      <c r="M20" s="65">
        <v>2015</v>
      </c>
      <c r="N20" s="65">
        <v>2016</v>
      </c>
      <c r="O20" s="65">
        <v>2017</v>
      </c>
      <c r="P20" s="65">
        <v>2018</v>
      </c>
      <c r="Q20" s="336">
        <v>2019</v>
      </c>
      <c r="R20" s="337">
        <v>2020</v>
      </c>
    </row>
    <row r="21" spans="1:18" s="63" customFormat="1" ht="15.6" x14ac:dyDescent="0.3">
      <c r="A21" s="76" t="s">
        <v>24</v>
      </c>
      <c r="B21" s="108" t="s">
        <v>152</v>
      </c>
      <c r="C21" s="107" t="s">
        <v>152</v>
      </c>
      <c r="D21" s="107" t="s">
        <v>152</v>
      </c>
      <c r="E21" s="107" t="s">
        <v>152</v>
      </c>
      <c r="F21" s="107" t="s">
        <v>152</v>
      </c>
      <c r="G21" s="107" t="s">
        <v>152</v>
      </c>
      <c r="H21" s="107" t="s">
        <v>152</v>
      </c>
      <c r="I21" s="107" t="s">
        <v>152</v>
      </c>
      <c r="J21" s="107" t="s">
        <v>152</v>
      </c>
      <c r="K21" s="107" t="s">
        <v>152</v>
      </c>
      <c r="L21" s="107" t="s">
        <v>152</v>
      </c>
      <c r="M21" s="107" t="s">
        <v>152</v>
      </c>
      <c r="N21" s="107" t="s">
        <v>152</v>
      </c>
      <c r="O21" s="107" t="s">
        <v>152</v>
      </c>
      <c r="P21" s="107" t="s">
        <v>152</v>
      </c>
      <c r="Q21" s="107" t="s">
        <v>152</v>
      </c>
      <c r="R21" s="286">
        <v>4955</v>
      </c>
    </row>
    <row r="22" spans="1:18" s="63" customFormat="1" ht="15.6" x14ac:dyDescent="0.3">
      <c r="A22" s="75" t="s">
        <v>25</v>
      </c>
      <c r="B22" s="170" t="s">
        <v>152</v>
      </c>
      <c r="C22" s="67" t="s">
        <v>152</v>
      </c>
      <c r="D22" s="67" t="s">
        <v>152</v>
      </c>
      <c r="E22" s="67" t="s">
        <v>152</v>
      </c>
      <c r="F22" s="67" t="s">
        <v>152</v>
      </c>
      <c r="G22" s="107" t="s">
        <v>152</v>
      </c>
      <c r="H22" s="107" t="s">
        <v>152</v>
      </c>
      <c r="I22" s="107" t="s">
        <v>152</v>
      </c>
      <c r="J22" s="107" t="s">
        <v>152</v>
      </c>
      <c r="K22" s="107" t="s">
        <v>152</v>
      </c>
      <c r="L22" s="107" t="s">
        <v>152</v>
      </c>
      <c r="M22" s="107" t="s">
        <v>152</v>
      </c>
      <c r="N22" s="107" t="s">
        <v>152</v>
      </c>
      <c r="O22" s="107" t="s">
        <v>152</v>
      </c>
      <c r="P22" s="107" t="s">
        <v>152</v>
      </c>
      <c r="Q22" s="107" t="s">
        <v>152</v>
      </c>
      <c r="R22" s="287">
        <v>3463</v>
      </c>
    </row>
    <row r="23" spans="1:18" s="63" customFormat="1" ht="15.6" x14ac:dyDescent="0.3">
      <c r="A23" s="75" t="s">
        <v>26</v>
      </c>
      <c r="B23" s="170" t="s">
        <v>152</v>
      </c>
      <c r="C23" s="67" t="s">
        <v>152</v>
      </c>
      <c r="D23" s="67" t="s">
        <v>152</v>
      </c>
      <c r="E23" s="67" t="s">
        <v>152</v>
      </c>
      <c r="F23" s="67" t="s">
        <v>152</v>
      </c>
      <c r="G23" s="107" t="s">
        <v>152</v>
      </c>
      <c r="H23" s="107" t="s">
        <v>152</v>
      </c>
      <c r="I23" s="107" t="s">
        <v>152</v>
      </c>
      <c r="J23" s="107" t="s">
        <v>152</v>
      </c>
      <c r="K23" s="107" t="s">
        <v>152</v>
      </c>
      <c r="L23" s="107" t="s">
        <v>152</v>
      </c>
      <c r="M23" s="107" t="s">
        <v>152</v>
      </c>
      <c r="N23" s="107" t="s">
        <v>152</v>
      </c>
      <c r="O23" s="107" t="s">
        <v>152</v>
      </c>
      <c r="P23" s="107" t="s">
        <v>152</v>
      </c>
      <c r="Q23" s="107" t="s">
        <v>152</v>
      </c>
      <c r="R23" s="287">
        <v>5693</v>
      </c>
    </row>
    <row r="24" spans="1:18" s="63" customFormat="1" ht="15.6" x14ac:dyDescent="0.3">
      <c r="A24" s="75" t="s">
        <v>27</v>
      </c>
      <c r="B24" s="170" t="s">
        <v>152</v>
      </c>
      <c r="C24" s="67" t="s">
        <v>152</v>
      </c>
      <c r="D24" s="67" t="s">
        <v>152</v>
      </c>
      <c r="E24" s="67" t="s">
        <v>152</v>
      </c>
      <c r="F24" s="67" t="s">
        <v>152</v>
      </c>
      <c r="G24" s="107" t="s">
        <v>152</v>
      </c>
      <c r="H24" s="107" t="s">
        <v>152</v>
      </c>
      <c r="I24" s="107" t="s">
        <v>152</v>
      </c>
      <c r="J24" s="107" t="s">
        <v>152</v>
      </c>
      <c r="K24" s="107" t="s">
        <v>152</v>
      </c>
      <c r="L24" s="107" t="s">
        <v>152</v>
      </c>
      <c r="M24" s="107" t="s">
        <v>152</v>
      </c>
      <c r="N24" s="107" t="s">
        <v>152</v>
      </c>
      <c r="O24" s="107" t="s">
        <v>152</v>
      </c>
      <c r="P24" s="107" t="s">
        <v>152</v>
      </c>
      <c r="Q24" s="107" t="s">
        <v>152</v>
      </c>
      <c r="R24" s="287">
        <v>6601</v>
      </c>
    </row>
    <row r="25" spans="1:18" s="63" customFormat="1" ht="15.6" x14ac:dyDescent="0.3">
      <c r="A25" s="75" t="s">
        <v>28</v>
      </c>
      <c r="B25" s="170" t="s">
        <v>152</v>
      </c>
      <c r="C25" s="67" t="s">
        <v>152</v>
      </c>
      <c r="D25" s="67" t="s">
        <v>152</v>
      </c>
      <c r="E25" s="67" t="s">
        <v>152</v>
      </c>
      <c r="F25" s="67" t="s">
        <v>152</v>
      </c>
      <c r="G25" s="107" t="s">
        <v>152</v>
      </c>
      <c r="H25" s="107" t="s">
        <v>152</v>
      </c>
      <c r="I25" s="107" t="s">
        <v>152</v>
      </c>
      <c r="J25" s="107" t="s">
        <v>152</v>
      </c>
      <c r="K25" s="107" t="s">
        <v>152</v>
      </c>
      <c r="L25" s="107" t="s">
        <v>152</v>
      </c>
      <c r="M25" s="107" t="s">
        <v>152</v>
      </c>
      <c r="N25" s="107" t="s">
        <v>152</v>
      </c>
      <c r="O25" s="107" t="s">
        <v>152</v>
      </c>
      <c r="P25" s="107" t="s">
        <v>152</v>
      </c>
      <c r="Q25" s="107" t="s">
        <v>152</v>
      </c>
      <c r="R25" s="287">
        <v>3136</v>
      </c>
    </row>
    <row r="26" spans="1:18" s="63" customFormat="1" ht="15.6" x14ac:dyDescent="0.3">
      <c r="A26" s="75" t="s">
        <v>29</v>
      </c>
      <c r="B26" s="170" t="s">
        <v>152</v>
      </c>
      <c r="C26" s="67" t="s">
        <v>152</v>
      </c>
      <c r="D26" s="67" t="s">
        <v>152</v>
      </c>
      <c r="E26" s="67" t="s">
        <v>152</v>
      </c>
      <c r="F26" s="67" t="s">
        <v>152</v>
      </c>
      <c r="G26" s="107" t="s">
        <v>152</v>
      </c>
      <c r="H26" s="107" t="s">
        <v>152</v>
      </c>
      <c r="I26" s="107" t="s">
        <v>152</v>
      </c>
      <c r="J26" s="107" t="s">
        <v>152</v>
      </c>
      <c r="K26" s="107" t="s">
        <v>152</v>
      </c>
      <c r="L26" s="107" t="s">
        <v>152</v>
      </c>
      <c r="M26" s="107" t="s">
        <v>152</v>
      </c>
      <c r="N26" s="107" t="s">
        <v>152</v>
      </c>
      <c r="O26" s="107" t="s">
        <v>152</v>
      </c>
      <c r="P26" s="107" t="s">
        <v>152</v>
      </c>
      <c r="Q26" s="107" t="s">
        <v>152</v>
      </c>
      <c r="R26" s="287">
        <v>8066</v>
      </c>
    </row>
    <row r="27" spans="1:18" s="63" customFormat="1" ht="15.6" x14ac:dyDescent="0.3">
      <c r="A27" s="75" t="s">
        <v>30</v>
      </c>
      <c r="B27" s="170" t="s">
        <v>152</v>
      </c>
      <c r="C27" s="67" t="s">
        <v>152</v>
      </c>
      <c r="D27" s="67" t="s">
        <v>152</v>
      </c>
      <c r="E27" s="67" t="s">
        <v>152</v>
      </c>
      <c r="F27" s="67" t="s">
        <v>152</v>
      </c>
      <c r="G27" s="107" t="s">
        <v>152</v>
      </c>
      <c r="H27" s="107" t="s">
        <v>152</v>
      </c>
      <c r="I27" s="107" t="s">
        <v>152</v>
      </c>
      <c r="J27" s="107" t="s">
        <v>152</v>
      </c>
      <c r="K27" s="107" t="s">
        <v>152</v>
      </c>
      <c r="L27" s="107" t="s">
        <v>152</v>
      </c>
      <c r="M27" s="107" t="s">
        <v>152</v>
      </c>
      <c r="N27" s="107" t="s">
        <v>152</v>
      </c>
      <c r="O27" s="107" t="s">
        <v>152</v>
      </c>
      <c r="P27" s="107" t="s">
        <v>152</v>
      </c>
      <c r="Q27" s="174" t="s">
        <v>152</v>
      </c>
      <c r="R27" s="291" t="s">
        <v>152</v>
      </c>
    </row>
    <row r="28" spans="1:18" s="63" customFormat="1" ht="15.6" x14ac:dyDescent="0.3">
      <c r="A28" s="75" t="s">
        <v>31</v>
      </c>
      <c r="B28" s="170" t="s">
        <v>152</v>
      </c>
      <c r="C28" s="67" t="s">
        <v>152</v>
      </c>
      <c r="D28" s="67" t="s">
        <v>152</v>
      </c>
      <c r="E28" s="67" t="s">
        <v>152</v>
      </c>
      <c r="F28" s="67" t="s">
        <v>152</v>
      </c>
      <c r="G28" s="107" t="s">
        <v>152</v>
      </c>
      <c r="H28" s="107" t="s">
        <v>152</v>
      </c>
      <c r="I28" s="107" t="s">
        <v>152</v>
      </c>
      <c r="J28" s="107" t="s">
        <v>152</v>
      </c>
      <c r="K28" s="107" t="s">
        <v>152</v>
      </c>
      <c r="L28" s="107" t="s">
        <v>152</v>
      </c>
      <c r="M28" s="107" t="s">
        <v>152</v>
      </c>
      <c r="N28" s="107" t="s">
        <v>152</v>
      </c>
      <c r="O28" s="107" t="s">
        <v>152</v>
      </c>
      <c r="P28" s="107" t="s">
        <v>152</v>
      </c>
      <c r="Q28" s="107" t="s">
        <v>152</v>
      </c>
      <c r="R28" s="295" t="s">
        <v>152</v>
      </c>
    </row>
    <row r="29" spans="1:18" s="63" customFormat="1" ht="15.6" x14ac:dyDescent="0.3">
      <c r="A29" s="75" t="s">
        <v>32</v>
      </c>
      <c r="B29" s="170" t="s">
        <v>152</v>
      </c>
      <c r="C29" s="67" t="s">
        <v>152</v>
      </c>
      <c r="D29" s="67" t="s">
        <v>152</v>
      </c>
      <c r="E29" s="67" t="s">
        <v>152</v>
      </c>
      <c r="F29" s="67" t="s">
        <v>152</v>
      </c>
      <c r="G29" s="107" t="s">
        <v>152</v>
      </c>
      <c r="H29" s="107" t="s">
        <v>152</v>
      </c>
      <c r="I29" s="107" t="s">
        <v>152</v>
      </c>
      <c r="J29" s="107" t="s">
        <v>152</v>
      </c>
      <c r="K29" s="107" t="s">
        <v>152</v>
      </c>
      <c r="L29" s="107" t="s">
        <v>152</v>
      </c>
      <c r="M29" s="107" t="s">
        <v>152</v>
      </c>
      <c r="N29" s="107" t="s">
        <v>152</v>
      </c>
      <c r="O29" s="107" t="s">
        <v>152</v>
      </c>
      <c r="P29" s="107" t="s">
        <v>152</v>
      </c>
      <c r="Q29" s="107" t="s">
        <v>152</v>
      </c>
      <c r="R29" s="295" t="s">
        <v>152</v>
      </c>
    </row>
    <row r="30" spans="1:18" s="63" customFormat="1" ht="15.6" x14ac:dyDescent="0.3">
      <c r="A30" s="75" t="s">
        <v>33</v>
      </c>
      <c r="B30" s="170" t="s">
        <v>152</v>
      </c>
      <c r="C30" s="67" t="s">
        <v>152</v>
      </c>
      <c r="D30" s="67" t="s">
        <v>152</v>
      </c>
      <c r="E30" s="67" t="s">
        <v>152</v>
      </c>
      <c r="F30" s="67" t="s">
        <v>152</v>
      </c>
      <c r="G30" s="107" t="s">
        <v>152</v>
      </c>
      <c r="H30" s="107" t="s">
        <v>152</v>
      </c>
      <c r="I30" s="107" t="s">
        <v>152</v>
      </c>
      <c r="J30" s="107" t="s">
        <v>152</v>
      </c>
      <c r="K30" s="107" t="s">
        <v>152</v>
      </c>
      <c r="L30" s="107" t="s">
        <v>152</v>
      </c>
      <c r="M30" s="107" t="s">
        <v>152</v>
      </c>
      <c r="N30" s="107" t="s">
        <v>152</v>
      </c>
      <c r="O30" s="107" t="s">
        <v>152</v>
      </c>
      <c r="P30" s="107" t="s">
        <v>152</v>
      </c>
      <c r="Q30" s="271">
        <v>0</v>
      </c>
      <c r="R30" s="295" t="s">
        <v>152</v>
      </c>
    </row>
    <row r="31" spans="1:18" s="63" customFormat="1" ht="15.6" x14ac:dyDescent="0.3">
      <c r="A31" s="75" t="s">
        <v>34</v>
      </c>
      <c r="B31" s="170" t="s">
        <v>152</v>
      </c>
      <c r="C31" s="67" t="s">
        <v>152</v>
      </c>
      <c r="D31" s="67" t="s">
        <v>152</v>
      </c>
      <c r="E31" s="67" t="s">
        <v>152</v>
      </c>
      <c r="F31" s="67" t="s">
        <v>152</v>
      </c>
      <c r="G31" s="107" t="s">
        <v>152</v>
      </c>
      <c r="H31" s="107" t="s">
        <v>152</v>
      </c>
      <c r="I31" s="107" t="s">
        <v>152</v>
      </c>
      <c r="J31" s="107" t="s">
        <v>152</v>
      </c>
      <c r="K31" s="107" t="s">
        <v>152</v>
      </c>
      <c r="L31" s="107" t="s">
        <v>152</v>
      </c>
      <c r="M31" s="107" t="s">
        <v>152</v>
      </c>
      <c r="N31" s="107" t="s">
        <v>152</v>
      </c>
      <c r="O31" s="107" t="s">
        <v>152</v>
      </c>
      <c r="P31" s="107" t="s">
        <v>152</v>
      </c>
      <c r="Q31" s="66">
        <v>4134</v>
      </c>
      <c r="R31" s="295" t="s">
        <v>152</v>
      </c>
    </row>
    <row r="32" spans="1:18" s="63" customFormat="1" ht="16.2" thickBot="1" x14ac:dyDescent="0.35">
      <c r="A32" s="88" t="s">
        <v>36</v>
      </c>
      <c r="B32" s="87" t="s">
        <v>152</v>
      </c>
      <c r="C32" s="72" t="s">
        <v>152</v>
      </c>
      <c r="D32" s="72" t="s">
        <v>152</v>
      </c>
      <c r="E32" s="72" t="s">
        <v>152</v>
      </c>
      <c r="F32" s="72" t="s">
        <v>152</v>
      </c>
      <c r="G32" s="192" t="s">
        <v>152</v>
      </c>
      <c r="H32" s="192" t="s">
        <v>152</v>
      </c>
      <c r="I32" s="192" t="s">
        <v>152</v>
      </c>
      <c r="J32" s="192" t="s">
        <v>152</v>
      </c>
      <c r="K32" s="192" t="s">
        <v>152</v>
      </c>
      <c r="L32" s="192" t="s">
        <v>152</v>
      </c>
      <c r="M32" s="192" t="s">
        <v>152</v>
      </c>
      <c r="N32" s="192" t="s">
        <v>152</v>
      </c>
      <c r="O32" s="192" t="s">
        <v>152</v>
      </c>
      <c r="P32" s="192" t="s">
        <v>152</v>
      </c>
      <c r="Q32" s="71">
        <v>3365</v>
      </c>
      <c r="R32" s="292" t="s">
        <v>152</v>
      </c>
    </row>
    <row r="33" spans="1:18" s="63" customFormat="1" ht="16.2" thickTop="1" x14ac:dyDescent="0.3">
      <c r="A33" s="89" t="s">
        <v>37</v>
      </c>
      <c r="B33" s="90" t="s">
        <v>152</v>
      </c>
      <c r="C33" s="73" t="s">
        <v>152</v>
      </c>
      <c r="D33" s="73" t="s">
        <v>152</v>
      </c>
      <c r="E33" s="73" t="s">
        <v>152</v>
      </c>
      <c r="F33" s="73" t="s">
        <v>152</v>
      </c>
      <c r="G33" s="273">
        <f t="shared" ref="G33:R33" si="1">SUM(G21:G32)</f>
        <v>0</v>
      </c>
      <c r="H33" s="273">
        <f t="shared" si="1"/>
        <v>0</v>
      </c>
      <c r="I33" s="273">
        <f t="shared" si="1"/>
        <v>0</v>
      </c>
      <c r="J33" s="273">
        <f t="shared" si="1"/>
        <v>0</v>
      </c>
      <c r="K33" s="273">
        <f t="shared" si="1"/>
        <v>0</v>
      </c>
      <c r="L33" s="273">
        <f t="shared" si="1"/>
        <v>0</v>
      </c>
      <c r="M33" s="273">
        <f t="shared" si="1"/>
        <v>0</v>
      </c>
      <c r="N33" s="273">
        <f t="shared" si="1"/>
        <v>0</v>
      </c>
      <c r="O33" s="273">
        <f t="shared" si="1"/>
        <v>0</v>
      </c>
      <c r="P33" s="273">
        <f t="shared" si="1"/>
        <v>0</v>
      </c>
      <c r="Q33" s="273">
        <f t="shared" si="1"/>
        <v>7499</v>
      </c>
      <c r="R33" s="288">
        <f t="shared" si="1"/>
        <v>31914</v>
      </c>
    </row>
    <row r="34" spans="1:18" s="113" customFormat="1" ht="6.6" x14ac:dyDescent="0.3">
      <c r="A34" s="371" t="s">
        <v>174</v>
      </c>
      <c r="B34" s="371"/>
      <c r="C34" s="371"/>
      <c r="D34" s="371"/>
      <c r="E34" s="371"/>
      <c r="F34" s="371"/>
      <c r="G34" s="371"/>
      <c r="H34" s="371"/>
      <c r="I34" s="371"/>
      <c r="J34" s="371"/>
      <c r="K34" s="371"/>
      <c r="L34" s="371"/>
      <c r="M34" s="371"/>
      <c r="N34" s="371"/>
      <c r="O34" s="371"/>
      <c r="P34" s="371"/>
      <c r="Q34" s="371"/>
      <c r="R34" s="371"/>
    </row>
    <row r="35" spans="1:18" s="106" customFormat="1" ht="18" x14ac:dyDescent="0.3">
      <c r="A35" s="370" t="s">
        <v>262</v>
      </c>
      <c r="B35" s="370"/>
      <c r="C35" s="370"/>
      <c r="D35" s="370"/>
      <c r="E35" s="370"/>
      <c r="F35" s="370"/>
      <c r="G35" s="370"/>
      <c r="H35" s="370"/>
      <c r="I35" s="370"/>
      <c r="J35" s="370"/>
      <c r="K35" s="370"/>
      <c r="L35" s="370"/>
      <c r="M35" s="370"/>
      <c r="N35" s="370"/>
      <c r="O35" s="370"/>
      <c r="P35" s="370"/>
      <c r="Q35" s="370"/>
      <c r="R35" s="370"/>
    </row>
    <row r="36" spans="1:18" s="63" customFormat="1" ht="15.6" x14ac:dyDescent="0.3">
      <c r="A36" s="77" t="s">
        <v>23</v>
      </c>
      <c r="B36" s="91">
        <v>2005</v>
      </c>
      <c r="C36" s="64">
        <v>2005</v>
      </c>
      <c r="D36" s="64">
        <v>2006</v>
      </c>
      <c r="E36" s="64">
        <v>2007</v>
      </c>
      <c r="F36" s="64">
        <v>2008</v>
      </c>
      <c r="G36" s="64">
        <v>2009</v>
      </c>
      <c r="H36" s="64">
        <v>2010</v>
      </c>
      <c r="I36" s="64">
        <v>2011</v>
      </c>
      <c r="J36" s="65">
        <v>2012</v>
      </c>
      <c r="K36" s="65">
        <v>2013</v>
      </c>
      <c r="L36" s="65">
        <v>2014</v>
      </c>
      <c r="M36" s="65">
        <v>2015</v>
      </c>
      <c r="N36" s="65">
        <v>2016</v>
      </c>
      <c r="O36" s="65">
        <v>2017</v>
      </c>
      <c r="P36" s="65">
        <v>2018</v>
      </c>
      <c r="Q36" s="336">
        <v>2019</v>
      </c>
      <c r="R36" s="337">
        <v>2020</v>
      </c>
    </row>
    <row r="37" spans="1:18" s="63" customFormat="1" ht="15.6" x14ac:dyDescent="0.3">
      <c r="A37" s="76" t="s">
        <v>24</v>
      </c>
      <c r="B37" s="108" t="s">
        <v>152</v>
      </c>
      <c r="C37" s="107" t="s">
        <v>152</v>
      </c>
      <c r="D37" s="107" t="s">
        <v>152</v>
      </c>
      <c r="E37" s="107" t="s">
        <v>152</v>
      </c>
      <c r="F37" s="107" t="s">
        <v>152</v>
      </c>
      <c r="G37" s="107" t="s">
        <v>152</v>
      </c>
      <c r="H37" s="107" t="s">
        <v>152</v>
      </c>
      <c r="I37" s="107" t="s">
        <v>152</v>
      </c>
      <c r="J37" s="107" t="s">
        <v>152</v>
      </c>
      <c r="K37" s="107" t="s">
        <v>152</v>
      </c>
      <c r="L37" s="107" t="s">
        <v>152</v>
      </c>
      <c r="M37" s="107" t="s">
        <v>152</v>
      </c>
      <c r="N37" s="107" t="s">
        <v>152</v>
      </c>
      <c r="O37" s="107" t="s">
        <v>152</v>
      </c>
      <c r="P37" s="107" t="s">
        <v>152</v>
      </c>
      <c r="Q37" s="107" t="s">
        <v>152</v>
      </c>
      <c r="R37" s="286">
        <v>-15</v>
      </c>
    </row>
    <row r="38" spans="1:18" s="63" customFormat="1" ht="15.6" x14ac:dyDescent="0.3">
      <c r="A38" s="75" t="s">
        <v>25</v>
      </c>
      <c r="B38" s="170" t="s">
        <v>152</v>
      </c>
      <c r="C38" s="67" t="s">
        <v>152</v>
      </c>
      <c r="D38" s="67" t="s">
        <v>152</v>
      </c>
      <c r="E38" s="67" t="s">
        <v>152</v>
      </c>
      <c r="F38" s="67" t="s">
        <v>152</v>
      </c>
      <c r="G38" s="107" t="s">
        <v>152</v>
      </c>
      <c r="H38" s="107" t="s">
        <v>152</v>
      </c>
      <c r="I38" s="107" t="s">
        <v>152</v>
      </c>
      <c r="J38" s="107" t="s">
        <v>152</v>
      </c>
      <c r="K38" s="107" t="s">
        <v>152</v>
      </c>
      <c r="L38" s="107" t="s">
        <v>152</v>
      </c>
      <c r="M38" s="107" t="s">
        <v>152</v>
      </c>
      <c r="N38" s="107" t="s">
        <v>152</v>
      </c>
      <c r="O38" s="107" t="s">
        <v>152</v>
      </c>
      <c r="P38" s="107" t="s">
        <v>152</v>
      </c>
      <c r="Q38" s="107" t="s">
        <v>152</v>
      </c>
      <c r="R38" s="287">
        <v>0</v>
      </c>
    </row>
    <row r="39" spans="1:18" s="63" customFormat="1" ht="15.6" x14ac:dyDescent="0.3">
      <c r="A39" s="75" t="s">
        <v>26</v>
      </c>
      <c r="B39" s="170" t="s">
        <v>152</v>
      </c>
      <c r="C39" s="67" t="s">
        <v>152</v>
      </c>
      <c r="D39" s="67" t="s">
        <v>152</v>
      </c>
      <c r="E39" s="67" t="s">
        <v>152</v>
      </c>
      <c r="F39" s="67" t="s">
        <v>152</v>
      </c>
      <c r="G39" s="107" t="s">
        <v>152</v>
      </c>
      <c r="H39" s="107" t="s">
        <v>152</v>
      </c>
      <c r="I39" s="107" t="s">
        <v>152</v>
      </c>
      <c r="J39" s="107" t="s">
        <v>152</v>
      </c>
      <c r="K39" s="107" t="s">
        <v>152</v>
      </c>
      <c r="L39" s="107" t="s">
        <v>152</v>
      </c>
      <c r="M39" s="107" t="s">
        <v>152</v>
      </c>
      <c r="N39" s="107" t="s">
        <v>152</v>
      </c>
      <c r="O39" s="107" t="s">
        <v>152</v>
      </c>
      <c r="P39" s="107" t="s">
        <v>152</v>
      </c>
      <c r="Q39" s="107" t="s">
        <v>152</v>
      </c>
      <c r="R39" s="287">
        <v>-16</v>
      </c>
    </row>
    <row r="40" spans="1:18" s="63" customFormat="1" ht="15.6" x14ac:dyDescent="0.3">
      <c r="A40" s="75" t="s">
        <v>27</v>
      </c>
      <c r="B40" s="170" t="s">
        <v>152</v>
      </c>
      <c r="C40" s="67" t="s">
        <v>152</v>
      </c>
      <c r="D40" s="67" t="s">
        <v>152</v>
      </c>
      <c r="E40" s="67" t="s">
        <v>152</v>
      </c>
      <c r="F40" s="67" t="s">
        <v>152</v>
      </c>
      <c r="G40" s="107" t="s">
        <v>152</v>
      </c>
      <c r="H40" s="107" t="s">
        <v>152</v>
      </c>
      <c r="I40" s="107" t="s">
        <v>152</v>
      </c>
      <c r="J40" s="107" t="s">
        <v>152</v>
      </c>
      <c r="K40" s="107" t="s">
        <v>152</v>
      </c>
      <c r="L40" s="107" t="s">
        <v>152</v>
      </c>
      <c r="M40" s="107" t="s">
        <v>152</v>
      </c>
      <c r="N40" s="107" t="s">
        <v>152</v>
      </c>
      <c r="O40" s="107" t="s">
        <v>152</v>
      </c>
      <c r="P40" s="107" t="s">
        <v>152</v>
      </c>
      <c r="Q40" s="174" t="s">
        <v>152</v>
      </c>
      <c r="R40" s="287">
        <v>0</v>
      </c>
    </row>
    <row r="41" spans="1:18" s="63" customFormat="1" ht="15.6" x14ac:dyDescent="0.3">
      <c r="A41" s="75" t="s">
        <v>28</v>
      </c>
      <c r="B41" s="170" t="s">
        <v>152</v>
      </c>
      <c r="C41" s="67" t="s">
        <v>152</v>
      </c>
      <c r="D41" s="67" t="s">
        <v>152</v>
      </c>
      <c r="E41" s="67" t="s">
        <v>152</v>
      </c>
      <c r="F41" s="67" t="s">
        <v>152</v>
      </c>
      <c r="G41" s="107" t="s">
        <v>152</v>
      </c>
      <c r="H41" s="107" t="s">
        <v>152</v>
      </c>
      <c r="I41" s="107" t="s">
        <v>152</v>
      </c>
      <c r="J41" s="107" t="s">
        <v>152</v>
      </c>
      <c r="K41" s="107" t="s">
        <v>152</v>
      </c>
      <c r="L41" s="107" t="s">
        <v>152</v>
      </c>
      <c r="M41" s="107" t="s">
        <v>152</v>
      </c>
      <c r="N41" s="107" t="s">
        <v>152</v>
      </c>
      <c r="O41" s="107" t="s">
        <v>152</v>
      </c>
      <c r="P41" s="107" t="s">
        <v>152</v>
      </c>
      <c r="Q41" s="107" t="s">
        <v>152</v>
      </c>
      <c r="R41" s="287">
        <v>-16</v>
      </c>
    </row>
    <row r="42" spans="1:18" s="63" customFormat="1" ht="15.6" x14ac:dyDescent="0.3">
      <c r="A42" s="75" t="s">
        <v>29</v>
      </c>
      <c r="B42" s="170" t="s">
        <v>152</v>
      </c>
      <c r="C42" s="67" t="s">
        <v>152</v>
      </c>
      <c r="D42" s="67" t="s">
        <v>152</v>
      </c>
      <c r="E42" s="67" t="s">
        <v>152</v>
      </c>
      <c r="F42" s="67" t="s">
        <v>152</v>
      </c>
      <c r="G42" s="107" t="s">
        <v>152</v>
      </c>
      <c r="H42" s="107" t="s">
        <v>152</v>
      </c>
      <c r="I42" s="107" t="s">
        <v>152</v>
      </c>
      <c r="J42" s="107" t="s">
        <v>152</v>
      </c>
      <c r="K42" s="107" t="s">
        <v>152</v>
      </c>
      <c r="L42" s="107" t="s">
        <v>152</v>
      </c>
      <c r="M42" s="107" t="s">
        <v>152</v>
      </c>
      <c r="N42" s="107" t="s">
        <v>152</v>
      </c>
      <c r="O42" s="107" t="s">
        <v>152</v>
      </c>
      <c r="P42" s="107" t="s">
        <v>152</v>
      </c>
      <c r="Q42" s="107" t="s">
        <v>152</v>
      </c>
      <c r="R42" s="287">
        <v>-172</v>
      </c>
    </row>
    <row r="43" spans="1:18" s="63" customFormat="1" ht="15.6" x14ac:dyDescent="0.3">
      <c r="A43" s="75" t="s">
        <v>30</v>
      </c>
      <c r="B43" s="170" t="s">
        <v>152</v>
      </c>
      <c r="C43" s="67" t="s">
        <v>152</v>
      </c>
      <c r="D43" s="67" t="s">
        <v>152</v>
      </c>
      <c r="E43" s="67" t="s">
        <v>152</v>
      </c>
      <c r="F43" s="67" t="s">
        <v>152</v>
      </c>
      <c r="G43" s="107" t="s">
        <v>152</v>
      </c>
      <c r="H43" s="107" t="s">
        <v>152</v>
      </c>
      <c r="I43" s="107" t="s">
        <v>152</v>
      </c>
      <c r="J43" s="107" t="s">
        <v>152</v>
      </c>
      <c r="K43" s="107" t="s">
        <v>152</v>
      </c>
      <c r="L43" s="107" t="s">
        <v>152</v>
      </c>
      <c r="M43" s="107" t="s">
        <v>152</v>
      </c>
      <c r="N43" s="107" t="s">
        <v>152</v>
      </c>
      <c r="O43" s="107" t="s">
        <v>152</v>
      </c>
      <c r="P43" s="107" t="s">
        <v>152</v>
      </c>
      <c r="Q43" s="107" t="s">
        <v>152</v>
      </c>
      <c r="R43" s="291" t="s">
        <v>152</v>
      </c>
    </row>
    <row r="44" spans="1:18" s="63" customFormat="1" ht="15.6" x14ac:dyDescent="0.3">
      <c r="A44" s="75" t="s">
        <v>31</v>
      </c>
      <c r="B44" s="170" t="s">
        <v>152</v>
      </c>
      <c r="C44" s="67" t="s">
        <v>152</v>
      </c>
      <c r="D44" s="67" t="s">
        <v>152</v>
      </c>
      <c r="E44" s="67" t="s">
        <v>152</v>
      </c>
      <c r="F44" s="67" t="s">
        <v>152</v>
      </c>
      <c r="G44" s="107" t="s">
        <v>152</v>
      </c>
      <c r="H44" s="107" t="s">
        <v>152</v>
      </c>
      <c r="I44" s="107" t="s">
        <v>152</v>
      </c>
      <c r="J44" s="107" t="s">
        <v>152</v>
      </c>
      <c r="K44" s="107" t="s">
        <v>152</v>
      </c>
      <c r="L44" s="107" t="s">
        <v>152</v>
      </c>
      <c r="M44" s="107" t="s">
        <v>152</v>
      </c>
      <c r="N44" s="107" t="s">
        <v>152</v>
      </c>
      <c r="O44" s="107" t="s">
        <v>152</v>
      </c>
      <c r="P44" s="107" t="s">
        <v>152</v>
      </c>
      <c r="Q44" s="107" t="s">
        <v>152</v>
      </c>
      <c r="R44" s="295" t="s">
        <v>152</v>
      </c>
    </row>
    <row r="45" spans="1:18" s="63" customFormat="1" ht="15.6" x14ac:dyDescent="0.3">
      <c r="A45" s="75" t="s">
        <v>32</v>
      </c>
      <c r="B45" s="170" t="s">
        <v>152</v>
      </c>
      <c r="C45" s="67" t="s">
        <v>152</v>
      </c>
      <c r="D45" s="67" t="s">
        <v>152</v>
      </c>
      <c r="E45" s="67" t="s">
        <v>152</v>
      </c>
      <c r="F45" s="67" t="s">
        <v>152</v>
      </c>
      <c r="G45" s="107" t="s">
        <v>152</v>
      </c>
      <c r="H45" s="107" t="s">
        <v>152</v>
      </c>
      <c r="I45" s="107" t="s">
        <v>152</v>
      </c>
      <c r="J45" s="107" t="s">
        <v>152</v>
      </c>
      <c r="K45" s="107" t="s">
        <v>152</v>
      </c>
      <c r="L45" s="107" t="s">
        <v>152</v>
      </c>
      <c r="M45" s="107" t="s">
        <v>152</v>
      </c>
      <c r="N45" s="107" t="s">
        <v>152</v>
      </c>
      <c r="O45" s="107" t="s">
        <v>152</v>
      </c>
      <c r="P45" s="107" t="s">
        <v>152</v>
      </c>
      <c r="Q45" s="107" t="s">
        <v>152</v>
      </c>
      <c r="R45" s="295" t="s">
        <v>152</v>
      </c>
    </row>
    <row r="46" spans="1:18" s="63" customFormat="1" ht="15.6" x14ac:dyDescent="0.3">
      <c r="A46" s="75" t="s">
        <v>33</v>
      </c>
      <c r="B46" s="170" t="s">
        <v>152</v>
      </c>
      <c r="C46" s="67" t="s">
        <v>152</v>
      </c>
      <c r="D46" s="67" t="s">
        <v>152</v>
      </c>
      <c r="E46" s="67" t="s">
        <v>152</v>
      </c>
      <c r="F46" s="67" t="s">
        <v>152</v>
      </c>
      <c r="G46" s="107" t="s">
        <v>152</v>
      </c>
      <c r="H46" s="107" t="s">
        <v>152</v>
      </c>
      <c r="I46" s="107" t="s">
        <v>152</v>
      </c>
      <c r="J46" s="107" t="s">
        <v>152</v>
      </c>
      <c r="K46" s="107" t="s">
        <v>152</v>
      </c>
      <c r="L46" s="107" t="s">
        <v>152</v>
      </c>
      <c r="M46" s="107" t="s">
        <v>152</v>
      </c>
      <c r="N46" s="107" t="s">
        <v>152</v>
      </c>
      <c r="O46" s="107" t="s">
        <v>152</v>
      </c>
      <c r="P46" s="107" t="s">
        <v>152</v>
      </c>
      <c r="Q46" s="271">
        <v>0</v>
      </c>
      <c r="R46" s="295" t="s">
        <v>152</v>
      </c>
    </row>
    <row r="47" spans="1:18" s="63" customFormat="1" ht="15.6" x14ac:dyDescent="0.3">
      <c r="A47" s="75" t="s">
        <v>34</v>
      </c>
      <c r="B47" s="170" t="s">
        <v>152</v>
      </c>
      <c r="C47" s="67" t="s">
        <v>152</v>
      </c>
      <c r="D47" s="67" t="s">
        <v>152</v>
      </c>
      <c r="E47" s="67" t="s">
        <v>152</v>
      </c>
      <c r="F47" s="67" t="s">
        <v>152</v>
      </c>
      <c r="G47" s="107" t="s">
        <v>152</v>
      </c>
      <c r="H47" s="107" t="s">
        <v>152</v>
      </c>
      <c r="I47" s="107" t="s">
        <v>152</v>
      </c>
      <c r="J47" s="107" t="s">
        <v>152</v>
      </c>
      <c r="K47" s="107" t="s">
        <v>152</v>
      </c>
      <c r="L47" s="107" t="s">
        <v>152</v>
      </c>
      <c r="M47" s="107" t="s">
        <v>152</v>
      </c>
      <c r="N47" s="107" t="s">
        <v>152</v>
      </c>
      <c r="O47" s="107" t="s">
        <v>152</v>
      </c>
      <c r="P47" s="107" t="s">
        <v>152</v>
      </c>
      <c r="Q47" s="66">
        <v>0</v>
      </c>
      <c r="R47" s="295" t="s">
        <v>152</v>
      </c>
    </row>
    <row r="48" spans="1:18" s="63" customFormat="1" ht="16.2" thickBot="1" x14ac:dyDescent="0.35">
      <c r="A48" s="88" t="s">
        <v>36</v>
      </c>
      <c r="B48" s="87" t="s">
        <v>152</v>
      </c>
      <c r="C48" s="72" t="s">
        <v>152</v>
      </c>
      <c r="D48" s="72" t="s">
        <v>152</v>
      </c>
      <c r="E48" s="72" t="s">
        <v>152</v>
      </c>
      <c r="F48" s="72" t="s">
        <v>152</v>
      </c>
      <c r="G48" s="192" t="s">
        <v>152</v>
      </c>
      <c r="H48" s="192" t="s">
        <v>152</v>
      </c>
      <c r="I48" s="192" t="s">
        <v>152</v>
      </c>
      <c r="J48" s="192" t="s">
        <v>152</v>
      </c>
      <c r="K48" s="192" t="s">
        <v>152</v>
      </c>
      <c r="L48" s="192" t="s">
        <v>152</v>
      </c>
      <c r="M48" s="192" t="s">
        <v>152</v>
      </c>
      <c r="N48" s="192" t="s">
        <v>152</v>
      </c>
      <c r="O48" s="192" t="s">
        <v>152</v>
      </c>
      <c r="P48" s="192" t="s">
        <v>152</v>
      </c>
      <c r="Q48" s="71">
        <v>-14</v>
      </c>
      <c r="R48" s="292" t="s">
        <v>152</v>
      </c>
    </row>
    <row r="49" spans="1:20" s="63" customFormat="1" ht="16.2" thickTop="1" x14ac:dyDescent="0.3">
      <c r="A49" s="89" t="s">
        <v>37</v>
      </c>
      <c r="B49" s="90" t="s">
        <v>152</v>
      </c>
      <c r="C49" s="73" t="s">
        <v>152</v>
      </c>
      <c r="D49" s="73" t="s">
        <v>152</v>
      </c>
      <c r="E49" s="73" t="s">
        <v>152</v>
      </c>
      <c r="F49" s="73" t="s">
        <v>152</v>
      </c>
      <c r="G49" s="273">
        <f t="shared" ref="G49:R49" si="2">SUM(G37:G48)</f>
        <v>0</v>
      </c>
      <c r="H49" s="273">
        <f t="shared" si="2"/>
        <v>0</v>
      </c>
      <c r="I49" s="273">
        <f t="shared" si="2"/>
        <v>0</v>
      </c>
      <c r="J49" s="273">
        <f t="shared" si="2"/>
        <v>0</v>
      </c>
      <c r="K49" s="273">
        <f t="shared" si="2"/>
        <v>0</v>
      </c>
      <c r="L49" s="273">
        <f t="shared" si="2"/>
        <v>0</v>
      </c>
      <c r="M49" s="273">
        <f t="shared" si="2"/>
        <v>0</v>
      </c>
      <c r="N49" s="273">
        <f t="shared" si="2"/>
        <v>0</v>
      </c>
      <c r="O49" s="273">
        <f t="shared" si="2"/>
        <v>0</v>
      </c>
      <c r="P49" s="273">
        <f t="shared" si="2"/>
        <v>0</v>
      </c>
      <c r="Q49" s="273">
        <f t="shared" si="2"/>
        <v>-14</v>
      </c>
      <c r="R49" s="288">
        <f t="shared" si="2"/>
        <v>-219</v>
      </c>
    </row>
    <row r="50" spans="1:20" s="113" customFormat="1" ht="6.6" x14ac:dyDescent="0.3">
      <c r="A50" s="371" t="s">
        <v>174</v>
      </c>
      <c r="B50" s="371"/>
      <c r="C50" s="371"/>
      <c r="D50" s="371"/>
      <c r="E50" s="371"/>
      <c r="F50" s="371"/>
      <c r="G50" s="371"/>
      <c r="H50" s="371"/>
      <c r="I50" s="371"/>
      <c r="J50" s="371"/>
      <c r="K50" s="371"/>
      <c r="L50" s="371"/>
      <c r="M50" s="371"/>
      <c r="N50" s="371"/>
      <c r="O50" s="371"/>
      <c r="P50" s="371"/>
      <c r="Q50" s="371"/>
      <c r="R50" s="371"/>
    </row>
    <row r="51" spans="1:20" s="111" customFormat="1" ht="13.8" x14ac:dyDescent="0.3">
      <c r="A51" s="373" t="s">
        <v>221</v>
      </c>
      <c r="B51" s="373"/>
      <c r="C51" s="373"/>
      <c r="D51" s="373"/>
      <c r="E51" s="373"/>
      <c r="F51" s="373"/>
      <c r="G51" s="373"/>
      <c r="H51" s="373"/>
      <c r="I51" s="373"/>
      <c r="J51" s="373"/>
      <c r="K51" s="373"/>
      <c r="L51" s="373"/>
      <c r="M51" s="373"/>
      <c r="N51" s="373"/>
      <c r="O51" s="373"/>
      <c r="P51" s="373"/>
      <c r="Q51" s="373"/>
      <c r="R51" s="373"/>
      <c r="S51" s="373"/>
    </row>
    <row r="52" spans="1:20" s="111" customFormat="1" ht="13.8" x14ac:dyDescent="0.3">
      <c r="A52" s="384" t="str">
        <f>'Local SUT'!A60</f>
        <v>Source:  Minnesota Department of Revenue, Tax Research Division, February 2021</v>
      </c>
      <c r="B52" s="384"/>
      <c r="C52" s="384"/>
      <c r="D52" s="384"/>
      <c r="E52" s="384"/>
      <c r="F52" s="384"/>
      <c r="G52" s="384"/>
      <c r="H52" s="384"/>
      <c r="I52" s="384"/>
      <c r="J52" s="384"/>
      <c r="K52" s="384"/>
      <c r="L52" s="384"/>
      <c r="M52" s="384"/>
      <c r="N52" s="384"/>
      <c r="O52" s="384"/>
      <c r="P52" s="384"/>
      <c r="Q52" s="384"/>
      <c r="R52" s="384"/>
      <c r="S52" s="384"/>
      <c r="T52" s="384"/>
    </row>
    <row r="53" spans="1:20" s="111" customFormat="1" ht="13.8" x14ac:dyDescent="0.3">
      <c r="A53" s="379" t="s">
        <v>151</v>
      </c>
      <c r="B53" s="379"/>
      <c r="C53" s="379"/>
      <c r="D53" s="379"/>
      <c r="E53" s="379"/>
      <c r="F53" s="379"/>
      <c r="G53" s="379"/>
      <c r="H53" s="379"/>
      <c r="I53" s="379"/>
      <c r="J53" s="379"/>
      <c r="K53" s="379"/>
      <c r="L53" s="379"/>
      <c r="M53" s="379"/>
      <c r="N53" s="379"/>
      <c r="O53" s="379"/>
      <c r="P53" s="379"/>
      <c r="Q53" s="379"/>
      <c r="R53" s="379"/>
    </row>
    <row r="54" spans="1:20" x14ac:dyDescent="0.3">
      <c r="R54" s="117"/>
    </row>
  </sheetData>
  <mergeCells count="11">
    <mergeCell ref="A34:R34"/>
    <mergeCell ref="A1:T1"/>
    <mergeCell ref="A2:R2"/>
    <mergeCell ref="A3:R3"/>
    <mergeCell ref="A18:R18"/>
    <mergeCell ref="A19:R19"/>
    <mergeCell ref="A35:R35"/>
    <mergeCell ref="A50:R50"/>
    <mergeCell ref="A51:S51"/>
    <mergeCell ref="A52:T52"/>
    <mergeCell ref="A53:R53"/>
  </mergeCells>
  <pageMargins left="0.5" right="0" top="0.75" bottom="0.75" header="0.3" footer="0.3"/>
  <pageSetup scale="86"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581C0-2B6C-4564-BBE1-292F76456298}">
  <sheetPr codeName="Sheet46">
    <pageSetUpPr fitToPage="1"/>
  </sheetPr>
  <dimension ref="A1:V54"/>
  <sheetViews>
    <sheetView showGridLines="0" zoomScaleNormal="100" workbookViewId="0">
      <pane ySplit="1" topLeftCell="A2" activePane="bottomLeft" state="frozen"/>
      <selection pane="bottomLeft" sqref="A1:V1"/>
    </sheetView>
  </sheetViews>
  <sheetFormatPr defaultColWidth="12.5546875" defaultRowHeight="14.4" x14ac:dyDescent="0.3"/>
  <cols>
    <col min="1" max="1" width="12.5546875" style="180" customWidth="1"/>
    <col min="2" max="17" width="13.5546875" style="173" hidden="1" customWidth="1"/>
    <col min="18" max="18" width="13.5546875" style="145" customWidth="1"/>
    <col min="19" max="16384" width="12.5546875" style="173"/>
  </cols>
  <sheetData>
    <row r="1" spans="1:22" s="112" customFormat="1" ht="21" x14ac:dyDescent="0.3">
      <c r="A1" s="380" t="s">
        <v>264</v>
      </c>
      <c r="B1" s="380"/>
      <c r="C1" s="380"/>
      <c r="D1" s="380"/>
      <c r="E1" s="380"/>
      <c r="F1" s="380"/>
      <c r="G1" s="380"/>
      <c r="H1" s="380"/>
      <c r="I1" s="380"/>
      <c r="J1" s="380"/>
      <c r="K1" s="380"/>
      <c r="L1" s="380"/>
      <c r="M1" s="380"/>
      <c r="N1" s="380"/>
      <c r="O1" s="380"/>
      <c r="P1" s="380"/>
      <c r="Q1" s="380"/>
      <c r="R1" s="380"/>
      <c r="S1" s="380"/>
      <c r="T1" s="380"/>
      <c r="U1" s="380"/>
      <c r="V1" s="380"/>
    </row>
    <row r="2" spans="1:22" s="106" customFormat="1" ht="18" x14ac:dyDescent="0.3">
      <c r="A2" s="381" t="str">
        <f>'Local SUT'!A2</f>
        <v>CY 2004-2020</v>
      </c>
      <c r="B2" s="381"/>
      <c r="C2" s="381"/>
      <c r="D2" s="381"/>
      <c r="E2" s="381"/>
      <c r="F2" s="381"/>
      <c r="G2" s="381"/>
      <c r="H2" s="381"/>
      <c r="I2" s="381"/>
      <c r="J2" s="381"/>
      <c r="K2" s="381"/>
      <c r="L2" s="381"/>
      <c r="M2" s="381"/>
      <c r="N2" s="381"/>
      <c r="O2" s="381"/>
      <c r="P2" s="381"/>
      <c r="Q2" s="381"/>
      <c r="R2" s="381"/>
    </row>
    <row r="3" spans="1:22" s="106" customFormat="1" ht="18" x14ac:dyDescent="0.3">
      <c r="A3" s="385" t="s">
        <v>265</v>
      </c>
      <c r="B3" s="385"/>
      <c r="C3" s="385"/>
      <c r="D3" s="385"/>
      <c r="E3" s="385"/>
      <c r="F3" s="385"/>
      <c r="G3" s="385"/>
      <c r="H3" s="385"/>
      <c r="I3" s="385"/>
      <c r="J3" s="385"/>
      <c r="K3" s="385"/>
      <c r="L3" s="385"/>
      <c r="M3" s="385"/>
      <c r="N3" s="385"/>
      <c r="O3" s="385"/>
      <c r="P3" s="385"/>
      <c r="Q3" s="385"/>
      <c r="R3" s="385"/>
      <c r="S3" s="385"/>
    </row>
    <row r="4" spans="1:22" s="63" customFormat="1" ht="15.6" x14ac:dyDescent="0.3">
      <c r="A4" s="77" t="s">
        <v>23</v>
      </c>
      <c r="B4" s="91">
        <v>2004</v>
      </c>
      <c r="C4" s="64">
        <v>2005</v>
      </c>
      <c r="D4" s="64">
        <v>2006</v>
      </c>
      <c r="E4" s="64">
        <v>2007</v>
      </c>
      <c r="F4" s="64">
        <v>2008</v>
      </c>
      <c r="G4" s="64">
        <v>2009</v>
      </c>
      <c r="H4" s="64">
        <v>2010</v>
      </c>
      <c r="I4" s="64">
        <v>2011</v>
      </c>
      <c r="J4" s="65">
        <v>2012</v>
      </c>
      <c r="K4" s="65">
        <v>2013</v>
      </c>
      <c r="L4" s="65">
        <v>2014</v>
      </c>
      <c r="M4" s="65">
        <v>2015</v>
      </c>
      <c r="N4" s="65">
        <v>2016</v>
      </c>
      <c r="O4" s="65">
        <v>2017</v>
      </c>
      <c r="P4" s="65">
        <v>2018</v>
      </c>
      <c r="Q4" s="336">
        <v>2019</v>
      </c>
      <c r="R4" s="337">
        <v>2020</v>
      </c>
    </row>
    <row r="5" spans="1:22" s="63" customFormat="1" ht="15.6" x14ac:dyDescent="0.3">
      <c r="A5" s="76" t="s">
        <v>24</v>
      </c>
      <c r="B5" s="108" t="s">
        <v>152</v>
      </c>
      <c r="C5" s="107" t="s">
        <v>152</v>
      </c>
      <c r="D5" s="107" t="s">
        <v>152</v>
      </c>
      <c r="E5" s="107" t="s">
        <v>152</v>
      </c>
      <c r="F5" s="107" t="s">
        <v>152</v>
      </c>
      <c r="G5" s="107" t="s">
        <v>152</v>
      </c>
      <c r="H5" s="107" t="s">
        <v>152</v>
      </c>
      <c r="I5" s="107" t="s">
        <v>152</v>
      </c>
      <c r="J5" s="107" t="s">
        <v>152</v>
      </c>
      <c r="K5" s="107" t="s">
        <v>152</v>
      </c>
      <c r="L5" s="107" t="s">
        <v>152</v>
      </c>
      <c r="M5" s="107" t="s">
        <v>152</v>
      </c>
      <c r="N5" s="107" t="s">
        <v>152</v>
      </c>
      <c r="O5" s="107" t="s">
        <v>152</v>
      </c>
      <c r="P5" s="107" t="s">
        <v>152</v>
      </c>
      <c r="Q5" s="107" t="s">
        <v>152</v>
      </c>
      <c r="R5" s="286">
        <v>0</v>
      </c>
    </row>
    <row r="6" spans="1:22" s="63" customFormat="1" ht="15.6" x14ac:dyDescent="0.3">
      <c r="A6" s="75" t="s">
        <v>25</v>
      </c>
      <c r="B6" s="170" t="s">
        <v>152</v>
      </c>
      <c r="C6" s="67" t="s">
        <v>152</v>
      </c>
      <c r="D6" s="67" t="s">
        <v>152</v>
      </c>
      <c r="E6" s="67" t="s">
        <v>152</v>
      </c>
      <c r="F6" s="67" t="s">
        <v>152</v>
      </c>
      <c r="G6" s="107" t="s">
        <v>152</v>
      </c>
      <c r="H6" s="107" t="s">
        <v>152</v>
      </c>
      <c r="I6" s="107" t="s">
        <v>152</v>
      </c>
      <c r="J6" s="107" t="s">
        <v>152</v>
      </c>
      <c r="K6" s="107" t="s">
        <v>152</v>
      </c>
      <c r="L6" s="107" t="s">
        <v>152</v>
      </c>
      <c r="M6" s="107" t="s">
        <v>152</v>
      </c>
      <c r="N6" s="107" t="s">
        <v>152</v>
      </c>
      <c r="O6" s="107" t="s">
        <v>152</v>
      </c>
      <c r="P6" s="107" t="s">
        <v>152</v>
      </c>
      <c r="Q6" s="107" t="s">
        <v>152</v>
      </c>
      <c r="R6" s="287">
        <v>15639</v>
      </c>
    </row>
    <row r="7" spans="1:22" s="63" customFormat="1" ht="15.6" x14ac:dyDescent="0.3">
      <c r="A7" s="75" t="s">
        <v>26</v>
      </c>
      <c r="B7" s="170" t="s">
        <v>152</v>
      </c>
      <c r="C7" s="67" t="s">
        <v>152</v>
      </c>
      <c r="D7" s="67" t="s">
        <v>152</v>
      </c>
      <c r="E7" s="67" t="s">
        <v>152</v>
      </c>
      <c r="F7" s="67" t="s">
        <v>152</v>
      </c>
      <c r="G7" s="107" t="s">
        <v>152</v>
      </c>
      <c r="H7" s="107" t="s">
        <v>152</v>
      </c>
      <c r="I7" s="107" t="s">
        <v>152</v>
      </c>
      <c r="J7" s="107" t="s">
        <v>152</v>
      </c>
      <c r="K7" s="107" t="s">
        <v>152</v>
      </c>
      <c r="L7" s="107" t="s">
        <v>152</v>
      </c>
      <c r="M7" s="107" t="s">
        <v>152</v>
      </c>
      <c r="N7" s="107" t="s">
        <v>152</v>
      </c>
      <c r="O7" s="107" t="s">
        <v>152</v>
      </c>
      <c r="P7" s="107" t="s">
        <v>152</v>
      </c>
      <c r="Q7" s="107" t="s">
        <v>152</v>
      </c>
      <c r="R7" s="287">
        <v>14234</v>
      </c>
    </row>
    <row r="8" spans="1:22" s="63" customFormat="1" ht="15.6" x14ac:dyDescent="0.3">
      <c r="A8" s="75" t="s">
        <v>27</v>
      </c>
      <c r="B8" s="170" t="s">
        <v>152</v>
      </c>
      <c r="C8" s="67" t="s">
        <v>152</v>
      </c>
      <c r="D8" s="67" t="s">
        <v>152</v>
      </c>
      <c r="E8" s="67" t="s">
        <v>152</v>
      </c>
      <c r="F8" s="67" t="s">
        <v>152</v>
      </c>
      <c r="G8" s="107" t="s">
        <v>152</v>
      </c>
      <c r="H8" s="107" t="s">
        <v>152</v>
      </c>
      <c r="I8" s="107" t="s">
        <v>152</v>
      </c>
      <c r="J8" s="107" t="s">
        <v>152</v>
      </c>
      <c r="K8" s="107" t="s">
        <v>152</v>
      </c>
      <c r="L8" s="107" t="s">
        <v>152</v>
      </c>
      <c r="M8" s="107" t="s">
        <v>152</v>
      </c>
      <c r="N8" s="107" t="s">
        <v>152</v>
      </c>
      <c r="O8" s="107" t="s">
        <v>152</v>
      </c>
      <c r="P8" s="107" t="s">
        <v>152</v>
      </c>
      <c r="Q8" s="107" t="s">
        <v>152</v>
      </c>
      <c r="R8" s="287">
        <v>16062</v>
      </c>
    </row>
    <row r="9" spans="1:22" s="63" customFormat="1" ht="15.6" x14ac:dyDescent="0.3">
      <c r="A9" s="75" t="s">
        <v>28</v>
      </c>
      <c r="B9" s="170" t="s">
        <v>152</v>
      </c>
      <c r="C9" s="67" t="s">
        <v>152</v>
      </c>
      <c r="D9" s="67" t="s">
        <v>152</v>
      </c>
      <c r="E9" s="67" t="s">
        <v>152</v>
      </c>
      <c r="F9" s="67" t="s">
        <v>152</v>
      </c>
      <c r="G9" s="107" t="s">
        <v>152</v>
      </c>
      <c r="H9" s="107" t="s">
        <v>152</v>
      </c>
      <c r="I9" s="107" t="s">
        <v>152</v>
      </c>
      <c r="J9" s="107" t="s">
        <v>152</v>
      </c>
      <c r="K9" s="107" t="s">
        <v>152</v>
      </c>
      <c r="L9" s="107" t="s">
        <v>152</v>
      </c>
      <c r="M9" s="107" t="s">
        <v>152</v>
      </c>
      <c r="N9" s="107" t="s">
        <v>152</v>
      </c>
      <c r="O9" s="107" t="s">
        <v>152</v>
      </c>
      <c r="P9" s="107" t="s">
        <v>152</v>
      </c>
      <c r="Q9" s="107" t="s">
        <v>152</v>
      </c>
      <c r="R9" s="287">
        <v>15179</v>
      </c>
    </row>
    <row r="10" spans="1:22" s="63" customFormat="1" ht="15.6" x14ac:dyDescent="0.3">
      <c r="A10" s="75" t="s">
        <v>29</v>
      </c>
      <c r="B10" s="170" t="s">
        <v>152</v>
      </c>
      <c r="C10" s="67" t="s">
        <v>152</v>
      </c>
      <c r="D10" s="67" t="s">
        <v>152</v>
      </c>
      <c r="E10" s="67" t="s">
        <v>152</v>
      </c>
      <c r="F10" s="67" t="s">
        <v>152</v>
      </c>
      <c r="G10" s="107" t="s">
        <v>152</v>
      </c>
      <c r="H10" s="107" t="s">
        <v>152</v>
      </c>
      <c r="I10" s="107" t="s">
        <v>152</v>
      </c>
      <c r="J10" s="107" t="s">
        <v>152</v>
      </c>
      <c r="K10" s="107" t="s">
        <v>152</v>
      </c>
      <c r="L10" s="107" t="s">
        <v>152</v>
      </c>
      <c r="M10" s="107" t="s">
        <v>152</v>
      </c>
      <c r="N10" s="107" t="s">
        <v>152</v>
      </c>
      <c r="O10" s="107" t="s">
        <v>152</v>
      </c>
      <c r="P10" s="107" t="s">
        <v>152</v>
      </c>
      <c r="Q10" s="107" t="s">
        <v>152</v>
      </c>
      <c r="R10" s="287">
        <v>17293</v>
      </c>
    </row>
    <row r="11" spans="1:22" s="63" customFormat="1" ht="15.6" x14ac:dyDescent="0.3">
      <c r="A11" s="75" t="s">
        <v>30</v>
      </c>
      <c r="B11" s="170" t="s">
        <v>152</v>
      </c>
      <c r="C11" s="67" t="s">
        <v>152</v>
      </c>
      <c r="D11" s="67" t="s">
        <v>152</v>
      </c>
      <c r="E11" s="67" t="s">
        <v>152</v>
      </c>
      <c r="F11" s="67" t="s">
        <v>152</v>
      </c>
      <c r="G11" s="107" t="s">
        <v>152</v>
      </c>
      <c r="H11" s="107" t="s">
        <v>152</v>
      </c>
      <c r="I11" s="107" t="s">
        <v>152</v>
      </c>
      <c r="J11" s="107" t="s">
        <v>152</v>
      </c>
      <c r="K11" s="107" t="s">
        <v>152</v>
      </c>
      <c r="L11" s="107" t="s">
        <v>152</v>
      </c>
      <c r="M11" s="107" t="s">
        <v>152</v>
      </c>
      <c r="N11" s="107" t="s">
        <v>152</v>
      </c>
      <c r="O11" s="107" t="s">
        <v>152</v>
      </c>
      <c r="P11" s="107" t="s">
        <v>152</v>
      </c>
      <c r="Q11" s="107" t="s">
        <v>152</v>
      </c>
      <c r="R11" s="291" t="s">
        <v>152</v>
      </c>
    </row>
    <row r="12" spans="1:22" s="63" customFormat="1" ht="15.6" x14ac:dyDescent="0.3">
      <c r="A12" s="75" t="s">
        <v>31</v>
      </c>
      <c r="B12" s="170" t="s">
        <v>152</v>
      </c>
      <c r="C12" s="67" t="s">
        <v>152</v>
      </c>
      <c r="D12" s="67" t="s">
        <v>152</v>
      </c>
      <c r="E12" s="67" t="s">
        <v>152</v>
      </c>
      <c r="F12" s="67" t="s">
        <v>152</v>
      </c>
      <c r="G12" s="107" t="s">
        <v>152</v>
      </c>
      <c r="H12" s="107" t="s">
        <v>152</v>
      </c>
      <c r="I12" s="107" t="s">
        <v>152</v>
      </c>
      <c r="J12" s="107" t="s">
        <v>152</v>
      </c>
      <c r="K12" s="107" t="s">
        <v>152</v>
      </c>
      <c r="L12" s="107" t="s">
        <v>152</v>
      </c>
      <c r="M12" s="107" t="s">
        <v>152</v>
      </c>
      <c r="N12" s="107" t="s">
        <v>152</v>
      </c>
      <c r="O12" s="107" t="s">
        <v>152</v>
      </c>
      <c r="P12" s="107" t="s">
        <v>152</v>
      </c>
      <c r="Q12" s="174" t="s">
        <v>152</v>
      </c>
      <c r="R12" s="295" t="s">
        <v>152</v>
      </c>
    </row>
    <row r="13" spans="1:22" s="63" customFormat="1" ht="15.6" x14ac:dyDescent="0.3">
      <c r="A13" s="75" t="s">
        <v>32</v>
      </c>
      <c r="B13" s="170" t="s">
        <v>152</v>
      </c>
      <c r="C13" s="67" t="s">
        <v>152</v>
      </c>
      <c r="D13" s="67" t="s">
        <v>152</v>
      </c>
      <c r="E13" s="67" t="s">
        <v>152</v>
      </c>
      <c r="F13" s="67" t="s">
        <v>152</v>
      </c>
      <c r="G13" s="107" t="s">
        <v>152</v>
      </c>
      <c r="H13" s="107" t="s">
        <v>152</v>
      </c>
      <c r="I13" s="107" t="s">
        <v>152</v>
      </c>
      <c r="J13" s="107" t="s">
        <v>152</v>
      </c>
      <c r="K13" s="107" t="s">
        <v>152</v>
      </c>
      <c r="L13" s="107" t="s">
        <v>152</v>
      </c>
      <c r="M13" s="107" t="s">
        <v>152</v>
      </c>
      <c r="N13" s="107" t="s">
        <v>152</v>
      </c>
      <c r="O13" s="107" t="s">
        <v>152</v>
      </c>
      <c r="P13" s="107" t="s">
        <v>152</v>
      </c>
      <c r="Q13" s="107" t="s">
        <v>152</v>
      </c>
      <c r="R13" s="295" t="s">
        <v>152</v>
      </c>
    </row>
    <row r="14" spans="1:22" s="63" customFormat="1" ht="15.6" x14ac:dyDescent="0.3">
      <c r="A14" s="75" t="s">
        <v>33</v>
      </c>
      <c r="B14" s="170" t="s">
        <v>152</v>
      </c>
      <c r="C14" s="67" t="s">
        <v>152</v>
      </c>
      <c r="D14" s="67" t="s">
        <v>152</v>
      </c>
      <c r="E14" s="67" t="s">
        <v>152</v>
      </c>
      <c r="F14" s="67" t="s">
        <v>152</v>
      </c>
      <c r="G14" s="107" t="s">
        <v>152</v>
      </c>
      <c r="H14" s="107" t="s">
        <v>152</v>
      </c>
      <c r="I14" s="107" t="s">
        <v>152</v>
      </c>
      <c r="J14" s="107" t="s">
        <v>152</v>
      </c>
      <c r="K14" s="107" t="s">
        <v>152</v>
      </c>
      <c r="L14" s="107" t="s">
        <v>152</v>
      </c>
      <c r="M14" s="107" t="s">
        <v>152</v>
      </c>
      <c r="N14" s="107" t="s">
        <v>152</v>
      </c>
      <c r="O14" s="107" t="s">
        <v>152</v>
      </c>
      <c r="P14" s="107" t="s">
        <v>152</v>
      </c>
      <c r="Q14" s="107" t="s">
        <v>152</v>
      </c>
      <c r="R14" s="295" t="s">
        <v>152</v>
      </c>
    </row>
    <row r="15" spans="1:22" s="63" customFormat="1" ht="15.6" x14ac:dyDescent="0.3">
      <c r="A15" s="75" t="s">
        <v>34</v>
      </c>
      <c r="B15" s="170" t="s">
        <v>152</v>
      </c>
      <c r="C15" s="67" t="s">
        <v>152</v>
      </c>
      <c r="D15" s="67" t="s">
        <v>152</v>
      </c>
      <c r="E15" s="67" t="s">
        <v>152</v>
      </c>
      <c r="F15" s="67" t="s">
        <v>152</v>
      </c>
      <c r="G15" s="107" t="s">
        <v>152</v>
      </c>
      <c r="H15" s="107" t="s">
        <v>152</v>
      </c>
      <c r="I15" s="107" t="s">
        <v>152</v>
      </c>
      <c r="J15" s="107" t="s">
        <v>152</v>
      </c>
      <c r="K15" s="107" t="s">
        <v>152</v>
      </c>
      <c r="L15" s="107" t="s">
        <v>152</v>
      </c>
      <c r="M15" s="107" t="s">
        <v>152</v>
      </c>
      <c r="N15" s="107" t="s">
        <v>152</v>
      </c>
      <c r="O15" s="107" t="s">
        <v>152</v>
      </c>
      <c r="P15" s="107" t="s">
        <v>152</v>
      </c>
      <c r="Q15" s="107" t="s">
        <v>152</v>
      </c>
      <c r="R15" s="295" t="s">
        <v>152</v>
      </c>
    </row>
    <row r="16" spans="1:22" s="63" customFormat="1" ht="16.2" thickBot="1" x14ac:dyDescent="0.35">
      <c r="A16" s="88" t="s">
        <v>36</v>
      </c>
      <c r="B16" s="87" t="s">
        <v>152</v>
      </c>
      <c r="C16" s="72" t="s">
        <v>152</v>
      </c>
      <c r="D16" s="72" t="s">
        <v>152</v>
      </c>
      <c r="E16" s="72" t="s">
        <v>152</v>
      </c>
      <c r="F16" s="72" t="s">
        <v>152</v>
      </c>
      <c r="G16" s="192" t="s">
        <v>152</v>
      </c>
      <c r="H16" s="192" t="s">
        <v>152</v>
      </c>
      <c r="I16" s="192" t="s">
        <v>152</v>
      </c>
      <c r="J16" s="192" t="s">
        <v>152</v>
      </c>
      <c r="K16" s="192" t="s">
        <v>152</v>
      </c>
      <c r="L16" s="192" t="s">
        <v>152</v>
      </c>
      <c r="M16" s="192" t="s">
        <v>152</v>
      </c>
      <c r="N16" s="192" t="s">
        <v>152</v>
      </c>
      <c r="O16" s="192" t="s">
        <v>152</v>
      </c>
      <c r="P16" s="192" t="s">
        <v>152</v>
      </c>
      <c r="Q16" s="192" t="s">
        <v>152</v>
      </c>
      <c r="R16" s="292" t="s">
        <v>152</v>
      </c>
    </row>
    <row r="17" spans="1:19" s="63" customFormat="1" ht="16.2" thickTop="1" x14ac:dyDescent="0.3">
      <c r="A17" s="89" t="s">
        <v>37</v>
      </c>
      <c r="B17" s="90" t="s">
        <v>152</v>
      </c>
      <c r="C17" s="73" t="s">
        <v>152</v>
      </c>
      <c r="D17" s="73" t="s">
        <v>152</v>
      </c>
      <c r="E17" s="73" t="s">
        <v>152</v>
      </c>
      <c r="F17" s="73" t="s">
        <v>152</v>
      </c>
      <c r="G17" s="273">
        <f t="shared" ref="G17:R17" si="0">SUM(G5:G16)</f>
        <v>0</v>
      </c>
      <c r="H17" s="273">
        <f t="shared" si="0"/>
        <v>0</v>
      </c>
      <c r="I17" s="273">
        <f t="shared" si="0"/>
        <v>0</v>
      </c>
      <c r="J17" s="273">
        <f t="shared" si="0"/>
        <v>0</v>
      </c>
      <c r="K17" s="273">
        <f t="shared" si="0"/>
        <v>0</v>
      </c>
      <c r="L17" s="273">
        <f t="shared" si="0"/>
        <v>0</v>
      </c>
      <c r="M17" s="273">
        <f t="shared" si="0"/>
        <v>0</v>
      </c>
      <c r="N17" s="273">
        <f t="shared" si="0"/>
        <v>0</v>
      </c>
      <c r="O17" s="273">
        <f t="shared" si="0"/>
        <v>0</v>
      </c>
      <c r="P17" s="273">
        <f t="shared" si="0"/>
        <v>0</v>
      </c>
      <c r="Q17" s="273">
        <f t="shared" si="0"/>
        <v>0</v>
      </c>
      <c r="R17" s="288">
        <f t="shared" si="0"/>
        <v>78407</v>
      </c>
    </row>
    <row r="18" spans="1:19" s="113" customFormat="1" ht="6.6" x14ac:dyDescent="0.3">
      <c r="A18" s="371" t="s">
        <v>174</v>
      </c>
      <c r="B18" s="371"/>
      <c r="C18" s="371"/>
      <c r="D18" s="371"/>
      <c r="E18" s="371"/>
      <c r="F18" s="371"/>
      <c r="G18" s="371"/>
      <c r="H18" s="371"/>
      <c r="I18" s="371"/>
      <c r="J18" s="371"/>
      <c r="K18" s="371"/>
      <c r="L18" s="371"/>
      <c r="M18" s="371"/>
      <c r="N18" s="371"/>
      <c r="O18" s="371"/>
      <c r="P18" s="371"/>
      <c r="Q18" s="371"/>
      <c r="R18" s="371"/>
    </row>
    <row r="19" spans="1:19" s="106" customFormat="1" ht="18" x14ac:dyDescent="0.3">
      <c r="A19" s="396" t="s">
        <v>266</v>
      </c>
      <c r="B19" s="396"/>
      <c r="C19" s="396"/>
      <c r="D19" s="396"/>
      <c r="E19" s="396"/>
      <c r="F19" s="396"/>
      <c r="G19" s="396"/>
      <c r="H19" s="396"/>
      <c r="I19" s="396"/>
      <c r="J19" s="396"/>
      <c r="K19" s="396"/>
      <c r="L19" s="396"/>
      <c r="M19" s="396"/>
      <c r="N19" s="396"/>
      <c r="O19" s="396"/>
      <c r="P19" s="396"/>
      <c r="Q19" s="396"/>
      <c r="R19" s="396"/>
      <c r="S19" s="396"/>
    </row>
    <row r="20" spans="1:19" s="63" customFormat="1" ht="15.6" x14ac:dyDescent="0.3">
      <c r="A20" s="77" t="s">
        <v>23</v>
      </c>
      <c r="B20" s="91">
        <v>2005</v>
      </c>
      <c r="C20" s="64">
        <v>2005</v>
      </c>
      <c r="D20" s="64">
        <v>2006</v>
      </c>
      <c r="E20" s="64">
        <v>2007</v>
      </c>
      <c r="F20" s="64">
        <v>2008</v>
      </c>
      <c r="G20" s="64">
        <v>2009</v>
      </c>
      <c r="H20" s="64">
        <v>2010</v>
      </c>
      <c r="I20" s="64">
        <v>2011</v>
      </c>
      <c r="J20" s="65">
        <v>2012</v>
      </c>
      <c r="K20" s="65">
        <v>2013</v>
      </c>
      <c r="L20" s="65">
        <v>2014</v>
      </c>
      <c r="M20" s="65">
        <v>2015</v>
      </c>
      <c r="N20" s="65">
        <v>2016</v>
      </c>
      <c r="O20" s="65">
        <v>2017</v>
      </c>
      <c r="P20" s="65">
        <v>2018</v>
      </c>
      <c r="Q20" s="336">
        <v>2019</v>
      </c>
      <c r="R20" s="337">
        <v>2020</v>
      </c>
    </row>
    <row r="21" spans="1:19" s="63" customFormat="1" ht="15.6" x14ac:dyDescent="0.3">
      <c r="A21" s="76" t="s">
        <v>24</v>
      </c>
      <c r="B21" s="108" t="s">
        <v>152</v>
      </c>
      <c r="C21" s="107" t="s">
        <v>152</v>
      </c>
      <c r="D21" s="107" t="s">
        <v>152</v>
      </c>
      <c r="E21" s="107" t="s">
        <v>152</v>
      </c>
      <c r="F21" s="107" t="s">
        <v>152</v>
      </c>
      <c r="G21" s="107" t="s">
        <v>152</v>
      </c>
      <c r="H21" s="107" t="s">
        <v>152</v>
      </c>
      <c r="I21" s="107" t="s">
        <v>152</v>
      </c>
      <c r="J21" s="107" t="s">
        <v>152</v>
      </c>
      <c r="K21" s="107" t="s">
        <v>152</v>
      </c>
      <c r="L21" s="107" t="s">
        <v>152</v>
      </c>
      <c r="M21" s="107" t="s">
        <v>152</v>
      </c>
      <c r="N21" s="107" t="s">
        <v>152</v>
      </c>
      <c r="O21" s="107" t="s">
        <v>152</v>
      </c>
      <c r="P21" s="107" t="s">
        <v>152</v>
      </c>
      <c r="Q21" s="107" t="s">
        <v>152</v>
      </c>
      <c r="R21" s="286">
        <v>0</v>
      </c>
    </row>
    <row r="22" spans="1:19" s="63" customFormat="1" ht="15.6" x14ac:dyDescent="0.3">
      <c r="A22" s="75" t="s">
        <v>25</v>
      </c>
      <c r="B22" s="170" t="s">
        <v>152</v>
      </c>
      <c r="C22" s="67" t="s">
        <v>152</v>
      </c>
      <c r="D22" s="67" t="s">
        <v>152</v>
      </c>
      <c r="E22" s="67" t="s">
        <v>152</v>
      </c>
      <c r="F22" s="67" t="s">
        <v>152</v>
      </c>
      <c r="G22" s="107" t="s">
        <v>152</v>
      </c>
      <c r="H22" s="107" t="s">
        <v>152</v>
      </c>
      <c r="I22" s="107" t="s">
        <v>152</v>
      </c>
      <c r="J22" s="107" t="s">
        <v>152</v>
      </c>
      <c r="K22" s="107" t="s">
        <v>152</v>
      </c>
      <c r="L22" s="107" t="s">
        <v>152</v>
      </c>
      <c r="M22" s="107" t="s">
        <v>152</v>
      </c>
      <c r="N22" s="107" t="s">
        <v>152</v>
      </c>
      <c r="O22" s="107" t="s">
        <v>152</v>
      </c>
      <c r="P22" s="107" t="s">
        <v>152</v>
      </c>
      <c r="Q22" s="107" t="s">
        <v>152</v>
      </c>
      <c r="R22" s="287">
        <v>538</v>
      </c>
    </row>
    <row r="23" spans="1:19" s="63" customFormat="1" ht="15.6" x14ac:dyDescent="0.3">
      <c r="A23" s="75" t="s">
        <v>26</v>
      </c>
      <c r="B23" s="170" t="s">
        <v>152</v>
      </c>
      <c r="C23" s="67" t="s">
        <v>152</v>
      </c>
      <c r="D23" s="67" t="s">
        <v>152</v>
      </c>
      <c r="E23" s="67" t="s">
        <v>152</v>
      </c>
      <c r="F23" s="67" t="s">
        <v>152</v>
      </c>
      <c r="G23" s="107" t="s">
        <v>152</v>
      </c>
      <c r="H23" s="107" t="s">
        <v>152</v>
      </c>
      <c r="I23" s="107" t="s">
        <v>152</v>
      </c>
      <c r="J23" s="107" t="s">
        <v>152</v>
      </c>
      <c r="K23" s="107" t="s">
        <v>152</v>
      </c>
      <c r="L23" s="107" t="s">
        <v>152</v>
      </c>
      <c r="M23" s="107" t="s">
        <v>152</v>
      </c>
      <c r="N23" s="107" t="s">
        <v>152</v>
      </c>
      <c r="O23" s="107" t="s">
        <v>152</v>
      </c>
      <c r="P23" s="107" t="s">
        <v>152</v>
      </c>
      <c r="Q23" s="107" t="s">
        <v>152</v>
      </c>
      <c r="R23" s="287">
        <v>802</v>
      </c>
    </row>
    <row r="24" spans="1:19" s="63" customFormat="1" ht="15.6" x14ac:dyDescent="0.3">
      <c r="A24" s="75" t="s">
        <v>27</v>
      </c>
      <c r="B24" s="170" t="s">
        <v>152</v>
      </c>
      <c r="C24" s="67" t="s">
        <v>152</v>
      </c>
      <c r="D24" s="67" t="s">
        <v>152</v>
      </c>
      <c r="E24" s="67" t="s">
        <v>152</v>
      </c>
      <c r="F24" s="67" t="s">
        <v>152</v>
      </c>
      <c r="G24" s="107" t="s">
        <v>152</v>
      </c>
      <c r="H24" s="107" t="s">
        <v>152</v>
      </c>
      <c r="I24" s="107" t="s">
        <v>152</v>
      </c>
      <c r="J24" s="107" t="s">
        <v>152</v>
      </c>
      <c r="K24" s="107" t="s">
        <v>152</v>
      </c>
      <c r="L24" s="107" t="s">
        <v>152</v>
      </c>
      <c r="M24" s="107" t="s">
        <v>152</v>
      </c>
      <c r="N24" s="107" t="s">
        <v>152</v>
      </c>
      <c r="O24" s="107" t="s">
        <v>152</v>
      </c>
      <c r="P24" s="107" t="s">
        <v>152</v>
      </c>
      <c r="Q24" s="107" t="s">
        <v>152</v>
      </c>
      <c r="R24" s="287">
        <v>635</v>
      </c>
    </row>
    <row r="25" spans="1:19" s="63" customFormat="1" ht="15.6" x14ac:dyDescent="0.3">
      <c r="A25" s="75" t="s">
        <v>28</v>
      </c>
      <c r="B25" s="170" t="s">
        <v>152</v>
      </c>
      <c r="C25" s="67" t="s">
        <v>152</v>
      </c>
      <c r="D25" s="67" t="s">
        <v>152</v>
      </c>
      <c r="E25" s="67" t="s">
        <v>152</v>
      </c>
      <c r="F25" s="67" t="s">
        <v>152</v>
      </c>
      <c r="G25" s="107" t="s">
        <v>152</v>
      </c>
      <c r="H25" s="107" t="s">
        <v>152</v>
      </c>
      <c r="I25" s="107" t="s">
        <v>152</v>
      </c>
      <c r="J25" s="107" t="s">
        <v>152</v>
      </c>
      <c r="K25" s="107" t="s">
        <v>152</v>
      </c>
      <c r="L25" s="107" t="s">
        <v>152</v>
      </c>
      <c r="M25" s="107" t="s">
        <v>152</v>
      </c>
      <c r="N25" s="107" t="s">
        <v>152</v>
      </c>
      <c r="O25" s="107" t="s">
        <v>152</v>
      </c>
      <c r="P25" s="107" t="s">
        <v>152</v>
      </c>
      <c r="Q25" s="107" t="s">
        <v>152</v>
      </c>
      <c r="R25" s="287">
        <v>1061</v>
      </c>
    </row>
    <row r="26" spans="1:19" s="63" customFormat="1" ht="15.6" x14ac:dyDescent="0.3">
      <c r="A26" s="75" t="s">
        <v>29</v>
      </c>
      <c r="B26" s="170" t="s">
        <v>152</v>
      </c>
      <c r="C26" s="67" t="s">
        <v>152</v>
      </c>
      <c r="D26" s="67" t="s">
        <v>152</v>
      </c>
      <c r="E26" s="67" t="s">
        <v>152</v>
      </c>
      <c r="F26" s="67" t="s">
        <v>152</v>
      </c>
      <c r="G26" s="107" t="s">
        <v>152</v>
      </c>
      <c r="H26" s="107" t="s">
        <v>152</v>
      </c>
      <c r="I26" s="107" t="s">
        <v>152</v>
      </c>
      <c r="J26" s="107" t="s">
        <v>152</v>
      </c>
      <c r="K26" s="107" t="s">
        <v>152</v>
      </c>
      <c r="L26" s="107" t="s">
        <v>152</v>
      </c>
      <c r="M26" s="107" t="s">
        <v>152</v>
      </c>
      <c r="N26" s="107" t="s">
        <v>152</v>
      </c>
      <c r="O26" s="107" t="s">
        <v>152</v>
      </c>
      <c r="P26" s="107" t="s">
        <v>152</v>
      </c>
      <c r="Q26" s="107" t="s">
        <v>152</v>
      </c>
      <c r="R26" s="287">
        <v>348</v>
      </c>
    </row>
    <row r="27" spans="1:19" s="63" customFormat="1" ht="15.6" x14ac:dyDescent="0.3">
      <c r="A27" s="75" t="s">
        <v>30</v>
      </c>
      <c r="B27" s="170" t="s">
        <v>152</v>
      </c>
      <c r="C27" s="67" t="s">
        <v>152</v>
      </c>
      <c r="D27" s="67" t="s">
        <v>152</v>
      </c>
      <c r="E27" s="67" t="s">
        <v>152</v>
      </c>
      <c r="F27" s="67" t="s">
        <v>152</v>
      </c>
      <c r="G27" s="107" t="s">
        <v>152</v>
      </c>
      <c r="H27" s="107" t="s">
        <v>152</v>
      </c>
      <c r="I27" s="107" t="s">
        <v>152</v>
      </c>
      <c r="J27" s="107" t="s">
        <v>152</v>
      </c>
      <c r="K27" s="107" t="s">
        <v>152</v>
      </c>
      <c r="L27" s="107" t="s">
        <v>152</v>
      </c>
      <c r="M27" s="107" t="s">
        <v>152</v>
      </c>
      <c r="N27" s="107" t="s">
        <v>152</v>
      </c>
      <c r="O27" s="107" t="s">
        <v>152</v>
      </c>
      <c r="P27" s="107" t="s">
        <v>152</v>
      </c>
      <c r="Q27" s="174" t="s">
        <v>152</v>
      </c>
      <c r="R27" s="291" t="s">
        <v>152</v>
      </c>
    </row>
    <row r="28" spans="1:19" s="63" customFormat="1" ht="15.6" x14ac:dyDescent="0.3">
      <c r="A28" s="75" t="s">
        <v>31</v>
      </c>
      <c r="B28" s="170" t="s">
        <v>152</v>
      </c>
      <c r="C28" s="67" t="s">
        <v>152</v>
      </c>
      <c r="D28" s="67" t="s">
        <v>152</v>
      </c>
      <c r="E28" s="67" t="s">
        <v>152</v>
      </c>
      <c r="F28" s="67" t="s">
        <v>152</v>
      </c>
      <c r="G28" s="107" t="s">
        <v>152</v>
      </c>
      <c r="H28" s="107" t="s">
        <v>152</v>
      </c>
      <c r="I28" s="107" t="s">
        <v>152</v>
      </c>
      <c r="J28" s="107" t="s">
        <v>152</v>
      </c>
      <c r="K28" s="107" t="s">
        <v>152</v>
      </c>
      <c r="L28" s="107" t="s">
        <v>152</v>
      </c>
      <c r="M28" s="107" t="s">
        <v>152</v>
      </c>
      <c r="N28" s="107" t="s">
        <v>152</v>
      </c>
      <c r="O28" s="107" t="s">
        <v>152</v>
      </c>
      <c r="P28" s="107" t="s">
        <v>152</v>
      </c>
      <c r="Q28" s="107" t="s">
        <v>152</v>
      </c>
      <c r="R28" s="295" t="s">
        <v>152</v>
      </c>
    </row>
    <row r="29" spans="1:19" s="63" customFormat="1" ht="15.6" x14ac:dyDescent="0.3">
      <c r="A29" s="75" t="s">
        <v>32</v>
      </c>
      <c r="B29" s="170" t="s">
        <v>152</v>
      </c>
      <c r="C29" s="67" t="s">
        <v>152</v>
      </c>
      <c r="D29" s="67" t="s">
        <v>152</v>
      </c>
      <c r="E29" s="67" t="s">
        <v>152</v>
      </c>
      <c r="F29" s="67" t="s">
        <v>152</v>
      </c>
      <c r="G29" s="107" t="s">
        <v>152</v>
      </c>
      <c r="H29" s="107" t="s">
        <v>152</v>
      </c>
      <c r="I29" s="107" t="s">
        <v>152</v>
      </c>
      <c r="J29" s="107" t="s">
        <v>152</v>
      </c>
      <c r="K29" s="107" t="s">
        <v>152</v>
      </c>
      <c r="L29" s="107" t="s">
        <v>152</v>
      </c>
      <c r="M29" s="107" t="s">
        <v>152</v>
      </c>
      <c r="N29" s="107" t="s">
        <v>152</v>
      </c>
      <c r="O29" s="107" t="s">
        <v>152</v>
      </c>
      <c r="P29" s="107" t="s">
        <v>152</v>
      </c>
      <c r="Q29" s="107" t="s">
        <v>152</v>
      </c>
      <c r="R29" s="295" t="s">
        <v>152</v>
      </c>
    </row>
    <row r="30" spans="1:19" s="63" customFormat="1" ht="15.6" x14ac:dyDescent="0.3">
      <c r="A30" s="75" t="s">
        <v>33</v>
      </c>
      <c r="B30" s="170" t="s">
        <v>152</v>
      </c>
      <c r="C30" s="67" t="s">
        <v>152</v>
      </c>
      <c r="D30" s="67" t="s">
        <v>152</v>
      </c>
      <c r="E30" s="67" t="s">
        <v>152</v>
      </c>
      <c r="F30" s="67" t="s">
        <v>152</v>
      </c>
      <c r="G30" s="107" t="s">
        <v>152</v>
      </c>
      <c r="H30" s="107" t="s">
        <v>152</v>
      </c>
      <c r="I30" s="107" t="s">
        <v>152</v>
      </c>
      <c r="J30" s="107" t="s">
        <v>152</v>
      </c>
      <c r="K30" s="107" t="s">
        <v>152</v>
      </c>
      <c r="L30" s="107" t="s">
        <v>152</v>
      </c>
      <c r="M30" s="107" t="s">
        <v>152</v>
      </c>
      <c r="N30" s="107" t="s">
        <v>152</v>
      </c>
      <c r="O30" s="107" t="s">
        <v>152</v>
      </c>
      <c r="P30" s="107" t="s">
        <v>152</v>
      </c>
      <c r="Q30" s="107" t="s">
        <v>152</v>
      </c>
      <c r="R30" s="295" t="s">
        <v>152</v>
      </c>
    </row>
    <row r="31" spans="1:19" s="63" customFormat="1" ht="15.6" x14ac:dyDescent="0.3">
      <c r="A31" s="75" t="s">
        <v>34</v>
      </c>
      <c r="B31" s="170" t="s">
        <v>152</v>
      </c>
      <c r="C31" s="67" t="s">
        <v>152</v>
      </c>
      <c r="D31" s="67" t="s">
        <v>152</v>
      </c>
      <c r="E31" s="67" t="s">
        <v>152</v>
      </c>
      <c r="F31" s="67" t="s">
        <v>152</v>
      </c>
      <c r="G31" s="107" t="s">
        <v>152</v>
      </c>
      <c r="H31" s="107" t="s">
        <v>152</v>
      </c>
      <c r="I31" s="107" t="s">
        <v>152</v>
      </c>
      <c r="J31" s="107" t="s">
        <v>152</v>
      </c>
      <c r="K31" s="107" t="s">
        <v>152</v>
      </c>
      <c r="L31" s="107" t="s">
        <v>152</v>
      </c>
      <c r="M31" s="107" t="s">
        <v>152</v>
      </c>
      <c r="N31" s="107" t="s">
        <v>152</v>
      </c>
      <c r="O31" s="107" t="s">
        <v>152</v>
      </c>
      <c r="P31" s="107" t="s">
        <v>152</v>
      </c>
      <c r="Q31" s="107" t="s">
        <v>152</v>
      </c>
      <c r="R31" s="295" t="s">
        <v>152</v>
      </c>
    </row>
    <row r="32" spans="1:19" s="63" customFormat="1" ht="16.2" thickBot="1" x14ac:dyDescent="0.35">
      <c r="A32" s="88" t="s">
        <v>36</v>
      </c>
      <c r="B32" s="87" t="s">
        <v>152</v>
      </c>
      <c r="C32" s="72" t="s">
        <v>152</v>
      </c>
      <c r="D32" s="72" t="s">
        <v>152</v>
      </c>
      <c r="E32" s="72" t="s">
        <v>152</v>
      </c>
      <c r="F32" s="72" t="s">
        <v>152</v>
      </c>
      <c r="G32" s="192" t="s">
        <v>152</v>
      </c>
      <c r="H32" s="192" t="s">
        <v>152</v>
      </c>
      <c r="I32" s="192" t="s">
        <v>152</v>
      </c>
      <c r="J32" s="192" t="s">
        <v>152</v>
      </c>
      <c r="K32" s="192" t="s">
        <v>152</v>
      </c>
      <c r="L32" s="192" t="s">
        <v>152</v>
      </c>
      <c r="M32" s="192" t="s">
        <v>152</v>
      </c>
      <c r="N32" s="192" t="s">
        <v>152</v>
      </c>
      <c r="O32" s="192" t="s">
        <v>152</v>
      </c>
      <c r="P32" s="192" t="s">
        <v>152</v>
      </c>
      <c r="Q32" s="192" t="s">
        <v>152</v>
      </c>
      <c r="R32" s="292" t="s">
        <v>152</v>
      </c>
    </row>
    <row r="33" spans="1:18" s="63" customFormat="1" ht="16.2" thickTop="1" x14ac:dyDescent="0.3">
      <c r="A33" s="89" t="s">
        <v>37</v>
      </c>
      <c r="B33" s="90" t="s">
        <v>152</v>
      </c>
      <c r="C33" s="73" t="s">
        <v>152</v>
      </c>
      <c r="D33" s="73" t="s">
        <v>152</v>
      </c>
      <c r="E33" s="73" t="s">
        <v>152</v>
      </c>
      <c r="F33" s="73" t="s">
        <v>152</v>
      </c>
      <c r="G33" s="273">
        <f t="shared" ref="G33:R33" si="1">SUM(G21:G32)</f>
        <v>0</v>
      </c>
      <c r="H33" s="273">
        <f t="shared" si="1"/>
        <v>0</v>
      </c>
      <c r="I33" s="273">
        <f t="shared" si="1"/>
        <v>0</v>
      </c>
      <c r="J33" s="273">
        <f t="shared" si="1"/>
        <v>0</v>
      </c>
      <c r="K33" s="273">
        <f t="shared" si="1"/>
        <v>0</v>
      </c>
      <c r="L33" s="273">
        <f t="shared" si="1"/>
        <v>0</v>
      </c>
      <c r="M33" s="273">
        <f t="shared" si="1"/>
        <v>0</v>
      </c>
      <c r="N33" s="273">
        <f t="shared" si="1"/>
        <v>0</v>
      </c>
      <c r="O33" s="273">
        <f t="shared" si="1"/>
        <v>0</v>
      </c>
      <c r="P33" s="273">
        <f t="shared" si="1"/>
        <v>0</v>
      </c>
      <c r="Q33" s="273">
        <f t="shared" si="1"/>
        <v>0</v>
      </c>
      <c r="R33" s="288">
        <f t="shared" si="1"/>
        <v>3384</v>
      </c>
    </row>
    <row r="34" spans="1:18" s="113" customFormat="1" ht="6.6" x14ac:dyDescent="0.3">
      <c r="A34" s="371" t="s">
        <v>174</v>
      </c>
      <c r="B34" s="371"/>
      <c r="C34" s="371"/>
      <c r="D34" s="371"/>
      <c r="E34" s="371"/>
      <c r="F34" s="371"/>
      <c r="G34" s="371"/>
      <c r="H34" s="371"/>
      <c r="I34" s="371"/>
      <c r="J34" s="371"/>
      <c r="K34" s="371"/>
      <c r="L34" s="371"/>
      <c r="M34" s="371"/>
      <c r="N34" s="371"/>
      <c r="O34" s="371"/>
      <c r="P34" s="371"/>
      <c r="Q34" s="371"/>
      <c r="R34" s="371"/>
    </row>
    <row r="35" spans="1:18" s="106" customFormat="1" ht="18" x14ac:dyDescent="0.3">
      <c r="A35" s="370" t="s">
        <v>267</v>
      </c>
      <c r="B35" s="370"/>
      <c r="C35" s="370"/>
      <c r="D35" s="370"/>
      <c r="E35" s="370"/>
      <c r="F35" s="370"/>
      <c r="G35" s="370"/>
      <c r="H35" s="370"/>
      <c r="I35" s="370"/>
      <c r="J35" s="370"/>
      <c r="K35" s="370"/>
      <c r="L35" s="370"/>
      <c r="M35" s="370"/>
      <c r="N35" s="370"/>
      <c r="O35" s="370"/>
      <c r="P35" s="370"/>
      <c r="Q35" s="370"/>
      <c r="R35" s="370"/>
    </row>
    <row r="36" spans="1:18" s="63" customFormat="1" ht="15.6" x14ac:dyDescent="0.3">
      <c r="A36" s="77" t="s">
        <v>23</v>
      </c>
      <c r="B36" s="91">
        <v>2005</v>
      </c>
      <c r="C36" s="64">
        <v>2005</v>
      </c>
      <c r="D36" s="64">
        <v>2006</v>
      </c>
      <c r="E36" s="64">
        <v>2007</v>
      </c>
      <c r="F36" s="64">
        <v>2008</v>
      </c>
      <c r="G36" s="64">
        <v>2009</v>
      </c>
      <c r="H36" s="64">
        <v>2010</v>
      </c>
      <c r="I36" s="64">
        <v>2011</v>
      </c>
      <c r="J36" s="65">
        <v>2012</v>
      </c>
      <c r="K36" s="65">
        <v>2013</v>
      </c>
      <c r="L36" s="65">
        <v>2014</v>
      </c>
      <c r="M36" s="65">
        <v>2015</v>
      </c>
      <c r="N36" s="65">
        <v>2016</v>
      </c>
      <c r="O36" s="65">
        <v>2017</v>
      </c>
      <c r="P36" s="65">
        <v>2018</v>
      </c>
      <c r="Q36" s="336">
        <v>2019</v>
      </c>
      <c r="R36" s="337">
        <v>2020</v>
      </c>
    </row>
    <row r="37" spans="1:18" s="63" customFormat="1" ht="15.6" x14ac:dyDescent="0.3">
      <c r="A37" s="76" t="s">
        <v>24</v>
      </c>
      <c r="B37" s="108" t="s">
        <v>152</v>
      </c>
      <c r="C37" s="107" t="s">
        <v>152</v>
      </c>
      <c r="D37" s="107" t="s">
        <v>152</v>
      </c>
      <c r="E37" s="107" t="s">
        <v>152</v>
      </c>
      <c r="F37" s="107" t="s">
        <v>152</v>
      </c>
      <c r="G37" s="107" t="s">
        <v>152</v>
      </c>
      <c r="H37" s="107" t="s">
        <v>152</v>
      </c>
      <c r="I37" s="107" t="s">
        <v>152</v>
      </c>
      <c r="J37" s="107" t="s">
        <v>152</v>
      </c>
      <c r="K37" s="107" t="s">
        <v>152</v>
      </c>
      <c r="L37" s="107" t="s">
        <v>152</v>
      </c>
      <c r="M37" s="107" t="s">
        <v>152</v>
      </c>
      <c r="N37" s="107" t="s">
        <v>152</v>
      </c>
      <c r="O37" s="107" t="s">
        <v>152</v>
      </c>
      <c r="P37" s="107" t="s">
        <v>152</v>
      </c>
      <c r="Q37" s="107" t="s">
        <v>152</v>
      </c>
      <c r="R37" s="286">
        <v>0</v>
      </c>
    </row>
    <row r="38" spans="1:18" s="63" customFormat="1" ht="15.6" x14ac:dyDescent="0.3">
      <c r="A38" s="75" t="s">
        <v>25</v>
      </c>
      <c r="B38" s="170" t="s">
        <v>152</v>
      </c>
      <c r="C38" s="67" t="s">
        <v>152</v>
      </c>
      <c r="D38" s="67" t="s">
        <v>152</v>
      </c>
      <c r="E38" s="67" t="s">
        <v>152</v>
      </c>
      <c r="F38" s="67" t="s">
        <v>152</v>
      </c>
      <c r="G38" s="107" t="s">
        <v>152</v>
      </c>
      <c r="H38" s="107" t="s">
        <v>152</v>
      </c>
      <c r="I38" s="107" t="s">
        <v>152</v>
      </c>
      <c r="J38" s="107" t="s">
        <v>152</v>
      </c>
      <c r="K38" s="107" t="s">
        <v>152</v>
      </c>
      <c r="L38" s="107" t="s">
        <v>152</v>
      </c>
      <c r="M38" s="107" t="s">
        <v>152</v>
      </c>
      <c r="N38" s="107" t="s">
        <v>152</v>
      </c>
      <c r="O38" s="107" t="s">
        <v>152</v>
      </c>
      <c r="P38" s="107" t="s">
        <v>152</v>
      </c>
      <c r="Q38" s="107" t="s">
        <v>152</v>
      </c>
      <c r="R38" s="287">
        <v>0</v>
      </c>
    </row>
    <row r="39" spans="1:18" s="63" customFormat="1" ht="15.6" x14ac:dyDescent="0.3">
      <c r="A39" s="75" t="s">
        <v>26</v>
      </c>
      <c r="B39" s="170" t="s">
        <v>152</v>
      </c>
      <c r="C39" s="67" t="s">
        <v>152</v>
      </c>
      <c r="D39" s="67" t="s">
        <v>152</v>
      </c>
      <c r="E39" s="67" t="s">
        <v>152</v>
      </c>
      <c r="F39" s="67" t="s">
        <v>152</v>
      </c>
      <c r="G39" s="107" t="s">
        <v>152</v>
      </c>
      <c r="H39" s="107" t="s">
        <v>152</v>
      </c>
      <c r="I39" s="107" t="s">
        <v>152</v>
      </c>
      <c r="J39" s="107" t="s">
        <v>152</v>
      </c>
      <c r="K39" s="107" t="s">
        <v>152</v>
      </c>
      <c r="L39" s="107" t="s">
        <v>152</v>
      </c>
      <c r="M39" s="107" t="s">
        <v>152</v>
      </c>
      <c r="N39" s="107" t="s">
        <v>152</v>
      </c>
      <c r="O39" s="107" t="s">
        <v>152</v>
      </c>
      <c r="P39" s="107" t="s">
        <v>152</v>
      </c>
      <c r="Q39" s="107" t="s">
        <v>152</v>
      </c>
      <c r="R39" s="287">
        <v>0</v>
      </c>
    </row>
    <row r="40" spans="1:18" s="63" customFormat="1" ht="15.6" x14ac:dyDescent="0.3">
      <c r="A40" s="75" t="s">
        <v>27</v>
      </c>
      <c r="B40" s="170" t="s">
        <v>152</v>
      </c>
      <c r="C40" s="67" t="s">
        <v>152</v>
      </c>
      <c r="D40" s="67" t="s">
        <v>152</v>
      </c>
      <c r="E40" s="67" t="s">
        <v>152</v>
      </c>
      <c r="F40" s="67" t="s">
        <v>152</v>
      </c>
      <c r="G40" s="107" t="s">
        <v>152</v>
      </c>
      <c r="H40" s="107" t="s">
        <v>152</v>
      </c>
      <c r="I40" s="107" t="s">
        <v>152</v>
      </c>
      <c r="J40" s="107" t="s">
        <v>152</v>
      </c>
      <c r="K40" s="107" t="s">
        <v>152</v>
      </c>
      <c r="L40" s="107" t="s">
        <v>152</v>
      </c>
      <c r="M40" s="107" t="s">
        <v>152</v>
      </c>
      <c r="N40" s="107" t="s">
        <v>152</v>
      </c>
      <c r="O40" s="107" t="s">
        <v>152</v>
      </c>
      <c r="P40" s="107" t="s">
        <v>152</v>
      </c>
      <c r="Q40" s="174" t="s">
        <v>152</v>
      </c>
      <c r="R40" s="287">
        <v>0</v>
      </c>
    </row>
    <row r="41" spans="1:18" s="63" customFormat="1" ht="15.6" x14ac:dyDescent="0.3">
      <c r="A41" s="75" t="s">
        <v>28</v>
      </c>
      <c r="B41" s="170" t="s">
        <v>152</v>
      </c>
      <c r="C41" s="67" t="s">
        <v>152</v>
      </c>
      <c r="D41" s="67" t="s">
        <v>152</v>
      </c>
      <c r="E41" s="67" t="s">
        <v>152</v>
      </c>
      <c r="F41" s="67" t="s">
        <v>152</v>
      </c>
      <c r="G41" s="107" t="s">
        <v>152</v>
      </c>
      <c r="H41" s="107" t="s">
        <v>152</v>
      </c>
      <c r="I41" s="107" t="s">
        <v>152</v>
      </c>
      <c r="J41" s="107" t="s">
        <v>152</v>
      </c>
      <c r="K41" s="107" t="s">
        <v>152</v>
      </c>
      <c r="L41" s="107" t="s">
        <v>152</v>
      </c>
      <c r="M41" s="107" t="s">
        <v>152</v>
      </c>
      <c r="N41" s="107" t="s">
        <v>152</v>
      </c>
      <c r="O41" s="107" t="s">
        <v>152</v>
      </c>
      <c r="P41" s="107" t="s">
        <v>152</v>
      </c>
      <c r="Q41" s="107" t="s">
        <v>152</v>
      </c>
      <c r="R41" s="287">
        <v>0</v>
      </c>
    </row>
    <row r="42" spans="1:18" s="63" customFormat="1" ht="15.6" x14ac:dyDescent="0.3">
      <c r="A42" s="75" t="s">
        <v>29</v>
      </c>
      <c r="B42" s="170" t="s">
        <v>152</v>
      </c>
      <c r="C42" s="67" t="s">
        <v>152</v>
      </c>
      <c r="D42" s="67" t="s">
        <v>152</v>
      </c>
      <c r="E42" s="67" t="s">
        <v>152</v>
      </c>
      <c r="F42" s="67" t="s">
        <v>152</v>
      </c>
      <c r="G42" s="107" t="s">
        <v>152</v>
      </c>
      <c r="H42" s="107" t="s">
        <v>152</v>
      </c>
      <c r="I42" s="107" t="s">
        <v>152</v>
      </c>
      <c r="J42" s="107" t="s">
        <v>152</v>
      </c>
      <c r="K42" s="107" t="s">
        <v>152</v>
      </c>
      <c r="L42" s="107" t="s">
        <v>152</v>
      </c>
      <c r="M42" s="107" t="s">
        <v>152</v>
      </c>
      <c r="N42" s="107" t="s">
        <v>152</v>
      </c>
      <c r="O42" s="107" t="s">
        <v>152</v>
      </c>
      <c r="P42" s="107" t="s">
        <v>152</v>
      </c>
      <c r="Q42" s="107" t="s">
        <v>152</v>
      </c>
      <c r="R42" s="287">
        <v>0</v>
      </c>
    </row>
    <row r="43" spans="1:18" s="63" customFormat="1" ht="15.6" x14ac:dyDescent="0.3">
      <c r="A43" s="75" t="s">
        <v>30</v>
      </c>
      <c r="B43" s="170" t="s">
        <v>152</v>
      </c>
      <c r="C43" s="67" t="s">
        <v>152</v>
      </c>
      <c r="D43" s="67" t="s">
        <v>152</v>
      </c>
      <c r="E43" s="67" t="s">
        <v>152</v>
      </c>
      <c r="F43" s="67" t="s">
        <v>152</v>
      </c>
      <c r="G43" s="107" t="s">
        <v>152</v>
      </c>
      <c r="H43" s="107" t="s">
        <v>152</v>
      </c>
      <c r="I43" s="107" t="s">
        <v>152</v>
      </c>
      <c r="J43" s="107" t="s">
        <v>152</v>
      </c>
      <c r="K43" s="107" t="s">
        <v>152</v>
      </c>
      <c r="L43" s="107" t="s">
        <v>152</v>
      </c>
      <c r="M43" s="107" t="s">
        <v>152</v>
      </c>
      <c r="N43" s="107" t="s">
        <v>152</v>
      </c>
      <c r="O43" s="107" t="s">
        <v>152</v>
      </c>
      <c r="P43" s="107" t="s">
        <v>152</v>
      </c>
      <c r="Q43" s="107" t="s">
        <v>152</v>
      </c>
      <c r="R43" s="291" t="s">
        <v>152</v>
      </c>
    </row>
    <row r="44" spans="1:18" s="63" customFormat="1" ht="15.6" x14ac:dyDescent="0.3">
      <c r="A44" s="75" t="s">
        <v>31</v>
      </c>
      <c r="B44" s="170" t="s">
        <v>152</v>
      </c>
      <c r="C44" s="67" t="s">
        <v>152</v>
      </c>
      <c r="D44" s="67" t="s">
        <v>152</v>
      </c>
      <c r="E44" s="67" t="s">
        <v>152</v>
      </c>
      <c r="F44" s="67" t="s">
        <v>152</v>
      </c>
      <c r="G44" s="107" t="s">
        <v>152</v>
      </c>
      <c r="H44" s="107" t="s">
        <v>152</v>
      </c>
      <c r="I44" s="107" t="s">
        <v>152</v>
      </c>
      <c r="J44" s="107" t="s">
        <v>152</v>
      </c>
      <c r="K44" s="107" t="s">
        <v>152</v>
      </c>
      <c r="L44" s="107" t="s">
        <v>152</v>
      </c>
      <c r="M44" s="107" t="s">
        <v>152</v>
      </c>
      <c r="N44" s="107" t="s">
        <v>152</v>
      </c>
      <c r="O44" s="107" t="s">
        <v>152</v>
      </c>
      <c r="P44" s="107" t="s">
        <v>152</v>
      </c>
      <c r="Q44" s="107" t="s">
        <v>152</v>
      </c>
      <c r="R44" s="295" t="s">
        <v>152</v>
      </c>
    </row>
    <row r="45" spans="1:18" s="63" customFormat="1" ht="15.6" x14ac:dyDescent="0.3">
      <c r="A45" s="75" t="s">
        <v>32</v>
      </c>
      <c r="B45" s="170" t="s">
        <v>152</v>
      </c>
      <c r="C45" s="67" t="s">
        <v>152</v>
      </c>
      <c r="D45" s="67" t="s">
        <v>152</v>
      </c>
      <c r="E45" s="67" t="s">
        <v>152</v>
      </c>
      <c r="F45" s="67" t="s">
        <v>152</v>
      </c>
      <c r="G45" s="107" t="s">
        <v>152</v>
      </c>
      <c r="H45" s="107" t="s">
        <v>152</v>
      </c>
      <c r="I45" s="107" t="s">
        <v>152</v>
      </c>
      <c r="J45" s="107" t="s">
        <v>152</v>
      </c>
      <c r="K45" s="107" t="s">
        <v>152</v>
      </c>
      <c r="L45" s="107" t="s">
        <v>152</v>
      </c>
      <c r="M45" s="107" t="s">
        <v>152</v>
      </c>
      <c r="N45" s="107" t="s">
        <v>152</v>
      </c>
      <c r="O45" s="107" t="s">
        <v>152</v>
      </c>
      <c r="P45" s="107" t="s">
        <v>152</v>
      </c>
      <c r="Q45" s="107" t="s">
        <v>152</v>
      </c>
      <c r="R45" s="295" t="s">
        <v>152</v>
      </c>
    </row>
    <row r="46" spans="1:18" s="63" customFormat="1" ht="15.6" x14ac:dyDescent="0.3">
      <c r="A46" s="75" t="s">
        <v>33</v>
      </c>
      <c r="B46" s="170" t="s">
        <v>152</v>
      </c>
      <c r="C46" s="67" t="s">
        <v>152</v>
      </c>
      <c r="D46" s="67" t="s">
        <v>152</v>
      </c>
      <c r="E46" s="67" t="s">
        <v>152</v>
      </c>
      <c r="F46" s="67" t="s">
        <v>152</v>
      </c>
      <c r="G46" s="107" t="s">
        <v>152</v>
      </c>
      <c r="H46" s="107" t="s">
        <v>152</v>
      </c>
      <c r="I46" s="107" t="s">
        <v>152</v>
      </c>
      <c r="J46" s="107" t="s">
        <v>152</v>
      </c>
      <c r="K46" s="107" t="s">
        <v>152</v>
      </c>
      <c r="L46" s="107" t="s">
        <v>152</v>
      </c>
      <c r="M46" s="107" t="s">
        <v>152</v>
      </c>
      <c r="N46" s="107" t="s">
        <v>152</v>
      </c>
      <c r="O46" s="107" t="s">
        <v>152</v>
      </c>
      <c r="P46" s="107" t="s">
        <v>152</v>
      </c>
      <c r="Q46" s="107" t="s">
        <v>152</v>
      </c>
      <c r="R46" s="295" t="s">
        <v>152</v>
      </c>
    </row>
    <row r="47" spans="1:18" s="63" customFormat="1" ht="15.6" x14ac:dyDescent="0.3">
      <c r="A47" s="75" t="s">
        <v>34</v>
      </c>
      <c r="B47" s="170" t="s">
        <v>152</v>
      </c>
      <c r="C47" s="67" t="s">
        <v>152</v>
      </c>
      <c r="D47" s="67" t="s">
        <v>152</v>
      </c>
      <c r="E47" s="67" t="s">
        <v>152</v>
      </c>
      <c r="F47" s="67" t="s">
        <v>152</v>
      </c>
      <c r="G47" s="107" t="s">
        <v>152</v>
      </c>
      <c r="H47" s="107" t="s">
        <v>152</v>
      </c>
      <c r="I47" s="107" t="s">
        <v>152</v>
      </c>
      <c r="J47" s="107" t="s">
        <v>152</v>
      </c>
      <c r="K47" s="107" t="s">
        <v>152</v>
      </c>
      <c r="L47" s="107" t="s">
        <v>152</v>
      </c>
      <c r="M47" s="107" t="s">
        <v>152</v>
      </c>
      <c r="N47" s="107" t="s">
        <v>152</v>
      </c>
      <c r="O47" s="107" t="s">
        <v>152</v>
      </c>
      <c r="P47" s="107" t="s">
        <v>152</v>
      </c>
      <c r="Q47" s="107" t="s">
        <v>152</v>
      </c>
      <c r="R47" s="295" t="s">
        <v>152</v>
      </c>
    </row>
    <row r="48" spans="1:18" s="63" customFormat="1" ht="16.2" thickBot="1" x14ac:dyDescent="0.35">
      <c r="A48" s="88" t="s">
        <v>36</v>
      </c>
      <c r="B48" s="87" t="s">
        <v>152</v>
      </c>
      <c r="C48" s="72" t="s">
        <v>152</v>
      </c>
      <c r="D48" s="72" t="s">
        <v>152</v>
      </c>
      <c r="E48" s="72" t="s">
        <v>152</v>
      </c>
      <c r="F48" s="72" t="s">
        <v>152</v>
      </c>
      <c r="G48" s="192" t="s">
        <v>152</v>
      </c>
      <c r="H48" s="192" t="s">
        <v>152</v>
      </c>
      <c r="I48" s="192" t="s">
        <v>152</v>
      </c>
      <c r="J48" s="192" t="s">
        <v>152</v>
      </c>
      <c r="K48" s="192" t="s">
        <v>152</v>
      </c>
      <c r="L48" s="192" t="s">
        <v>152</v>
      </c>
      <c r="M48" s="192" t="s">
        <v>152</v>
      </c>
      <c r="N48" s="192" t="s">
        <v>152</v>
      </c>
      <c r="O48" s="192" t="s">
        <v>152</v>
      </c>
      <c r="P48" s="192" t="s">
        <v>152</v>
      </c>
      <c r="Q48" s="192" t="s">
        <v>152</v>
      </c>
      <c r="R48" s="292" t="s">
        <v>152</v>
      </c>
    </row>
    <row r="49" spans="1:21" s="63" customFormat="1" ht="16.2" thickTop="1" x14ac:dyDescent="0.3">
      <c r="A49" s="89" t="s">
        <v>37</v>
      </c>
      <c r="B49" s="90" t="s">
        <v>152</v>
      </c>
      <c r="C49" s="73" t="s">
        <v>152</v>
      </c>
      <c r="D49" s="73" t="s">
        <v>152</v>
      </c>
      <c r="E49" s="73" t="s">
        <v>152</v>
      </c>
      <c r="F49" s="73" t="s">
        <v>152</v>
      </c>
      <c r="G49" s="273">
        <f t="shared" ref="G49:R49" si="2">SUM(G37:G48)</f>
        <v>0</v>
      </c>
      <c r="H49" s="273">
        <f t="shared" si="2"/>
        <v>0</v>
      </c>
      <c r="I49" s="273">
        <f t="shared" si="2"/>
        <v>0</v>
      </c>
      <c r="J49" s="273">
        <f t="shared" si="2"/>
        <v>0</v>
      </c>
      <c r="K49" s="273">
        <f t="shared" si="2"/>
        <v>0</v>
      </c>
      <c r="L49" s="273">
        <f t="shared" si="2"/>
        <v>0</v>
      </c>
      <c r="M49" s="273">
        <f t="shared" si="2"/>
        <v>0</v>
      </c>
      <c r="N49" s="273">
        <f t="shared" si="2"/>
        <v>0</v>
      </c>
      <c r="O49" s="273">
        <f t="shared" si="2"/>
        <v>0</v>
      </c>
      <c r="P49" s="273">
        <f t="shared" si="2"/>
        <v>0</v>
      </c>
      <c r="Q49" s="273">
        <f t="shared" si="2"/>
        <v>0</v>
      </c>
      <c r="R49" s="288">
        <f t="shared" si="2"/>
        <v>0</v>
      </c>
    </row>
    <row r="50" spans="1:21" s="113" customFormat="1" ht="6.6" x14ac:dyDescent="0.3">
      <c r="A50" s="371" t="s">
        <v>174</v>
      </c>
      <c r="B50" s="371"/>
      <c r="C50" s="371"/>
      <c r="D50" s="371"/>
      <c r="E50" s="371"/>
      <c r="F50" s="371"/>
      <c r="G50" s="371"/>
      <c r="H50" s="371"/>
      <c r="I50" s="371"/>
      <c r="J50" s="371"/>
      <c r="K50" s="371"/>
      <c r="L50" s="371"/>
      <c r="M50" s="371"/>
      <c r="N50" s="371"/>
      <c r="O50" s="371"/>
      <c r="P50" s="371"/>
      <c r="Q50" s="371"/>
      <c r="R50" s="371"/>
    </row>
    <row r="51" spans="1:21" s="111" customFormat="1" ht="13.8" x14ac:dyDescent="0.3">
      <c r="A51" s="373" t="s">
        <v>263</v>
      </c>
      <c r="B51" s="373"/>
      <c r="C51" s="373"/>
      <c r="D51" s="373"/>
      <c r="E51" s="373"/>
      <c r="F51" s="373"/>
      <c r="G51" s="373"/>
      <c r="H51" s="373"/>
      <c r="I51" s="373"/>
      <c r="J51" s="373"/>
      <c r="K51" s="373"/>
      <c r="L51" s="373"/>
      <c r="M51" s="373"/>
      <c r="N51" s="373"/>
      <c r="O51" s="373"/>
      <c r="P51" s="373"/>
      <c r="Q51" s="373"/>
      <c r="R51" s="373"/>
      <c r="S51" s="373"/>
      <c r="T51" s="373"/>
    </row>
    <row r="52" spans="1:21" s="111" customFormat="1" ht="13.8" x14ac:dyDescent="0.3">
      <c r="A52" s="384" t="str">
        <f>'Local SUT'!A60</f>
        <v>Source:  Minnesota Department of Revenue, Tax Research Division, February 2021</v>
      </c>
      <c r="B52" s="384"/>
      <c r="C52" s="384"/>
      <c r="D52" s="384"/>
      <c r="E52" s="384"/>
      <c r="F52" s="384"/>
      <c r="G52" s="384"/>
      <c r="H52" s="384"/>
      <c r="I52" s="384"/>
      <c r="J52" s="384"/>
      <c r="K52" s="384"/>
      <c r="L52" s="384"/>
      <c r="M52" s="384"/>
      <c r="N52" s="384"/>
      <c r="O52" s="384"/>
      <c r="P52" s="384"/>
      <c r="Q52" s="384"/>
      <c r="R52" s="384"/>
      <c r="S52" s="384"/>
      <c r="T52" s="384"/>
      <c r="U52" s="384"/>
    </row>
    <row r="53" spans="1:21" s="111" customFormat="1" ht="13.8" x14ac:dyDescent="0.3">
      <c r="A53" s="379" t="s">
        <v>151</v>
      </c>
      <c r="B53" s="379"/>
      <c r="C53" s="379"/>
      <c r="D53" s="379"/>
      <c r="E53" s="379"/>
      <c r="F53" s="379"/>
      <c r="G53" s="379"/>
      <c r="H53" s="379"/>
      <c r="I53" s="379"/>
      <c r="J53" s="379"/>
      <c r="K53" s="379"/>
      <c r="L53" s="379"/>
      <c r="M53" s="379"/>
      <c r="N53" s="379"/>
      <c r="O53" s="379"/>
      <c r="P53" s="379"/>
      <c r="Q53" s="379"/>
      <c r="R53" s="379"/>
    </row>
    <row r="54" spans="1:21" x14ac:dyDescent="0.3">
      <c r="R54" s="117"/>
    </row>
  </sheetData>
  <mergeCells count="11">
    <mergeCell ref="A2:R2"/>
    <mergeCell ref="A18:R18"/>
    <mergeCell ref="A34:R34"/>
    <mergeCell ref="A1:V1"/>
    <mergeCell ref="A35:R35"/>
    <mergeCell ref="A50:R50"/>
    <mergeCell ref="A53:R53"/>
    <mergeCell ref="A3:S3"/>
    <mergeCell ref="A19:S19"/>
    <mergeCell ref="A51:T51"/>
    <mergeCell ref="A52:U52"/>
  </mergeCells>
  <pageMargins left="0.5" right="0" top="0.75" bottom="0.75" header="0.3" footer="0.3"/>
  <pageSetup scale="86"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30286-FF96-4CC4-9126-4EE8E66743D2}">
  <sheetPr codeName="Sheet47">
    <pageSetUpPr fitToPage="1"/>
  </sheetPr>
  <dimension ref="A1:V54"/>
  <sheetViews>
    <sheetView showGridLines="0" zoomScaleNormal="100" workbookViewId="0">
      <pane ySplit="1" topLeftCell="A2" activePane="bottomLeft" state="frozen"/>
      <selection pane="bottomLeft" sqref="A1:V1"/>
    </sheetView>
  </sheetViews>
  <sheetFormatPr defaultColWidth="12.5546875" defaultRowHeight="14.4" x14ac:dyDescent="0.3"/>
  <cols>
    <col min="1" max="1" width="12.5546875" style="180" customWidth="1"/>
    <col min="2" max="17" width="13.5546875" style="173" hidden="1" customWidth="1"/>
    <col min="18" max="18" width="13.5546875" style="145" customWidth="1"/>
    <col min="19" max="16384" width="12.5546875" style="173"/>
  </cols>
  <sheetData>
    <row r="1" spans="1:22" s="112" customFormat="1" ht="21" x14ac:dyDescent="0.3">
      <c r="A1" s="380" t="s">
        <v>268</v>
      </c>
      <c r="B1" s="380"/>
      <c r="C1" s="380"/>
      <c r="D1" s="380"/>
      <c r="E1" s="380"/>
      <c r="F1" s="380"/>
      <c r="G1" s="380"/>
      <c r="H1" s="380"/>
      <c r="I1" s="380"/>
      <c r="J1" s="380"/>
      <c r="K1" s="380"/>
      <c r="L1" s="380"/>
      <c r="M1" s="380"/>
      <c r="N1" s="380"/>
      <c r="O1" s="380"/>
      <c r="P1" s="380"/>
      <c r="Q1" s="380"/>
      <c r="R1" s="380"/>
      <c r="S1" s="380"/>
      <c r="T1" s="380"/>
      <c r="U1" s="380"/>
      <c r="V1" s="380"/>
    </row>
    <row r="2" spans="1:22" s="106" customFormat="1" ht="18" x14ac:dyDescent="0.3">
      <c r="A2" s="381" t="str">
        <f>'Local SUT'!A2</f>
        <v>CY 2004-2020</v>
      </c>
      <c r="B2" s="381"/>
      <c r="C2" s="381"/>
      <c r="D2" s="381"/>
      <c r="E2" s="381"/>
      <c r="F2" s="381"/>
      <c r="G2" s="381"/>
      <c r="H2" s="381"/>
      <c r="I2" s="381"/>
      <c r="J2" s="381"/>
      <c r="K2" s="381"/>
      <c r="L2" s="381"/>
      <c r="M2" s="381"/>
      <c r="N2" s="381"/>
      <c r="O2" s="381"/>
      <c r="P2" s="381"/>
      <c r="Q2" s="381"/>
      <c r="R2" s="381"/>
    </row>
    <row r="3" spans="1:22" s="106" customFormat="1" ht="18" x14ac:dyDescent="0.3">
      <c r="A3" s="385" t="s">
        <v>269</v>
      </c>
      <c r="B3" s="385"/>
      <c r="C3" s="385"/>
      <c r="D3" s="385"/>
      <c r="E3" s="385"/>
      <c r="F3" s="385"/>
      <c r="G3" s="385"/>
      <c r="H3" s="385"/>
      <c r="I3" s="385"/>
      <c r="J3" s="385"/>
      <c r="K3" s="385"/>
      <c r="L3" s="385"/>
      <c r="M3" s="385"/>
      <c r="N3" s="385"/>
      <c r="O3" s="385"/>
      <c r="P3" s="385"/>
      <c r="Q3" s="385"/>
      <c r="R3" s="385"/>
      <c r="S3" s="385"/>
    </row>
    <row r="4" spans="1:22" s="63" customFormat="1" ht="15.6" x14ac:dyDescent="0.3">
      <c r="A4" s="77" t="s">
        <v>23</v>
      </c>
      <c r="B4" s="91">
        <v>2004</v>
      </c>
      <c r="C4" s="64">
        <v>2005</v>
      </c>
      <c r="D4" s="64">
        <v>2006</v>
      </c>
      <c r="E4" s="64">
        <v>2007</v>
      </c>
      <c r="F4" s="64">
        <v>2008</v>
      </c>
      <c r="G4" s="64">
        <v>2009</v>
      </c>
      <c r="H4" s="64">
        <v>2010</v>
      </c>
      <c r="I4" s="64">
        <v>2011</v>
      </c>
      <c r="J4" s="65">
        <v>2012</v>
      </c>
      <c r="K4" s="65">
        <v>2013</v>
      </c>
      <c r="L4" s="65">
        <v>2014</v>
      </c>
      <c r="M4" s="65">
        <v>2015</v>
      </c>
      <c r="N4" s="65">
        <v>2016</v>
      </c>
      <c r="O4" s="65">
        <v>2017</v>
      </c>
      <c r="P4" s="65">
        <v>2018</v>
      </c>
      <c r="Q4" s="336">
        <v>2019</v>
      </c>
      <c r="R4" s="337">
        <v>2020</v>
      </c>
    </row>
    <row r="5" spans="1:22" s="63" customFormat="1" ht="15.6" x14ac:dyDescent="0.3">
      <c r="A5" s="76" t="s">
        <v>24</v>
      </c>
      <c r="B5" s="108" t="s">
        <v>152</v>
      </c>
      <c r="C5" s="107" t="s">
        <v>152</v>
      </c>
      <c r="D5" s="107" t="s">
        <v>152</v>
      </c>
      <c r="E5" s="107" t="s">
        <v>152</v>
      </c>
      <c r="F5" s="107" t="s">
        <v>152</v>
      </c>
      <c r="G5" s="107" t="s">
        <v>152</v>
      </c>
      <c r="H5" s="107" t="s">
        <v>152</v>
      </c>
      <c r="I5" s="107" t="s">
        <v>152</v>
      </c>
      <c r="J5" s="107" t="s">
        <v>152</v>
      </c>
      <c r="K5" s="107" t="s">
        <v>152</v>
      </c>
      <c r="L5" s="107" t="s">
        <v>152</v>
      </c>
      <c r="M5" s="107" t="s">
        <v>152</v>
      </c>
      <c r="N5" s="107" t="s">
        <v>152</v>
      </c>
      <c r="O5" s="107" t="s">
        <v>152</v>
      </c>
      <c r="P5" s="107" t="s">
        <v>152</v>
      </c>
      <c r="Q5" s="107" t="s">
        <v>152</v>
      </c>
      <c r="R5" s="286">
        <v>0</v>
      </c>
    </row>
    <row r="6" spans="1:22" s="63" customFormat="1" ht="15.6" x14ac:dyDescent="0.3">
      <c r="A6" s="75" t="s">
        <v>25</v>
      </c>
      <c r="B6" s="170" t="s">
        <v>152</v>
      </c>
      <c r="C6" s="67" t="s">
        <v>152</v>
      </c>
      <c r="D6" s="67" t="s">
        <v>152</v>
      </c>
      <c r="E6" s="67" t="s">
        <v>152</v>
      </c>
      <c r="F6" s="67" t="s">
        <v>152</v>
      </c>
      <c r="G6" s="107" t="s">
        <v>152</v>
      </c>
      <c r="H6" s="107" t="s">
        <v>152</v>
      </c>
      <c r="I6" s="107" t="s">
        <v>152</v>
      </c>
      <c r="J6" s="107" t="s">
        <v>152</v>
      </c>
      <c r="K6" s="107" t="s">
        <v>152</v>
      </c>
      <c r="L6" s="107" t="s">
        <v>152</v>
      </c>
      <c r="M6" s="107" t="s">
        <v>152</v>
      </c>
      <c r="N6" s="107" t="s">
        <v>152</v>
      </c>
      <c r="O6" s="107" t="s">
        <v>152</v>
      </c>
      <c r="P6" s="107" t="s">
        <v>152</v>
      </c>
      <c r="Q6" s="107" t="s">
        <v>152</v>
      </c>
      <c r="R6" s="287">
        <v>29118</v>
      </c>
    </row>
    <row r="7" spans="1:22" s="63" customFormat="1" ht="15.6" x14ac:dyDescent="0.3">
      <c r="A7" s="75" t="s">
        <v>26</v>
      </c>
      <c r="B7" s="170" t="s">
        <v>152</v>
      </c>
      <c r="C7" s="67" t="s">
        <v>152</v>
      </c>
      <c r="D7" s="67" t="s">
        <v>152</v>
      </c>
      <c r="E7" s="67" t="s">
        <v>152</v>
      </c>
      <c r="F7" s="67" t="s">
        <v>152</v>
      </c>
      <c r="G7" s="107" t="s">
        <v>152</v>
      </c>
      <c r="H7" s="107" t="s">
        <v>152</v>
      </c>
      <c r="I7" s="107" t="s">
        <v>152</v>
      </c>
      <c r="J7" s="107" t="s">
        <v>152</v>
      </c>
      <c r="K7" s="107" t="s">
        <v>152</v>
      </c>
      <c r="L7" s="107" t="s">
        <v>152</v>
      </c>
      <c r="M7" s="107" t="s">
        <v>152</v>
      </c>
      <c r="N7" s="107" t="s">
        <v>152</v>
      </c>
      <c r="O7" s="107" t="s">
        <v>152</v>
      </c>
      <c r="P7" s="107" t="s">
        <v>152</v>
      </c>
      <c r="Q7" s="107" t="s">
        <v>152</v>
      </c>
      <c r="R7" s="287">
        <v>26821</v>
      </c>
    </row>
    <row r="8" spans="1:22" s="63" customFormat="1" ht="15.6" x14ac:dyDescent="0.3">
      <c r="A8" s="75" t="s">
        <v>27</v>
      </c>
      <c r="B8" s="170" t="s">
        <v>152</v>
      </c>
      <c r="C8" s="67" t="s">
        <v>152</v>
      </c>
      <c r="D8" s="67" t="s">
        <v>152</v>
      </c>
      <c r="E8" s="67" t="s">
        <v>152</v>
      </c>
      <c r="F8" s="67" t="s">
        <v>152</v>
      </c>
      <c r="G8" s="107" t="s">
        <v>152</v>
      </c>
      <c r="H8" s="107" t="s">
        <v>152</v>
      </c>
      <c r="I8" s="107" t="s">
        <v>152</v>
      </c>
      <c r="J8" s="107" t="s">
        <v>152</v>
      </c>
      <c r="K8" s="107" t="s">
        <v>152</v>
      </c>
      <c r="L8" s="107" t="s">
        <v>152</v>
      </c>
      <c r="M8" s="107" t="s">
        <v>152</v>
      </c>
      <c r="N8" s="107" t="s">
        <v>152</v>
      </c>
      <c r="O8" s="107" t="s">
        <v>152</v>
      </c>
      <c r="P8" s="107" t="s">
        <v>152</v>
      </c>
      <c r="Q8" s="107" t="s">
        <v>152</v>
      </c>
      <c r="R8" s="287">
        <v>30638</v>
      </c>
    </row>
    <row r="9" spans="1:22" s="63" customFormat="1" ht="15.6" x14ac:dyDescent="0.3">
      <c r="A9" s="75" t="s">
        <v>28</v>
      </c>
      <c r="B9" s="170" t="s">
        <v>152</v>
      </c>
      <c r="C9" s="67" t="s">
        <v>152</v>
      </c>
      <c r="D9" s="67" t="s">
        <v>152</v>
      </c>
      <c r="E9" s="67" t="s">
        <v>152</v>
      </c>
      <c r="F9" s="67" t="s">
        <v>152</v>
      </c>
      <c r="G9" s="107" t="s">
        <v>152</v>
      </c>
      <c r="H9" s="107" t="s">
        <v>152</v>
      </c>
      <c r="I9" s="107" t="s">
        <v>152</v>
      </c>
      <c r="J9" s="107" t="s">
        <v>152</v>
      </c>
      <c r="K9" s="107" t="s">
        <v>152</v>
      </c>
      <c r="L9" s="107" t="s">
        <v>152</v>
      </c>
      <c r="M9" s="107" t="s">
        <v>152</v>
      </c>
      <c r="N9" s="107" t="s">
        <v>152</v>
      </c>
      <c r="O9" s="107" t="s">
        <v>152</v>
      </c>
      <c r="P9" s="107" t="s">
        <v>152</v>
      </c>
      <c r="Q9" s="107" t="s">
        <v>152</v>
      </c>
      <c r="R9" s="287">
        <v>33950</v>
      </c>
    </row>
    <row r="10" spans="1:22" s="63" customFormat="1" ht="15.6" x14ac:dyDescent="0.3">
      <c r="A10" s="75" t="s">
        <v>29</v>
      </c>
      <c r="B10" s="170" t="s">
        <v>152</v>
      </c>
      <c r="C10" s="67" t="s">
        <v>152</v>
      </c>
      <c r="D10" s="67" t="s">
        <v>152</v>
      </c>
      <c r="E10" s="67" t="s">
        <v>152</v>
      </c>
      <c r="F10" s="67" t="s">
        <v>152</v>
      </c>
      <c r="G10" s="107" t="s">
        <v>152</v>
      </c>
      <c r="H10" s="107" t="s">
        <v>152</v>
      </c>
      <c r="I10" s="107" t="s">
        <v>152</v>
      </c>
      <c r="J10" s="107" t="s">
        <v>152</v>
      </c>
      <c r="K10" s="107" t="s">
        <v>152</v>
      </c>
      <c r="L10" s="107" t="s">
        <v>152</v>
      </c>
      <c r="M10" s="107" t="s">
        <v>152</v>
      </c>
      <c r="N10" s="107" t="s">
        <v>152</v>
      </c>
      <c r="O10" s="107" t="s">
        <v>152</v>
      </c>
      <c r="P10" s="107" t="s">
        <v>152</v>
      </c>
      <c r="Q10" s="107" t="s">
        <v>152</v>
      </c>
      <c r="R10" s="287">
        <v>48776</v>
      </c>
    </row>
    <row r="11" spans="1:22" s="63" customFormat="1" ht="15.6" x14ac:dyDescent="0.3">
      <c r="A11" s="75" t="s">
        <v>30</v>
      </c>
      <c r="B11" s="170" t="s">
        <v>152</v>
      </c>
      <c r="C11" s="67" t="s">
        <v>152</v>
      </c>
      <c r="D11" s="67" t="s">
        <v>152</v>
      </c>
      <c r="E11" s="67" t="s">
        <v>152</v>
      </c>
      <c r="F11" s="67" t="s">
        <v>152</v>
      </c>
      <c r="G11" s="107" t="s">
        <v>152</v>
      </c>
      <c r="H11" s="107" t="s">
        <v>152</v>
      </c>
      <c r="I11" s="107" t="s">
        <v>152</v>
      </c>
      <c r="J11" s="107" t="s">
        <v>152</v>
      </c>
      <c r="K11" s="107" t="s">
        <v>152</v>
      </c>
      <c r="L11" s="107" t="s">
        <v>152</v>
      </c>
      <c r="M11" s="107" t="s">
        <v>152</v>
      </c>
      <c r="N11" s="107" t="s">
        <v>152</v>
      </c>
      <c r="O11" s="107" t="s">
        <v>152</v>
      </c>
      <c r="P11" s="107" t="s">
        <v>152</v>
      </c>
      <c r="Q11" s="107" t="s">
        <v>152</v>
      </c>
      <c r="R11" s="291" t="s">
        <v>152</v>
      </c>
    </row>
    <row r="12" spans="1:22" s="63" customFormat="1" ht="15.6" x14ac:dyDescent="0.3">
      <c r="A12" s="75" t="s">
        <v>31</v>
      </c>
      <c r="B12" s="170" t="s">
        <v>152</v>
      </c>
      <c r="C12" s="67" t="s">
        <v>152</v>
      </c>
      <c r="D12" s="67" t="s">
        <v>152</v>
      </c>
      <c r="E12" s="67" t="s">
        <v>152</v>
      </c>
      <c r="F12" s="67" t="s">
        <v>152</v>
      </c>
      <c r="G12" s="107" t="s">
        <v>152</v>
      </c>
      <c r="H12" s="107" t="s">
        <v>152</v>
      </c>
      <c r="I12" s="107" t="s">
        <v>152</v>
      </c>
      <c r="J12" s="107" t="s">
        <v>152</v>
      </c>
      <c r="K12" s="107" t="s">
        <v>152</v>
      </c>
      <c r="L12" s="107" t="s">
        <v>152</v>
      </c>
      <c r="M12" s="107" t="s">
        <v>152</v>
      </c>
      <c r="N12" s="107" t="s">
        <v>152</v>
      </c>
      <c r="O12" s="107" t="s">
        <v>152</v>
      </c>
      <c r="P12" s="107" t="s">
        <v>152</v>
      </c>
      <c r="Q12" s="174" t="s">
        <v>152</v>
      </c>
      <c r="R12" s="295" t="s">
        <v>152</v>
      </c>
    </row>
    <row r="13" spans="1:22" s="63" customFormat="1" ht="15.6" x14ac:dyDescent="0.3">
      <c r="A13" s="75" t="s">
        <v>32</v>
      </c>
      <c r="B13" s="170" t="s">
        <v>152</v>
      </c>
      <c r="C13" s="67" t="s">
        <v>152</v>
      </c>
      <c r="D13" s="67" t="s">
        <v>152</v>
      </c>
      <c r="E13" s="67" t="s">
        <v>152</v>
      </c>
      <c r="F13" s="67" t="s">
        <v>152</v>
      </c>
      <c r="G13" s="107" t="s">
        <v>152</v>
      </c>
      <c r="H13" s="107" t="s">
        <v>152</v>
      </c>
      <c r="I13" s="107" t="s">
        <v>152</v>
      </c>
      <c r="J13" s="107" t="s">
        <v>152</v>
      </c>
      <c r="K13" s="107" t="s">
        <v>152</v>
      </c>
      <c r="L13" s="107" t="s">
        <v>152</v>
      </c>
      <c r="M13" s="107" t="s">
        <v>152</v>
      </c>
      <c r="N13" s="107" t="s">
        <v>152</v>
      </c>
      <c r="O13" s="107" t="s">
        <v>152</v>
      </c>
      <c r="P13" s="107" t="s">
        <v>152</v>
      </c>
      <c r="Q13" s="107" t="s">
        <v>152</v>
      </c>
      <c r="R13" s="295" t="s">
        <v>152</v>
      </c>
    </row>
    <row r="14" spans="1:22" s="63" customFormat="1" ht="15.6" x14ac:dyDescent="0.3">
      <c r="A14" s="75" t="s">
        <v>33</v>
      </c>
      <c r="B14" s="170" t="s">
        <v>152</v>
      </c>
      <c r="C14" s="67" t="s">
        <v>152</v>
      </c>
      <c r="D14" s="67" t="s">
        <v>152</v>
      </c>
      <c r="E14" s="67" t="s">
        <v>152</v>
      </c>
      <c r="F14" s="67" t="s">
        <v>152</v>
      </c>
      <c r="G14" s="107" t="s">
        <v>152</v>
      </c>
      <c r="H14" s="107" t="s">
        <v>152</v>
      </c>
      <c r="I14" s="107" t="s">
        <v>152</v>
      </c>
      <c r="J14" s="107" t="s">
        <v>152</v>
      </c>
      <c r="K14" s="107" t="s">
        <v>152</v>
      </c>
      <c r="L14" s="107" t="s">
        <v>152</v>
      </c>
      <c r="M14" s="107" t="s">
        <v>152</v>
      </c>
      <c r="N14" s="107" t="s">
        <v>152</v>
      </c>
      <c r="O14" s="107" t="s">
        <v>152</v>
      </c>
      <c r="P14" s="107" t="s">
        <v>152</v>
      </c>
      <c r="Q14" s="107" t="s">
        <v>152</v>
      </c>
      <c r="R14" s="295" t="s">
        <v>152</v>
      </c>
    </row>
    <row r="15" spans="1:22" s="63" customFormat="1" ht="15.6" x14ac:dyDescent="0.3">
      <c r="A15" s="75" t="s">
        <v>34</v>
      </c>
      <c r="B15" s="170" t="s">
        <v>152</v>
      </c>
      <c r="C15" s="67" t="s">
        <v>152</v>
      </c>
      <c r="D15" s="67" t="s">
        <v>152</v>
      </c>
      <c r="E15" s="67" t="s">
        <v>152</v>
      </c>
      <c r="F15" s="67" t="s">
        <v>152</v>
      </c>
      <c r="G15" s="107" t="s">
        <v>152</v>
      </c>
      <c r="H15" s="107" t="s">
        <v>152</v>
      </c>
      <c r="I15" s="107" t="s">
        <v>152</v>
      </c>
      <c r="J15" s="107" t="s">
        <v>152</v>
      </c>
      <c r="K15" s="107" t="s">
        <v>152</v>
      </c>
      <c r="L15" s="107" t="s">
        <v>152</v>
      </c>
      <c r="M15" s="107" t="s">
        <v>152</v>
      </c>
      <c r="N15" s="107" t="s">
        <v>152</v>
      </c>
      <c r="O15" s="107" t="s">
        <v>152</v>
      </c>
      <c r="P15" s="107" t="s">
        <v>152</v>
      </c>
      <c r="Q15" s="107" t="s">
        <v>152</v>
      </c>
      <c r="R15" s="295" t="s">
        <v>152</v>
      </c>
    </row>
    <row r="16" spans="1:22" s="63" customFormat="1" ht="16.2" thickBot="1" x14ac:dyDescent="0.35">
      <c r="A16" s="88" t="s">
        <v>36</v>
      </c>
      <c r="B16" s="87" t="s">
        <v>152</v>
      </c>
      <c r="C16" s="72" t="s">
        <v>152</v>
      </c>
      <c r="D16" s="72" t="s">
        <v>152</v>
      </c>
      <c r="E16" s="72" t="s">
        <v>152</v>
      </c>
      <c r="F16" s="72" t="s">
        <v>152</v>
      </c>
      <c r="G16" s="192" t="s">
        <v>152</v>
      </c>
      <c r="H16" s="192" t="s">
        <v>152</v>
      </c>
      <c r="I16" s="192" t="s">
        <v>152</v>
      </c>
      <c r="J16" s="192" t="s">
        <v>152</v>
      </c>
      <c r="K16" s="192" t="s">
        <v>152</v>
      </c>
      <c r="L16" s="192" t="s">
        <v>152</v>
      </c>
      <c r="M16" s="192" t="s">
        <v>152</v>
      </c>
      <c r="N16" s="192" t="s">
        <v>152</v>
      </c>
      <c r="O16" s="192" t="s">
        <v>152</v>
      </c>
      <c r="P16" s="192" t="s">
        <v>152</v>
      </c>
      <c r="Q16" s="192" t="s">
        <v>152</v>
      </c>
      <c r="R16" s="292" t="s">
        <v>152</v>
      </c>
    </row>
    <row r="17" spans="1:19" s="63" customFormat="1" ht="16.2" thickTop="1" x14ac:dyDescent="0.3">
      <c r="A17" s="89" t="s">
        <v>37</v>
      </c>
      <c r="B17" s="90" t="s">
        <v>152</v>
      </c>
      <c r="C17" s="73" t="s">
        <v>152</v>
      </c>
      <c r="D17" s="73" t="s">
        <v>152</v>
      </c>
      <c r="E17" s="73" t="s">
        <v>152</v>
      </c>
      <c r="F17" s="73" t="s">
        <v>152</v>
      </c>
      <c r="G17" s="273">
        <f t="shared" ref="G17:R17" si="0">SUM(G5:G16)</f>
        <v>0</v>
      </c>
      <c r="H17" s="273">
        <f t="shared" si="0"/>
        <v>0</v>
      </c>
      <c r="I17" s="273">
        <f t="shared" si="0"/>
        <v>0</v>
      </c>
      <c r="J17" s="273">
        <f t="shared" si="0"/>
        <v>0</v>
      </c>
      <c r="K17" s="273">
        <f t="shared" si="0"/>
        <v>0</v>
      </c>
      <c r="L17" s="273">
        <f t="shared" si="0"/>
        <v>0</v>
      </c>
      <c r="M17" s="273">
        <f t="shared" si="0"/>
        <v>0</v>
      </c>
      <c r="N17" s="273">
        <f t="shared" si="0"/>
        <v>0</v>
      </c>
      <c r="O17" s="273">
        <f t="shared" si="0"/>
        <v>0</v>
      </c>
      <c r="P17" s="273">
        <f t="shared" si="0"/>
        <v>0</v>
      </c>
      <c r="Q17" s="273">
        <f t="shared" si="0"/>
        <v>0</v>
      </c>
      <c r="R17" s="288">
        <f t="shared" si="0"/>
        <v>169303</v>
      </c>
    </row>
    <row r="18" spans="1:19" s="113" customFormat="1" ht="6.6" x14ac:dyDescent="0.3">
      <c r="A18" s="371" t="s">
        <v>174</v>
      </c>
      <c r="B18" s="371"/>
      <c r="C18" s="371"/>
      <c r="D18" s="371"/>
      <c r="E18" s="371"/>
      <c r="F18" s="371"/>
      <c r="G18" s="371"/>
      <c r="H18" s="371"/>
      <c r="I18" s="371"/>
      <c r="J18" s="371"/>
      <c r="K18" s="371"/>
      <c r="L18" s="371"/>
      <c r="M18" s="371"/>
      <c r="N18" s="371"/>
      <c r="O18" s="371"/>
      <c r="P18" s="371"/>
      <c r="Q18" s="371"/>
      <c r="R18" s="371"/>
    </row>
    <row r="19" spans="1:19" s="106" customFormat="1" ht="18" x14ac:dyDescent="0.3">
      <c r="A19" s="396" t="s">
        <v>270</v>
      </c>
      <c r="B19" s="396"/>
      <c r="C19" s="396"/>
      <c r="D19" s="396"/>
      <c r="E19" s="396"/>
      <c r="F19" s="396"/>
      <c r="G19" s="396"/>
      <c r="H19" s="396"/>
      <c r="I19" s="396"/>
      <c r="J19" s="396"/>
      <c r="K19" s="396"/>
      <c r="L19" s="396"/>
      <c r="M19" s="396"/>
      <c r="N19" s="396"/>
      <c r="O19" s="396"/>
      <c r="P19" s="396"/>
      <c r="Q19" s="396"/>
      <c r="R19" s="396"/>
      <c r="S19" s="396"/>
    </row>
    <row r="20" spans="1:19" s="63" customFormat="1" ht="15.6" x14ac:dyDescent="0.3">
      <c r="A20" s="77" t="s">
        <v>23</v>
      </c>
      <c r="B20" s="91">
        <v>2005</v>
      </c>
      <c r="C20" s="64">
        <v>2005</v>
      </c>
      <c r="D20" s="64">
        <v>2006</v>
      </c>
      <c r="E20" s="64">
        <v>2007</v>
      </c>
      <c r="F20" s="64">
        <v>2008</v>
      </c>
      <c r="G20" s="64">
        <v>2009</v>
      </c>
      <c r="H20" s="64">
        <v>2010</v>
      </c>
      <c r="I20" s="64">
        <v>2011</v>
      </c>
      <c r="J20" s="65">
        <v>2012</v>
      </c>
      <c r="K20" s="65">
        <v>2013</v>
      </c>
      <c r="L20" s="65">
        <v>2014</v>
      </c>
      <c r="M20" s="65">
        <v>2015</v>
      </c>
      <c r="N20" s="65">
        <v>2016</v>
      </c>
      <c r="O20" s="65">
        <v>2017</v>
      </c>
      <c r="P20" s="65">
        <v>2018</v>
      </c>
      <c r="Q20" s="336">
        <v>2019</v>
      </c>
      <c r="R20" s="337">
        <v>2020</v>
      </c>
    </row>
    <row r="21" spans="1:19" s="63" customFormat="1" ht="15.6" x14ac:dyDescent="0.3">
      <c r="A21" s="76" t="s">
        <v>24</v>
      </c>
      <c r="B21" s="108" t="s">
        <v>152</v>
      </c>
      <c r="C21" s="107" t="s">
        <v>152</v>
      </c>
      <c r="D21" s="107" t="s">
        <v>152</v>
      </c>
      <c r="E21" s="107" t="s">
        <v>152</v>
      </c>
      <c r="F21" s="107" t="s">
        <v>152</v>
      </c>
      <c r="G21" s="107" t="s">
        <v>152</v>
      </c>
      <c r="H21" s="107" t="s">
        <v>152</v>
      </c>
      <c r="I21" s="107" t="s">
        <v>152</v>
      </c>
      <c r="J21" s="107" t="s">
        <v>152</v>
      </c>
      <c r="K21" s="107" t="s">
        <v>152</v>
      </c>
      <c r="L21" s="107" t="s">
        <v>152</v>
      </c>
      <c r="M21" s="107" t="s">
        <v>152</v>
      </c>
      <c r="N21" s="107" t="s">
        <v>152</v>
      </c>
      <c r="O21" s="107" t="s">
        <v>152</v>
      </c>
      <c r="P21" s="107" t="s">
        <v>152</v>
      </c>
      <c r="Q21" s="107" t="s">
        <v>152</v>
      </c>
      <c r="R21" s="286">
        <v>0</v>
      </c>
    </row>
    <row r="22" spans="1:19" s="63" customFormat="1" ht="15.6" x14ac:dyDescent="0.3">
      <c r="A22" s="75" t="s">
        <v>25</v>
      </c>
      <c r="B22" s="170" t="s">
        <v>152</v>
      </c>
      <c r="C22" s="67" t="s">
        <v>152</v>
      </c>
      <c r="D22" s="67" t="s">
        <v>152</v>
      </c>
      <c r="E22" s="67" t="s">
        <v>152</v>
      </c>
      <c r="F22" s="67" t="s">
        <v>152</v>
      </c>
      <c r="G22" s="107" t="s">
        <v>152</v>
      </c>
      <c r="H22" s="107" t="s">
        <v>152</v>
      </c>
      <c r="I22" s="107" t="s">
        <v>152</v>
      </c>
      <c r="J22" s="107" t="s">
        <v>152</v>
      </c>
      <c r="K22" s="107" t="s">
        <v>152</v>
      </c>
      <c r="L22" s="107" t="s">
        <v>152</v>
      </c>
      <c r="M22" s="107" t="s">
        <v>152</v>
      </c>
      <c r="N22" s="107" t="s">
        <v>152</v>
      </c>
      <c r="O22" s="107" t="s">
        <v>152</v>
      </c>
      <c r="P22" s="107" t="s">
        <v>152</v>
      </c>
      <c r="Q22" s="107" t="s">
        <v>152</v>
      </c>
      <c r="R22" s="287">
        <v>1391</v>
      </c>
    </row>
    <row r="23" spans="1:19" s="63" customFormat="1" ht="15.6" x14ac:dyDescent="0.3">
      <c r="A23" s="75" t="s">
        <v>26</v>
      </c>
      <c r="B23" s="170" t="s">
        <v>152</v>
      </c>
      <c r="C23" s="67" t="s">
        <v>152</v>
      </c>
      <c r="D23" s="67" t="s">
        <v>152</v>
      </c>
      <c r="E23" s="67" t="s">
        <v>152</v>
      </c>
      <c r="F23" s="67" t="s">
        <v>152</v>
      </c>
      <c r="G23" s="107" t="s">
        <v>152</v>
      </c>
      <c r="H23" s="107" t="s">
        <v>152</v>
      </c>
      <c r="I23" s="107" t="s">
        <v>152</v>
      </c>
      <c r="J23" s="107" t="s">
        <v>152</v>
      </c>
      <c r="K23" s="107" t="s">
        <v>152</v>
      </c>
      <c r="L23" s="107" t="s">
        <v>152</v>
      </c>
      <c r="M23" s="107" t="s">
        <v>152</v>
      </c>
      <c r="N23" s="107" t="s">
        <v>152</v>
      </c>
      <c r="O23" s="107" t="s">
        <v>152</v>
      </c>
      <c r="P23" s="107" t="s">
        <v>152</v>
      </c>
      <c r="Q23" s="107" t="s">
        <v>152</v>
      </c>
      <c r="R23" s="287">
        <v>3813</v>
      </c>
    </row>
    <row r="24" spans="1:19" s="63" customFormat="1" ht="15.6" x14ac:dyDescent="0.3">
      <c r="A24" s="75" t="s">
        <v>27</v>
      </c>
      <c r="B24" s="170" t="s">
        <v>152</v>
      </c>
      <c r="C24" s="67" t="s">
        <v>152</v>
      </c>
      <c r="D24" s="67" t="s">
        <v>152</v>
      </c>
      <c r="E24" s="67" t="s">
        <v>152</v>
      </c>
      <c r="F24" s="67" t="s">
        <v>152</v>
      </c>
      <c r="G24" s="107" t="s">
        <v>152</v>
      </c>
      <c r="H24" s="107" t="s">
        <v>152</v>
      </c>
      <c r="I24" s="107" t="s">
        <v>152</v>
      </c>
      <c r="J24" s="107" t="s">
        <v>152</v>
      </c>
      <c r="K24" s="107" t="s">
        <v>152</v>
      </c>
      <c r="L24" s="107" t="s">
        <v>152</v>
      </c>
      <c r="M24" s="107" t="s">
        <v>152</v>
      </c>
      <c r="N24" s="107" t="s">
        <v>152</v>
      </c>
      <c r="O24" s="107" t="s">
        <v>152</v>
      </c>
      <c r="P24" s="107" t="s">
        <v>152</v>
      </c>
      <c r="Q24" s="107" t="s">
        <v>152</v>
      </c>
      <c r="R24" s="287">
        <v>5214</v>
      </c>
    </row>
    <row r="25" spans="1:19" s="63" customFormat="1" ht="15.6" x14ac:dyDescent="0.3">
      <c r="A25" s="75" t="s">
        <v>28</v>
      </c>
      <c r="B25" s="170" t="s">
        <v>152</v>
      </c>
      <c r="C25" s="67" t="s">
        <v>152</v>
      </c>
      <c r="D25" s="67" t="s">
        <v>152</v>
      </c>
      <c r="E25" s="67" t="s">
        <v>152</v>
      </c>
      <c r="F25" s="67" t="s">
        <v>152</v>
      </c>
      <c r="G25" s="107" t="s">
        <v>152</v>
      </c>
      <c r="H25" s="107" t="s">
        <v>152</v>
      </c>
      <c r="I25" s="107" t="s">
        <v>152</v>
      </c>
      <c r="J25" s="107" t="s">
        <v>152</v>
      </c>
      <c r="K25" s="107" t="s">
        <v>152</v>
      </c>
      <c r="L25" s="107" t="s">
        <v>152</v>
      </c>
      <c r="M25" s="107" t="s">
        <v>152</v>
      </c>
      <c r="N25" s="107" t="s">
        <v>152</v>
      </c>
      <c r="O25" s="107" t="s">
        <v>152</v>
      </c>
      <c r="P25" s="107" t="s">
        <v>152</v>
      </c>
      <c r="Q25" s="107" t="s">
        <v>152</v>
      </c>
      <c r="R25" s="287">
        <v>4389</v>
      </c>
    </row>
    <row r="26" spans="1:19" s="63" customFormat="1" ht="15.6" x14ac:dyDescent="0.3">
      <c r="A26" s="75" t="s">
        <v>29</v>
      </c>
      <c r="B26" s="170" t="s">
        <v>152</v>
      </c>
      <c r="C26" s="67" t="s">
        <v>152</v>
      </c>
      <c r="D26" s="67" t="s">
        <v>152</v>
      </c>
      <c r="E26" s="67" t="s">
        <v>152</v>
      </c>
      <c r="F26" s="67" t="s">
        <v>152</v>
      </c>
      <c r="G26" s="107" t="s">
        <v>152</v>
      </c>
      <c r="H26" s="107" t="s">
        <v>152</v>
      </c>
      <c r="I26" s="107" t="s">
        <v>152</v>
      </c>
      <c r="J26" s="107" t="s">
        <v>152</v>
      </c>
      <c r="K26" s="107" t="s">
        <v>152</v>
      </c>
      <c r="L26" s="107" t="s">
        <v>152</v>
      </c>
      <c r="M26" s="107" t="s">
        <v>152</v>
      </c>
      <c r="N26" s="107" t="s">
        <v>152</v>
      </c>
      <c r="O26" s="107" t="s">
        <v>152</v>
      </c>
      <c r="P26" s="107" t="s">
        <v>152</v>
      </c>
      <c r="Q26" s="107" t="s">
        <v>152</v>
      </c>
      <c r="R26" s="287">
        <v>3796</v>
      </c>
    </row>
    <row r="27" spans="1:19" s="63" customFormat="1" ht="15.6" x14ac:dyDescent="0.3">
      <c r="A27" s="75" t="s">
        <v>30</v>
      </c>
      <c r="B27" s="170" t="s">
        <v>152</v>
      </c>
      <c r="C27" s="67" t="s">
        <v>152</v>
      </c>
      <c r="D27" s="67" t="s">
        <v>152</v>
      </c>
      <c r="E27" s="67" t="s">
        <v>152</v>
      </c>
      <c r="F27" s="67" t="s">
        <v>152</v>
      </c>
      <c r="G27" s="107" t="s">
        <v>152</v>
      </c>
      <c r="H27" s="107" t="s">
        <v>152</v>
      </c>
      <c r="I27" s="107" t="s">
        <v>152</v>
      </c>
      <c r="J27" s="107" t="s">
        <v>152</v>
      </c>
      <c r="K27" s="107" t="s">
        <v>152</v>
      </c>
      <c r="L27" s="107" t="s">
        <v>152</v>
      </c>
      <c r="M27" s="107" t="s">
        <v>152</v>
      </c>
      <c r="N27" s="107" t="s">
        <v>152</v>
      </c>
      <c r="O27" s="107" t="s">
        <v>152</v>
      </c>
      <c r="P27" s="107" t="s">
        <v>152</v>
      </c>
      <c r="Q27" s="174" t="s">
        <v>152</v>
      </c>
      <c r="R27" s="291" t="s">
        <v>152</v>
      </c>
    </row>
    <row r="28" spans="1:19" s="63" customFormat="1" ht="15.6" x14ac:dyDescent="0.3">
      <c r="A28" s="75" t="s">
        <v>31</v>
      </c>
      <c r="B28" s="170" t="s">
        <v>152</v>
      </c>
      <c r="C28" s="67" t="s">
        <v>152</v>
      </c>
      <c r="D28" s="67" t="s">
        <v>152</v>
      </c>
      <c r="E28" s="67" t="s">
        <v>152</v>
      </c>
      <c r="F28" s="67" t="s">
        <v>152</v>
      </c>
      <c r="G28" s="107" t="s">
        <v>152</v>
      </c>
      <c r="H28" s="107" t="s">
        <v>152</v>
      </c>
      <c r="I28" s="107" t="s">
        <v>152</v>
      </c>
      <c r="J28" s="107" t="s">
        <v>152</v>
      </c>
      <c r="K28" s="107" t="s">
        <v>152</v>
      </c>
      <c r="L28" s="107" t="s">
        <v>152</v>
      </c>
      <c r="M28" s="107" t="s">
        <v>152</v>
      </c>
      <c r="N28" s="107" t="s">
        <v>152</v>
      </c>
      <c r="O28" s="107" t="s">
        <v>152</v>
      </c>
      <c r="P28" s="107" t="s">
        <v>152</v>
      </c>
      <c r="Q28" s="107" t="s">
        <v>152</v>
      </c>
      <c r="R28" s="295" t="s">
        <v>152</v>
      </c>
    </row>
    <row r="29" spans="1:19" s="63" customFormat="1" ht="15.6" x14ac:dyDescent="0.3">
      <c r="A29" s="75" t="s">
        <v>32</v>
      </c>
      <c r="B29" s="170" t="s">
        <v>152</v>
      </c>
      <c r="C29" s="67" t="s">
        <v>152</v>
      </c>
      <c r="D29" s="67" t="s">
        <v>152</v>
      </c>
      <c r="E29" s="67" t="s">
        <v>152</v>
      </c>
      <c r="F29" s="67" t="s">
        <v>152</v>
      </c>
      <c r="G29" s="107" t="s">
        <v>152</v>
      </c>
      <c r="H29" s="107" t="s">
        <v>152</v>
      </c>
      <c r="I29" s="107" t="s">
        <v>152</v>
      </c>
      <c r="J29" s="107" t="s">
        <v>152</v>
      </c>
      <c r="K29" s="107" t="s">
        <v>152</v>
      </c>
      <c r="L29" s="107" t="s">
        <v>152</v>
      </c>
      <c r="M29" s="107" t="s">
        <v>152</v>
      </c>
      <c r="N29" s="107" t="s">
        <v>152</v>
      </c>
      <c r="O29" s="107" t="s">
        <v>152</v>
      </c>
      <c r="P29" s="107" t="s">
        <v>152</v>
      </c>
      <c r="Q29" s="107" t="s">
        <v>152</v>
      </c>
      <c r="R29" s="295" t="s">
        <v>152</v>
      </c>
    </row>
    <row r="30" spans="1:19" s="63" customFormat="1" ht="15.6" x14ac:dyDescent="0.3">
      <c r="A30" s="75" t="s">
        <v>33</v>
      </c>
      <c r="B30" s="170" t="s">
        <v>152</v>
      </c>
      <c r="C30" s="67" t="s">
        <v>152</v>
      </c>
      <c r="D30" s="67" t="s">
        <v>152</v>
      </c>
      <c r="E30" s="67" t="s">
        <v>152</v>
      </c>
      <c r="F30" s="67" t="s">
        <v>152</v>
      </c>
      <c r="G30" s="107" t="s">
        <v>152</v>
      </c>
      <c r="H30" s="107" t="s">
        <v>152</v>
      </c>
      <c r="I30" s="107" t="s">
        <v>152</v>
      </c>
      <c r="J30" s="107" t="s">
        <v>152</v>
      </c>
      <c r="K30" s="107" t="s">
        <v>152</v>
      </c>
      <c r="L30" s="107" t="s">
        <v>152</v>
      </c>
      <c r="M30" s="107" t="s">
        <v>152</v>
      </c>
      <c r="N30" s="107" t="s">
        <v>152</v>
      </c>
      <c r="O30" s="107" t="s">
        <v>152</v>
      </c>
      <c r="P30" s="107" t="s">
        <v>152</v>
      </c>
      <c r="Q30" s="107" t="s">
        <v>152</v>
      </c>
      <c r="R30" s="295" t="s">
        <v>152</v>
      </c>
    </row>
    <row r="31" spans="1:19" s="63" customFormat="1" ht="15.6" x14ac:dyDescent="0.3">
      <c r="A31" s="75" t="s">
        <v>34</v>
      </c>
      <c r="B31" s="170" t="s">
        <v>152</v>
      </c>
      <c r="C31" s="67" t="s">
        <v>152</v>
      </c>
      <c r="D31" s="67" t="s">
        <v>152</v>
      </c>
      <c r="E31" s="67" t="s">
        <v>152</v>
      </c>
      <c r="F31" s="67" t="s">
        <v>152</v>
      </c>
      <c r="G31" s="107" t="s">
        <v>152</v>
      </c>
      <c r="H31" s="107" t="s">
        <v>152</v>
      </c>
      <c r="I31" s="107" t="s">
        <v>152</v>
      </c>
      <c r="J31" s="107" t="s">
        <v>152</v>
      </c>
      <c r="K31" s="107" t="s">
        <v>152</v>
      </c>
      <c r="L31" s="107" t="s">
        <v>152</v>
      </c>
      <c r="M31" s="107" t="s">
        <v>152</v>
      </c>
      <c r="N31" s="107" t="s">
        <v>152</v>
      </c>
      <c r="O31" s="107" t="s">
        <v>152</v>
      </c>
      <c r="P31" s="107" t="s">
        <v>152</v>
      </c>
      <c r="Q31" s="107" t="s">
        <v>152</v>
      </c>
      <c r="R31" s="295" t="s">
        <v>152</v>
      </c>
    </row>
    <row r="32" spans="1:19" s="63" customFormat="1" ht="16.2" thickBot="1" x14ac:dyDescent="0.35">
      <c r="A32" s="88" t="s">
        <v>36</v>
      </c>
      <c r="B32" s="87" t="s">
        <v>152</v>
      </c>
      <c r="C32" s="72" t="s">
        <v>152</v>
      </c>
      <c r="D32" s="72" t="s">
        <v>152</v>
      </c>
      <c r="E32" s="72" t="s">
        <v>152</v>
      </c>
      <c r="F32" s="72" t="s">
        <v>152</v>
      </c>
      <c r="G32" s="192" t="s">
        <v>152</v>
      </c>
      <c r="H32" s="192" t="s">
        <v>152</v>
      </c>
      <c r="I32" s="192" t="s">
        <v>152</v>
      </c>
      <c r="J32" s="192" t="s">
        <v>152</v>
      </c>
      <c r="K32" s="192" t="s">
        <v>152</v>
      </c>
      <c r="L32" s="192" t="s">
        <v>152</v>
      </c>
      <c r="M32" s="192" t="s">
        <v>152</v>
      </c>
      <c r="N32" s="192" t="s">
        <v>152</v>
      </c>
      <c r="O32" s="192" t="s">
        <v>152</v>
      </c>
      <c r="P32" s="192" t="s">
        <v>152</v>
      </c>
      <c r="Q32" s="192" t="s">
        <v>152</v>
      </c>
      <c r="R32" s="292" t="s">
        <v>152</v>
      </c>
    </row>
    <row r="33" spans="1:18" s="63" customFormat="1" ht="16.2" thickTop="1" x14ac:dyDescent="0.3">
      <c r="A33" s="89" t="s">
        <v>37</v>
      </c>
      <c r="B33" s="90" t="s">
        <v>152</v>
      </c>
      <c r="C33" s="73" t="s">
        <v>152</v>
      </c>
      <c r="D33" s="73" t="s">
        <v>152</v>
      </c>
      <c r="E33" s="73" t="s">
        <v>152</v>
      </c>
      <c r="F33" s="73" t="s">
        <v>152</v>
      </c>
      <c r="G33" s="273">
        <f t="shared" ref="G33:R33" si="1">SUM(G21:G32)</f>
        <v>0</v>
      </c>
      <c r="H33" s="273">
        <f t="shared" si="1"/>
        <v>0</v>
      </c>
      <c r="I33" s="273">
        <f t="shared" si="1"/>
        <v>0</v>
      </c>
      <c r="J33" s="273">
        <f t="shared" si="1"/>
        <v>0</v>
      </c>
      <c r="K33" s="273">
        <f t="shared" si="1"/>
        <v>0</v>
      </c>
      <c r="L33" s="273">
        <f t="shared" si="1"/>
        <v>0</v>
      </c>
      <c r="M33" s="273">
        <f t="shared" si="1"/>
        <v>0</v>
      </c>
      <c r="N33" s="273">
        <f t="shared" si="1"/>
        <v>0</v>
      </c>
      <c r="O33" s="273">
        <f t="shared" si="1"/>
        <v>0</v>
      </c>
      <c r="P33" s="273">
        <f t="shared" si="1"/>
        <v>0</v>
      </c>
      <c r="Q33" s="273">
        <f t="shared" si="1"/>
        <v>0</v>
      </c>
      <c r="R33" s="288">
        <f t="shared" si="1"/>
        <v>18603</v>
      </c>
    </row>
    <row r="34" spans="1:18" s="113" customFormat="1" ht="6.6" x14ac:dyDescent="0.3">
      <c r="A34" s="371" t="s">
        <v>174</v>
      </c>
      <c r="B34" s="371"/>
      <c r="C34" s="371"/>
      <c r="D34" s="371"/>
      <c r="E34" s="371"/>
      <c r="F34" s="371"/>
      <c r="G34" s="371"/>
      <c r="H34" s="371"/>
      <c r="I34" s="371"/>
      <c r="J34" s="371"/>
      <c r="K34" s="371"/>
      <c r="L34" s="371"/>
      <c r="M34" s="371"/>
      <c r="N34" s="371"/>
      <c r="O34" s="371"/>
      <c r="P34" s="371"/>
      <c r="Q34" s="371"/>
      <c r="R34" s="371"/>
    </row>
    <row r="35" spans="1:18" s="106" customFormat="1" ht="18" x14ac:dyDescent="0.3">
      <c r="A35" s="370" t="s">
        <v>271</v>
      </c>
      <c r="B35" s="370"/>
      <c r="C35" s="370"/>
      <c r="D35" s="370"/>
      <c r="E35" s="370"/>
      <c r="F35" s="370"/>
      <c r="G35" s="370"/>
      <c r="H35" s="370"/>
      <c r="I35" s="370"/>
      <c r="J35" s="370"/>
      <c r="K35" s="370"/>
      <c r="L35" s="370"/>
      <c r="M35" s="370"/>
      <c r="N35" s="370"/>
      <c r="O35" s="370"/>
      <c r="P35" s="370"/>
      <c r="Q35" s="370"/>
      <c r="R35" s="370"/>
    </row>
    <row r="36" spans="1:18" s="63" customFormat="1" ht="15.6" x14ac:dyDescent="0.3">
      <c r="A36" s="77" t="s">
        <v>23</v>
      </c>
      <c r="B36" s="91">
        <v>2005</v>
      </c>
      <c r="C36" s="64">
        <v>2005</v>
      </c>
      <c r="D36" s="64">
        <v>2006</v>
      </c>
      <c r="E36" s="64">
        <v>2007</v>
      </c>
      <c r="F36" s="64">
        <v>2008</v>
      </c>
      <c r="G36" s="64">
        <v>2009</v>
      </c>
      <c r="H36" s="64">
        <v>2010</v>
      </c>
      <c r="I36" s="64">
        <v>2011</v>
      </c>
      <c r="J36" s="65">
        <v>2012</v>
      </c>
      <c r="K36" s="65">
        <v>2013</v>
      </c>
      <c r="L36" s="65">
        <v>2014</v>
      </c>
      <c r="M36" s="65">
        <v>2015</v>
      </c>
      <c r="N36" s="65">
        <v>2016</v>
      </c>
      <c r="O36" s="65">
        <v>2017</v>
      </c>
      <c r="P36" s="65">
        <v>2018</v>
      </c>
      <c r="Q36" s="336">
        <v>2019</v>
      </c>
      <c r="R36" s="337">
        <v>2020</v>
      </c>
    </row>
    <row r="37" spans="1:18" s="63" customFormat="1" ht="15.6" x14ac:dyDescent="0.3">
      <c r="A37" s="76" t="s">
        <v>24</v>
      </c>
      <c r="B37" s="108" t="s">
        <v>152</v>
      </c>
      <c r="C37" s="107" t="s">
        <v>152</v>
      </c>
      <c r="D37" s="107" t="s">
        <v>152</v>
      </c>
      <c r="E37" s="107" t="s">
        <v>152</v>
      </c>
      <c r="F37" s="107" t="s">
        <v>152</v>
      </c>
      <c r="G37" s="107" t="s">
        <v>152</v>
      </c>
      <c r="H37" s="107" t="s">
        <v>152</v>
      </c>
      <c r="I37" s="107" t="s">
        <v>152</v>
      </c>
      <c r="J37" s="107" t="s">
        <v>152</v>
      </c>
      <c r="K37" s="107" t="s">
        <v>152</v>
      </c>
      <c r="L37" s="107" t="s">
        <v>152</v>
      </c>
      <c r="M37" s="107" t="s">
        <v>152</v>
      </c>
      <c r="N37" s="107" t="s">
        <v>152</v>
      </c>
      <c r="O37" s="107" t="s">
        <v>152</v>
      </c>
      <c r="P37" s="107" t="s">
        <v>152</v>
      </c>
      <c r="Q37" s="107" t="s">
        <v>152</v>
      </c>
      <c r="R37" s="286">
        <v>0</v>
      </c>
    </row>
    <row r="38" spans="1:18" s="63" customFormat="1" ht="15.6" x14ac:dyDescent="0.3">
      <c r="A38" s="75" t="s">
        <v>25</v>
      </c>
      <c r="B38" s="170" t="s">
        <v>152</v>
      </c>
      <c r="C38" s="67" t="s">
        <v>152</v>
      </c>
      <c r="D38" s="67" t="s">
        <v>152</v>
      </c>
      <c r="E38" s="67" t="s">
        <v>152</v>
      </c>
      <c r="F38" s="67" t="s">
        <v>152</v>
      </c>
      <c r="G38" s="107" t="s">
        <v>152</v>
      </c>
      <c r="H38" s="107" t="s">
        <v>152</v>
      </c>
      <c r="I38" s="107" t="s">
        <v>152</v>
      </c>
      <c r="J38" s="107" t="s">
        <v>152</v>
      </c>
      <c r="K38" s="107" t="s">
        <v>152</v>
      </c>
      <c r="L38" s="107" t="s">
        <v>152</v>
      </c>
      <c r="M38" s="107" t="s">
        <v>152</v>
      </c>
      <c r="N38" s="107" t="s">
        <v>152</v>
      </c>
      <c r="O38" s="107" t="s">
        <v>152</v>
      </c>
      <c r="P38" s="107" t="s">
        <v>152</v>
      </c>
      <c r="Q38" s="107" t="s">
        <v>152</v>
      </c>
      <c r="R38" s="287">
        <v>0</v>
      </c>
    </row>
    <row r="39" spans="1:18" s="63" customFormat="1" ht="15.6" x14ac:dyDescent="0.3">
      <c r="A39" s="75" t="s">
        <v>26</v>
      </c>
      <c r="B39" s="170" t="s">
        <v>152</v>
      </c>
      <c r="C39" s="67" t="s">
        <v>152</v>
      </c>
      <c r="D39" s="67" t="s">
        <v>152</v>
      </c>
      <c r="E39" s="67" t="s">
        <v>152</v>
      </c>
      <c r="F39" s="67" t="s">
        <v>152</v>
      </c>
      <c r="G39" s="107" t="s">
        <v>152</v>
      </c>
      <c r="H39" s="107" t="s">
        <v>152</v>
      </c>
      <c r="I39" s="107" t="s">
        <v>152</v>
      </c>
      <c r="J39" s="107" t="s">
        <v>152</v>
      </c>
      <c r="K39" s="107" t="s">
        <v>152</v>
      </c>
      <c r="L39" s="107" t="s">
        <v>152</v>
      </c>
      <c r="M39" s="107" t="s">
        <v>152</v>
      </c>
      <c r="N39" s="107" t="s">
        <v>152</v>
      </c>
      <c r="O39" s="107" t="s">
        <v>152</v>
      </c>
      <c r="P39" s="107" t="s">
        <v>152</v>
      </c>
      <c r="Q39" s="107" t="s">
        <v>152</v>
      </c>
      <c r="R39" s="287">
        <v>0</v>
      </c>
    </row>
    <row r="40" spans="1:18" s="63" customFormat="1" ht="15.6" x14ac:dyDescent="0.3">
      <c r="A40" s="75" t="s">
        <v>27</v>
      </c>
      <c r="B40" s="170" t="s">
        <v>152</v>
      </c>
      <c r="C40" s="67" t="s">
        <v>152</v>
      </c>
      <c r="D40" s="67" t="s">
        <v>152</v>
      </c>
      <c r="E40" s="67" t="s">
        <v>152</v>
      </c>
      <c r="F40" s="67" t="s">
        <v>152</v>
      </c>
      <c r="G40" s="107" t="s">
        <v>152</v>
      </c>
      <c r="H40" s="107" t="s">
        <v>152</v>
      </c>
      <c r="I40" s="107" t="s">
        <v>152</v>
      </c>
      <c r="J40" s="107" t="s">
        <v>152</v>
      </c>
      <c r="K40" s="107" t="s">
        <v>152</v>
      </c>
      <c r="L40" s="107" t="s">
        <v>152</v>
      </c>
      <c r="M40" s="107" t="s">
        <v>152</v>
      </c>
      <c r="N40" s="107" t="s">
        <v>152</v>
      </c>
      <c r="O40" s="107" t="s">
        <v>152</v>
      </c>
      <c r="P40" s="107" t="s">
        <v>152</v>
      </c>
      <c r="Q40" s="174" t="s">
        <v>152</v>
      </c>
      <c r="R40" s="287">
        <v>0</v>
      </c>
    </row>
    <row r="41" spans="1:18" s="63" customFormat="1" ht="15.6" x14ac:dyDescent="0.3">
      <c r="A41" s="75" t="s">
        <v>28</v>
      </c>
      <c r="B41" s="170" t="s">
        <v>152</v>
      </c>
      <c r="C41" s="67" t="s">
        <v>152</v>
      </c>
      <c r="D41" s="67" t="s">
        <v>152</v>
      </c>
      <c r="E41" s="67" t="s">
        <v>152</v>
      </c>
      <c r="F41" s="67" t="s">
        <v>152</v>
      </c>
      <c r="G41" s="107" t="s">
        <v>152</v>
      </c>
      <c r="H41" s="107" t="s">
        <v>152</v>
      </c>
      <c r="I41" s="107" t="s">
        <v>152</v>
      </c>
      <c r="J41" s="107" t="s">
        <v>152</v>
      </c>
      <c r="K41" s="107" t="s">
        <v>152</v>
      </c>
      <c r="L41" s="107" t="s">
        <v>152</v>
      </c>
      <c r="M41" s="107" t="s">
        <v>152</v>
      </c>
      <c r="N41" s="107" t="s">
        <v>152</v>
      </c>
      <c r="O41" s="107" t="s">
        <v>152</v>
      </c>
      <c r="P41" s="107" t="s">
        <v>152</v>
      </c>
      <c r="Q41" s="107" t="s">
        <v>152</v>
      </c>
      <c r="R41" s="287">
        <v>0</v>
      </c>
    </row>
    <row r="42" spans="1:18" s="63" customFormat="1" ht="15.6" x14ac:dyDescent="0.3">
      <c r="A42" s="75" t="s">
        <v>29</v>
      </c>
      <c r="B42" s="170" t="s">
        <v>152</v>
      </c>
      <c r="C42" s="67" t="s">
        <v>152</v>
      </c>
      <c r="D42" s="67" t="s">
        <v>152</v>
      </c>
      <c r="E42" s="67" t="s">
        <v>152</v>
      </c>
      <c r="F42" s="67" t="s">
        <v>152</v>
      </c>
      <c r="G42" s="107" t="s">
        <v>152</v>
      </c>
      <c r="H42" s="107" t="s">
        <v>152</v>
      </c>
      <c r="I42" s="107" t="s">
        <v>152</v>
      </c>
      <c r="J42" s="107" t="s">
        <v>152</v>
      </c>
      <c r="K42" s="107" t="s">
        <v>152</v>
      </c>
      <c r="L42" s="107" t="s">
        <v>152</v>
      </c>
      <c r="M42" s="107" t="s">
        <v>152</v>
      </c>
      <c r="N42" s="107" t="s">
        <v>152</v>
      </c>
      <c r="O42" s="107" t="s">
        <v>152</v>
      </c>
      <c r="P42" s="107" t="s">
        <v>152</v>
      </c>
      <c r="Q42" s="107" t="s">
        <v>152</v>
      </c>
      <c r="R42" s="287">
        <v>0</v>
      </c>
    </row>
    <row r="43" spans="1:18" s="63" customFormat="1" ht="15.6" x14ac:dyDescent="0.3">
      <c r="A43" s="75" t="s">
        <v>30</v>
      </c>
      <c r="B43" s="170" t="s">
        <v>152</v>
      </c>
      <c r="C43" s="67" t="s">
        <v>152</v>
      </c>
      <c r="D43" s="67" t="s">
        <v>152</v>
      </c>
      <c r="E43" s="67" t="s">
        <v>152</v>
      </c>
      <c r="F43" s="67" t="s">
        <v>152</v>
      </c>
      <c r="G43" s="107" t="s">
        <v>152</v>
      </c>
      <c r="H43" s="107" t="s">
        <v>152</v>
      </c>
      <c r="I43" s="107" t="s">
        <v>152</v>
      </c>
      <c r="J43" s="107" t="s">
        <v>152</v>
      </c>
      <c r="K43" s="107" t="s">
        <v>152</v>
      </c>
      <c r="L43" s="107" t="s">
        <v>152</v>
      </c>
      <c r="M43" s="107" t="s">
        <v>152</v>
      </c>
      <c r="N43" s="107" t="s">
        <v>152</v>
      </c>
      <c r="O43" s="107" t="s">
        <v>152</v>
      </c>
      <c r="P43" s="107" t="s">
        <v>152</v>
      </c>
      <c r="Q43" s="107" t="s">
        <v>152</v>
      </c>
      <c r="R43" s="291" t="s">
        <v>152</v>
      </c>
    </row>
    <row r="44" spans="1:18" s="63" customFormat="1" ht="15.6" x14ac:dyDescent="0.3">
      <c r="A44" s="75" t="s">
        <v>31</v>
      </c>
      <c r="B44" s="170" t="s">
        <v>152</v>
      </c>
      <c r="C44" s="67" t="s">
        <v>152</v>
      </c>
      <c r="D44" s="67" t="s">
        <v>152</v>
      </c>
      <c r="E44" s="67" t="s">
        <v>152</v>
      </c>
      <c r="F44" s="67" t="s">
        <v>152</v>
      </c>
      <c r="G44" s="107" t="s">
        <v>152</v>
      </c>
      <c r="H44" s="107" t="s">
        <v>152</v>
      </c>
      <c r="I44" s="107" t="s">
        <v>152</v>
      </c>
      <c r="J44" s="107" t="s">
        <v>152</v>
      </c>
      <c r="K44" s="107" t="s">
        <v>152</v>
      </c>
      <c r="L44" s="107" t="s">
        <v>152</v>
      </c>
      <c r="M44" s="107" t="s">
        <v>152</v>
      </c>
      <c r="N44" s="107" t="s">
        <v>152</v>
      </c>
      <c r="O44" s="107" t="s">
        <v>152</v>
      </c>
      <c r="P44" s="107" t="s">
        <v>152</v>
      </c>
      <c r="Q44" s="107" t="s">
        <v>152</v>
      </c>
      <c r="R44" s="295" t="s">
        <v>152</v>
      </c>
    </row>
    <row r="45" spans="1:18" s="63" customFormat="1" ht="15.6" x14ac:dyDescent="0.3">
      <c r="A45" s="75" t="s">
        <v>32</v>
      </c>
      <c r="B45" s="170" t="s">
        <v>152</v>
      </c>
      <c r="C45" s="67" t="s">
        <v>152</v>
      </c>
      <c r="D45" s="67" t="s">
        <v>152</v>
      </c>
      <c r="E45" s="67" t="s">
        <v>152</v>
      </c>
      <c r="F45" s="67" t="s">
        <v>152</v>
      </c>
      <c r="G45" s="107" t="s">
        <v>152</v>
      </c>
      <c r="H45" s="107" t="s">
        <v>152</v>
      </c>
      <c r="I45" s="107" t="s">
        <v>152</v>
      </c>
      <c r="J45" s="107" t="s">
        <v>152</v>
      </c>
      <c r="K45" s="107" t="s">
        <v>152</v>
      </c>
      <c r="L45" s="107" t="s">
        <v>152</v>
      </c>
      <c r="M45" s="107" t="s">
        <v>152</v>
      </c>
      <c r="N45" s="107" t="s">
        <v>152</v>
      </c>
      <c r="O45" s="107" t="s">
        <v>152</v>
      </c>
      <c r="P45" s="107" t="s">
        <v>152</v>
      </c>
      <c r="Q45" s="107" t="s">
        <v>152</v>
      </c>
      <c r="R45" s="295" t="s">
        <v>152</v>
      </c>
    </row>
    <row r="46" spans="1:18" s="63" customFormat="1" ht="15.6" x14ac:dyDescent="0.3">
      <c r="A46" s="75" t="s">
        <v>33</v>
      </c>
      <c r="B46" s="170" t="s">
        <v>152</v>
      </c>
      <c r="C46" s="67" t="s">
        <v>152</v>
      </c>
      <c r="D46" s="67" t="s">
        <v>152</v>
      </c>
      <c r="E46" s="67" t="s">
        <v>152</v>
      </c>
      <c r="F46" s="67" t="s">
        <v>152</v>
      </c>
      <c r="G46" s="107" t="s">
        <v>152</v>
      </c>
      <c r="H46" s="107" t="s">
        <v>152</v>
      </c>
      <c r="I46" s="107" t="s">
        <v>152</v>
      </c>
      <c r="J46" s="107" t="s">
        <v>152</v>
      </c>
      <c r="K46" s="107" t="s">
        <v>152</v>
      </c>
      <c r="L46" s="107" t="s">
        <v>152</v>
      </c>
      <c r="M46" s="107" t="s">
        <v>152</v>
      </c>
      <c r="N46" s="107" t="s">
        <v>152</v>
      </c>
      <c r="O46" s="107" t="s">
        <v>152</v>
      </c>
      <c r="P46" s="107" t="s">
        <v>152</v>
      </c>
      <c r="Q46" s="107" t="s">
        <v>152</v>
      </c>
      <c r="R46" s="295" t="s">
        <v>152</v>
      </c>
    </row>
    <row r="47" spans="1:18" s="63" customFormat="1" ht="15.6" x14ac:dyDescent="0.3">
      <c r="A47" s="75" t="s">
        <v>34</v>
      </c>
      <c r="B47" s="170" t="s">
        <v>152</v>
      </c>
      <c r="C47" s="67" t="s">
        <v>152</v>
      </c>
      <c r="D47" s="67" t="s">
        <v>152</v>
      </c>
      <c r="E47" s="67" t="s">
        <v>152</v>
      </c>
      <c r="F47" s="67" t="s">
        <v>152</v>
      </c>
      <c r="G47" s="107" t="s">
        <v>152</v>
      </c>
      <c r="H47" s="107" t="s">
        <v>152</v>
      </c>
      <c r="I47" s="107" t="s">
        <v>152</v>
      </c>
      <c r="J47" s="107" t="s">
        <v>152</v>
      </c>
      <c r="K47" s="107" t="s">
        <v>152</v>
      </c>
      <c r="L47" s="107" t="s">
        <v>152</v>
      </c>
      <c r="M47" s="107" t="s">
        <v>152</v>
      </c>
      <c r="N47" s="107" t="s">
        <v>152</v>
      </c>
      <c r="O47" s="107" t="s">
        <v>152</v>
      </c>
      <c r="P47" s="107" t="s">
        <v>152</v>
      </c>
      <c r="Q47" s="107" t="s">
        <v>152</v>
      </c>
      <c r="R47" s="295" t="s">
        <v>152</v>
      </c>
    </row>
    <row r="48" spans="1:18" s="63" customFormat="1" ht="16.2" thickBot="1" x14ac:dyDescent="0.35">
      <c r="A48" s="88" t="s">
        <v>36</v>
      </c>
      <c r="B48" s="87" t="s">
        <v>152</v>
      </c>
      <c r="C48" s="72" t="s">
        <v>152</v>
      </c>
      <c r="D48" s="72" t="s">
        <v>152</v>
      </c>
      <c r="E48" s="72" t="s">
        <v>152</v>
      </c>
      <c r="F48" s="72" t="s">
        <v>152</v>
      </c>
      <c r="G48" s="192" t="s">
        <v>152</v>
      </c>
      <c r="H48" s="192" t="s">
        <v>152</v>
      </c>
      <c r="I48" s="192" t="s">
        <v>152</v>
      </c>
      <c r="J48" s="192" t="s">
        <v>152</v>
      </c>
      <c r="K48" s="192" t="s">
        <v>152</v>
      </c>
      <c r="L48" s="192" t="s">
        <v>152</v>
      </c>
      <c r="M48" s="192" t="s">
        <v>152</v>
      </c>
      <c r="N48" s="192" t="s">
        <v>152</v>
      </c>
      <c r="O48" s="192" t="s">
        <v>152</v>
      </c>
      <c r="P48" s="192" t="s">
        <v>152</v>
      </c>
      <c r="Q48" s="192" t="s">
        <v>152</v>
      </c>
      <c r="R48" s="292" t="s">
        <v>152</v>
      </c>
    </row>
    <row r="49" spans="1:21" s="63" customFormat="1" ht="16.2" thickTop="1" x14ac:dyDescent="0.3">
      <c r="A49" s="89" t="s">
        <v>37</v>
      </c>
      <c r="B49" s="90" t="s">
        <v>152</v>
      </c>
      <c r="C49" s="73" t="s">
        <v>152</v>
      </c>
      <c r="D49" s="73" t="s">
        <v>152</v>
      </c>
      <c r="E49" s="73" t="s">
        <v>152</v>
      </c>
      <c r="F49" s="73" t="s">
        <v>152</v>
      </c>
      <c r="G49" s="273">
        <f t="shared" ref="G49:R49" si="2">SUM(G37:G48)</f>
        <v>0</v>
      </c>
      <c r="H49" s="273">
        <f t="shared" si="2"/>
        <v>0</v>
      </c>
      <c r="I49" s="273">
        <f t="shared" si="2"/>
        <v>0</v>
      </c>
      <c r="J49" s="273">
        <f t="shared" si="2"/>
        <v>0</v>
      </c>
      <c r="K49" s="273">
        <f t="shared" si="2"/>
        <v>0</v>
      </c>
      <c r="L49" s="273">
        <f t="shared" si="2"/>
        <v>0</v>
      </c>
      <c r="M49" s="273">
        <f t="shared" si="2"/>
        <v>0</v>
      </c>
      <c r="N49" s="273">
        <f t="shared" si="2"/>
        <v>0</v>
      </c>
      <c r="O49" s="273">
        <f t="shared" si="2"/>
        <v>0</v>
      </c>
      <c r="P49" s="273">
        <f t="shared" si="2"/>
        <v>0</v>
      </c>
      <c r="Q49" s="273">
        <f t="shared" si="2"/>
        <v>0</v>
      </c>
      <c r="R49" s="288">
        <f t="shared" si="2"/>
        <v>0</v>
      </c>
    </row>
    <row r="50" spans="1:21" s="113" customFormat="1" ht="6.6" x14ac:dyDescent="0.3">
      <c r="A50" s="371" t="s">
        <v>174</v>
      </c>
      <c r="B50" s="371"/>
      <c r="C50" s="371"/>
      <c r="D50" s="371"/>
      <c r="E50" s="371"/>
      <c r="F50" s="371"/>
      <c r="G50" s="371"/>
      <c r="H50" s="371"/>
      <c r="I50" s="371"/>
      <c r="J50" s="371"/>
      <c r="K50" s="371"/>
      <c r="L50" s="371"/>
      <c r="M50" s="371"/>
      <c r="N50" s="371"/>
      <c r="O50" s="371"/>
      <c r="P50" s="371"/>
      <c r="Q50" s="371"/>
      <c r="R50" s="371"/>
    </row>
    <row r="51" spans="1:21" s="111" customFormat="1" ht="13.8" x14ac:dyDescent="0.3">
      <c r="A51" s="373" t="s">
        <v>263</v>
      </c>
      <c r="B51" s="373"/>
      <c r="C51" s="373"/>
      <c r="D51" s="373"/>
      <c r="E51" s="373"/>
      <c r="F51" s="373"/>
      <c r="G51" s="373"/>
      <c r="H51" s="373"/>
      <c r="I51" s="373"/>
      <c r="J51" s="373"/>
      <c r="K51" s="373"/>
      <c r="L51" s="373"/>
      <c r="M51" s="373"/>
      <c r="N51" s="373"/>
      <c r="O51" s="373"/>
      <c r="P51" s="373"/>
      <c r="Q51" s="373"/>
      <c r="R51" s="373"/>
      <c r="S51" s="373"/>
      <c r="T51" s="373"/>
    </row>
    <row r="52" spans="1:21" s="111" customFormat="1" ht="13.8" x14ac:dyDescent="0.3">
      <c r="A52" s="384" t="str">
        <f>'Local SUT'!A60</f>
        <v>Source:  Minnesota Department of Revenue, Tax Research Division, February 2021</v>
      </c>
      <c r="B52" s="384"/>
      <c r="C52" s="384"/>
      <c r="D52" s="384"/>
      <c r="E52" s="384"/>
      <c r="F52" s="384"/>
      <c r="G52" s="384"/>
      <c r="H52" s="384"/>
      <c r="I52" s="384"/>
      <c r="J52" s="384"/>
      <c r="K52" s="384"/>
      <c r="L52" s="384"/>
      <c r="M52" s="384"/>
      <c r="N52" s="384"/>
      <c r="O52" s="384"/>
      <c r="P52" s="384"/>
      <c r="Q52" s="384"/>
      <c r="R52" s="384"/>
      <c r="S52" s="384"/>
      <c r="T52" s="384"/>
      <c r="U52" s="384"/>
    </row>
    <row r="53" spans="1:21" s="111" customFormat="1" ht="13.8" x14ac:dyDescent="0.3">
      <c r="A53" s="379" t="s">
        <v>151</v>
      </c>
      <c r="B53" s="379"/>
      <c r="C53" s="379"/>
      <c r="D53" s="379"/>
      <c r="E53" s="379"/>
      <c r="F53" s="379"/>
      <c r="G53" s="379"/>
      <c r="H53" s="379"/>
      <c r="I53" s="379"/>
      <c r="J53" s="379"/>
      <c r="K53" s="379"/>
      <c r="L53" s="379"/>
      <c r="M53" s="379"/>
      <c r="N53" s="379"/>
      <c r="O53" s="379"/>
      <c r="P53" s="379"/>
      <c r="Q53" s="379"/>
      <c r="R53" s="379"/>
    </row>
    <row r="54" spans="1:21" x14ac:dyDescent="0.3">
      <c r="R54" s="117"/>
    </row>
  </sheetData>
  <mergeCells count="11">
    <mergeCell ref="A34:R34"/>
    <mergeCell ref="A1:V1"/>
    <mergeCell ref="A2:R2"/>
    <mergeCell ref="A3:S3"/>
    <mergeCell ref="A18:R18"/>
    <mergeCell ref="A19:S19"/>
    <mergeCell ref="A35:R35"/>
    <mergeCell ref="A50:R50"/>
    <mergeCell ref="A51:T51"/>
    <mergeCell ref="A52:U52"/>
    <mergeCell ref="A53:R53"/>
  </mergeCells>
  <pageMargins left="0.5" right="0" top="0.75" bottom="0.75" header="0.3" footer="0.3"/>
  <pageSetup scale="86"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4FC24E-3EAE-40E2-B1E3-B98726FC4C21}">
  <sheetPr codeName="Sheet48">
    <pageSetUpPr fitToPage="1"/>
  </sheetPr>
  <dimension ref="A1:V54"/>
  <sheetViews>
    <sheetView showGridLines="0" zoomScaleNormal="100" workbookViewId="0">
      <pane ySplit="1" topLeftCell="A2" activePane="bottomLeft" state="frozen"/>
      <selection pane="bottomLeft" sqref="A1:V1"/>
    </sheetView>
  </sheetViews>
  <sheetFormatPr defaultColWidth="12.5546875" defaultRowHeight="14.4" x14ac:dyDescent="0.3"/>
  <cols>
    <col min="1" max="1" width="12.5546875" style="180" customWidth="1"/>
    <col min="2" max="17" width="13.5546875" style="173" hidden="1" customWidth="1"/>
    <col min="18" max="18" width="13.5546875" style="145" customWidth="1"/>
    <col min="19" max="16384" width="12.5546875" style="173"/>
  </cols>
  <sheetData>
    <row r="1" spans="1:22" s="112" customFormat="1" ht="21" x14ac:dyDescent="0.3">
      <c r="A1" s="380" t="s">
        <v>272</v>
      </c>
      <c r="B1" s="380"/>
      <c r="C1" s="380"/>
      <c r="D1" s="380"/>
      <c r="E1" s="380"/>
      <c r="F1" s="380"/>
      <c r="G1" s="380"/>
      <c r="H1" s="380"/>
      <c r="I1" s="380"/>
      <c r="J1" s="380"/>
      <c r="K1" s="380"/>
      <c r="L1" s="380"/>
      <c r="M1" s="380"/>
      <c r="N1" s="380"/>
      <c r="O1" s="380"/>
      <c r="P1" s="380"/>
      <c r="Q1" s="380"/>
      <c r="R1" s="380"/>
      <c r="S1" s="380"/>
      <c r="T1" s="380"/>
      <c r="U1" s="380"/>
      <c r="V1" s="380"/>
    </row>
    <row r="2" spans="1:22" s="106" customFormat="1" ht="18" x14ac:dyDescent="0.3">
      <c r="A2" s="381" t="str">
        <f>'Local SUT'!A2</f>
        <v>CY 2004-2020</v>
      </c>
      <c r="B2" s="381"/>
      <c r="C2" s="381"/>
      <c r="D2" s="381"/>
      <c r="E2" s="381"/>
      <c r="F2" s="381"/>
      <c r="G2" s="381"/>
      <c r="H2" s="381"/>
      <c r="I2" s="381"/>
      <c r="J2" s="381"/>
      <c r="K2" s="381"/>
      <c r="L2" s="381"/>
      <c r="M2" s="381"/>
      <c r="N2" s="381"/>
      <c r="O2" s="381"/>
      <c r="P2" s="381"/>
      <c r="Q2" s="381"/>
      <c r="R2" s="381"/>
    </row>
    <row r="3" spans="1:22" s="106" customFormat="1" ht="18" x14ac:dyDescent="0.3">
      <c r="A3" s="385" t="s">
        <v>289</v>
      </c>
      <c r="B3" s="385"/>
      <c r="C3" s="385"/>
      <c r="D3" s="385"/>
      <c r="E3" s="385"/>
      <c r="F3" s="385"/>
      <c r="G3" s="385"/>
      <c r="H3" s="385"/>
      <c r="I3" s="385"/>
      <c r="J3" s="385"/>
      <c r="K3" s="385"/>
      <c r="L3" s="385"/>
      <c r="M3" s="385"/>
      <c r="N3" s="385"/>
      <c r="O3" s="385"/>
      <c r="P3" s="385"/>
      <c r="Q3" s="385"/>
      <c r="R3" s="385"/>
      <c r="S3" s="385"/>
    </row>
    <row r="4" spans="1:22" s="63" customFormat="1" ht="15.6" x14ac:dyDescent="0.3">
      <c r="A4" s="77" t="s">
        <v>23</v>
      </c>
      <c r="B4" s="91">
        <v>2004</v>
      </c>
      <c r="C4" s="64">
        <v>2005</v>
      </c>
      <c r="D4" s="64">
        <v>2006</v>
      </c>
      <c r="E4" s="64">
        <v>2007</v>
      </c>
      <c r="F4" s="64">
        <v>2008</v>
      </c>
      <c r="G4" s="64">
        <v>2009</v>
      </c>
      <c r="H4" s="64">
        <v>2010</v>
      </c>
      <c r="I4" s="64">
        <v>2011</v>
      </c>
      <c r="J4" s="65">
        <v>2012</v>
      </c>
      <c r="K4" s="65">
        <v>2013</v>
      </c>
      <c r="L4" s="65">
        <v>2014</v>
      </c>
      <c r="M4" s="65">
        <v>2015</v>
      </c>
      <c r="N4" s="65">
        <v>2016</v>
      </c>
      <c r="O4" s="65">
        <v>2017</v>
      </c>
      <c r="P4" s="65">
        <v>2018</v>
      </c>
      <c r="Q4" s="336">
        <v>2019</v>
      </c>
      <c r="R4" s="337">
        <v>2020</v>
      </c>
    </row>
    <row r="5" spans="1:22" s="63" customFormat="1" ht="15.6" x14ac:dyDescent="0.3">
      <c r="A5" s="76" t="s">
        <v>24</v>
      </c>
      <c r="B5" s="108" t="s">
        <v>152</v>
      </c>
      <c r="C5" s="107" t="s">
        <v>152</v>
      </c>
      <c r="D5" s="107" t="s">
        <v>152</v>
      </c>
      <c r="E5" s="107" t="s">
        <v>152</v>
      </c>
      <c r="F5" s="107" t="s">
        <v>152</v>
      </c>
      <c r="G5" s="107" t="s">
        <v>152</v>
      </c>
      <c r="H5" s="107" t="s">
        <v>152</v>
      </c>
      <c r="I5" s="107" t="s">
        <v>152</v>
      </c>
      <c r="J5" s="107" t="s">
        <v>152</v>
      </c>
      <c r="K5" s="107" t="s">
        <v>152</v>
      </c>
      <c r="L5" s="107" t="s">
        <v>152</v>
      </c>
      <c r="M5" s="107" t="s">
        <v>152</v>
      </c>
      <c r="N5" s="107" t="s">
        <v>152</v>
      </c>
      <c r="O5" s="107" t="s">
        <v>152</v>
      </c>
      <c r="P5" s="107" t="s">
        <v>152</v>
      </c>
      <c r="Q5" s="107" t="s">
        <v>152</v>
      </c>
      <c r="R5" s="286">
        <v>0</v>
      </c>
    </row>
    <row r="6" spans="1:22" s="63" customFormat="1" ht="15.6" x14ac:dyDescent="0.3">
      <c r="A6" s="75" t="s">
        <v>25</v>
      </c>
      <c r="B6" s="170" t="s">
        <v>152</v>
      </c>
      <c r="C6" s="67" t="s">
        <v>152</v>
      </c>
      <c r="D6" s="67" t="s">
        <v>152</v>
      </c>
      <c r="E6" s="67" t="s">
        <v>152</v>
      </c>
      <c r="F6" s="67" t="s">
        <v>152</v>
      </c>
      <c r="G6" s="107" t="s">
        <v>152</v>
      </c>
      <c r="H6" s="107" t="s">
        <v>152</v>
      </c>
      <c r="I6" s="107" t="s">
        <v>152</v>
      </c>
      <c r="J6" s="107" t="s">
        <v>152</v>
      </c>
      <c r="K6" s="107" t="s">
        <v>152</v>
      </c>
      <c r="L6" s="107" t="s">
        <v>152</v>
      </c>
      <c r="M6" s="107" t="s">
        <v>152</v>
      </c>
      <c r="N6" s="107" t="s">
        <v>152</v>
      </c>
      <c r="O6" s="107" t="s">
        <v>152</v>
      </c>
      <c r="P6" s="107" t="s">
        <v>152</v>
      </c>
      <c r="Q6" s="107" t="s">
        <v>152</v>
      </c>
      <c r="R6" s="287">
        <v>86090</v>
      </c>
    </row>
    <row r="7" spans="1:22" s="63" customFormat="1" ht="15.6" x14ac:dyDescent="0.3">
      <c r="A7" s="75" t="s">
        <v>26</v>
      </c>
      <c r="B7" s="170" t="s">
        <v>152</v>
      </c>
      <c r="C7" s="67" t="s">
        <v>152</v>
      </c>
      <c r="D7" s="67" t="s">
        <v>152</v>
      </c>
      <c r="E7" s="67" t="s">
        <v>152</v>
      </c>
      <c r="F7" s="67" t="s">
        <v>152</v>
      </c>
      <c r="G7" s="107" t="s">
        <v>152</v>
      </c>
      <c r="H7" s="107" t="s">
        <v>152</v>
      </c>
      <c r="I7" s="107" t="s">
        <v>152</v>
      </c>
      <c r="J7" s="107" t="s">
        <v>152</v>
      </c>
      <c r="K7" s="107" t="s">
        <v>152</v>
      </c>
      <c r="L7" s="107" t="s">
        <v>152</v>
      </c>
      <c r="M7" s="107" t="s">
        <v>152</v>
      </c>
      <c r="N7" s="107" t="s">
        <v>152</v>
      </c>
      <c r="O7" s="107" t="s">
        <v>152</v>
      </c>
      <c r="P7" s="107" t="s">
        <v>152</v>
      </c>
      <c r="Q7" s="107" t="s">
        <v>152</v>
      </c>
      <c r="R7" s="287">
        <v>98418</v>
      </c>
    </row>
    <row r="8" spans="1:22" s="63" customFormat="1" ht="15.6" x14ac:dyDescent="0.3">
      <c r="A8" s="75" t="s">
        <v>27</v>
      </c>
      <c r="B8" s="170" t="s">
        <v>152</v>
      </c>
      <c r="C8" s="67" t="s">
        <v>152</v>
      </c>
      <c r="D8" s="67" t="s">
        <v>152</v>
      </c>
      <c r="E8" s="67" t="s">
        <v>152</v>
      </c>
      <c r="F8" s="67" t="s">
        <v>152</v>
      </c>
      <c r="G8" s="107" t="s">
        <v>152</v>
      </c>
      <c r="H8" s="107" t="s">
        <v>152</v>
      </c>
      <c r="I8" s="107" t="s">
        <v>152</v>
      </c>
      <c r="J8" s="107" t="s">
        <v>152</v>
      </c>
      <c r="K8" s="107" t="s">
        <v>152</v>
      </c>
      <c r="L8" s="107" t="s">
        <v>152</v>
      </c>
      <c r="M8" s="107" t="s">
        <v>152</v>
      </c>
      <c r="N8" s="107" t="s">
        <v>152</v>
      </c>
      <c r="O8" s="107" t="s">
        <v>152</v>
      </c>
      <c r="P8" s="107" t="s">
        <v>152</v>
      </c>
      <c r="Q8" s="107" t="s">
        <v>152</v>
      </c>
      <c r="R8" s="287">
        <v>139773</v>
      </c>
    </row>
    <row r="9" spans="1:22" s="63" customFormat="1" ht="15.6" x14ac:dyDescent="0.3">
      <c r="A9" s="75" t="s">
        <v>28</v>
      </c>
      <c r="B9" s="170" t="s">
        <v>152</v>
      </c>
      <c r="C9" s="67" t="s">
        <v>152</v>
      </c>
      <c r="D9" s="67" t="s">
        <v>152</v>
      </c>
      <c r="E9" s="67" t="s">
        <v>152</v>
      </c>
      <c r="F9" s="67" t="s">
        <v>152</v>
      </c>
      <c r="G9" s="107" t="s">
        <v>152</v>
      </c>
      <c r="H9" s="107" t="s">
        <v>152</v>
      </c>
      <c r="I9" s="107" t="s">
        <v>152</v>
      </c>
      <c r="J9" s="107" t="s">
        <v>152</v>
      </c>
      <c r="K9" s="107" t="s">
        <v>152</v>
      </c>
      <c r="L9" s="107" t="s">
        <v>152</v>
      </c>
      <c r="M9" s="107" t="s">
        <v>152</v>
      </c>
      <c r="N9" s="107" t="s">
        <v>152</v>
      </c>
      <c r="O9" s="107" t="s">
        <v>152</v>
      </c>
      <c r="P9" s="107" t="s">
        <v>152</v>
      </c>
      <c r="Q9" s="107" t="s">
        <v>152</v>
      </c>
      <c r="R9" s="287">
        <v>220928</v>
      </c>
    </row>
    <row r="10" spans="1:22" s="63" customFormat="1" ht="15.6" x14ac:dyDescent="0.3">
      <c r="A10" s="75" t="s">
        <v>29</v>
      </c>
      <c r="B10" s="170" t="s">
        <v>152</v>
      </c>
      <c r="C10" s="67" t="s">
        <v>152</v>
      </c>
      <c r="D10" s="67" t="s">
        <v>152</v>
      </c>
      <c r="E10" s="67" t="s">
        <v>152</v>
      </c>
      <c r="F10" s="67" t="s">
        <v>152</v>
      </c>
      <c r="G10" s="107" t="s">
        <v>152</v>
      </c>
      <c r="H10" s="107" t="s">
        <v>152</v>
      </c>
      <c r="I10" s="107" t="s">
        <v>152</v>
      </c>
      <c r="J10" s="107" t="s">
        <v>152</v>
      </c>
      <c r="K10" s="107" t="s">
        <v>152</v>
      </c>
      <c r="L10" s="107" t="s">
        <v>152</v>
      </c>
      <c r="M10" s="107" t="s">
        <v>152</v>
      </c>
      <c r="N10" s="107" t="s">
        <v>152</v>
      </c>
      <c r="O10" s="107" t="s">
        <v>152</v>
      </c>
      <c r="P10" s="107" t="s">
        <v>152</v>
      </c>
      <c r="Q10" s="107" t="s">
        <v>152</v>
      </c>
      <c r="R10" s="287">
        <v>179907</v>
      </c>
    </row>
    <row r="11" spans="1:22" s="63" customFormat="1" ht="15.6" x14ac:dyDescent="0.3">
      <c r="A11" s="75" t="s">
        <v>30</v>
      </c>
      <c r="B11" s="170" t="s">
        <v>152</v>
      </c>
      <c r="C11" s="67" t="s">
        <v>152</v>
      </c>
      <c r="D11" s="67" t="s">
        <v>152</v>
      </c>
      <c r="E11" s="67" t="s">
        <v>152</v>
      </c>
      <c r="F11" s="67" t="s">
        <v>152</v>
      </c>
      <c r="G11" s="107" t="s">
        <v>152</v>
      </c>
      <c r="H11" s="107" t="s">
        <v>152</v>
      </c>
      <c r="I11" s="107" t="s">
        <v>152</v>
      </c>
      <c r="J11" s="107" t="s">
        <v>152</v>
      </c>
      <c r="K11" s="107" t="s">
        <v>152</v>
      </c>
      <c r="L11" s="107" t="s">
        <v>152</v>
      </c>
      <c r="M11" s="107" t="s">
        <v>152</v>
      </c>
      <c r="N11" s="107" t="s">
        <v>152</v>
      </c>
      <c r="O11" s="107" t="s">
        <v>152</v>
      </c>
      <c r="P11" s="107" t="s">
        <v>152</v>
      </c>
      <c r="Q11" s="107" t="s">
        <v>152</v>
      </c>
      <c r="R11" s="291" t="s">
        <v>152</v>
      </c>
    </row>
    <row r="12" spans="1:22" s="63" customFormat="1" ht="15.6" x14ac:dyDescent="0.3">
      <c r="A12" s="75" t="s">
        <v>31</v>
      </c>
      <c r="B12" s="170" t="s">
        <v>152</v>
      </c>
      <c r="C12" s="67" t="s">
        <v>152</v>
      </c>
      <c r="D12" s="67" t="s">
        <v>152</v>
      </c>
      <c r="E12" s="67" t="s">
        <v>152</v>
      </c>
      <c r="F12" s="67" t="s">
        <v>152</v>
      </c>
      <c r="G12" s="107" t="s">
        <v>152</v>
      </c>
      <c r="H12" s="107" t="s">
        <v>152</v>
      </c>
      <c r="I12" s="107" t="s">
        <v>152</v>
      </c>
      <c r="J12" s="107" t="s">
        <v>152</v>
      </c>
      <c r="K12" s="107" t="s">
        <v>152</v>
      </c>
      <c r="L12" s="107" t="s">
        <v>152</v>
      </c>
      <c r="M12" s="107" t="s">
        <v>152</v>
      </c>
      <c r="N12" s="107" t="s">
        <v>152</v>
      </c>
      <c r="O12" s="107" t="s">
        <v>152</v>
      </c>
      <c r="P12" s="107" t="s">
        <v>152</v>
      </c>
      <c r="Q12" s="174" t="s">
        <v>152</v>
      </c>
      <c r="R12" s="295" t="s">
        <v>152</v>
      </c>
    </row>
    <row r="13" spans="1:22" s="63" customFormat="1" ht="15.6" x14ac:dyDescent="0.3">
      <c r="A13" s="75" t="s">
        <v>32</v>
      </c>
      <c r="B13" s="170" t="s">
        <v>152</v>
      </c>
      <c r="C13" s="67" t="s">
        <v>152</v>
      </c>
      <c r="D13" s="67" t="s">
        <v>152</v>
      </c>
      <c r="E13" s="67" t="s">
        <v>152</v>
      </c>
      <c r="F13" s="67" t="s">
        <v>152</v>
      </c>
      <c r="G13" s="107" t="s">
        <v>152</v>
      </c>
      <c r="H13" s="107" t="s">
        <v>152</v>
      </c>
      <c r="I13" s="107" t="s">
        <v>152</v>
      </c>
      <c r="J13" s="107" t="s">
        <v>152</v>
      </c>
      <c r="K13" s="107" t="s">
        <v>152</v>
      </c>
      <c r="L13" s="107" t="s">
        <v>152</v>
      </c>
      <c r="M13" s="107" t="s">
        <v>152</v>
      </c>
      <c r="N13" s="107" t="s">
        <v>152</v>
      </c>
      <c r="O13" s="107" t="s">
        <v>152</v>
      </c>
      <c r="P13" s="107" t="s">
        <v>152</v>
      </c>
      <c r="Q13" s="107" t="s">
        <v>152</v>
      </c>
      <c r="R13" s="295" t="s">
        <v>152</v>
      </c>
    </row>
    <row r="14" spans="1:22" s="63" customFormat="1" ht="15.6" x14ac:dyDescent="0.3">
      <c r="A14" s="75" t="s">
        <v>33</v>
      </c>
      <c r="B14" s="170" t="s">
        <v>152</v>
      </c>
      <c r="C14" s="67" t="s">
        <v>152</v>
      </c>
      <c r="D14" s="67" t="s">
        <v>152</v>
      </c>
      <c r="E14" s="67" t="s">
        <v>152</v>
      </c>
      <c r="F14" s="67" t="s">
        <v>152</v>
      </c>
      <c r="G14" s="107" t="s">
        <v>152</v>
      </c>
      <c r="H14" s="107" t="s">
        <v>152</v>
      </c>
      <c r="I14" s="107" t="s">
        <v>152</v>
      </c>
      <c r="J14" s="107" t="s">
        <v>152</v>
      </c>
      <c r="K14" s="107" t="s">
        <v>152</v>
      </c>
      <c r="L14" s="107" t="s">
        <v>152</v>
      </c>
      <c r="M14" s="107" t="s">
        <v>152</v>
      </c>
      <c r="N14" s="107" t="s">
        <v>152</v>
      </c>
      <c r="O14" s="107" t="s">
        <v>152</v>
      </c>
      <c r="P14" s="107" t="s">
        <v>152</v>
      </c>
      <c r="Q14" s="107" t="s">
        <v>152</v>
      </c>
      <c r="R14" s="295" t="s">
        <v>152</v>
      </c>
    </row>
    <row r="15" spans="1:22" s="63" customFormat="1" ht="15.6" x14ac:dyDescent="0.3">
      <c r="A15" s="75" t="s">
        <v>34</v>
      </c>
      <c r="B15" s="170" t="s">
        <v>152</v>
      </c>
      <c r="C15" s="67" t="s">
        <v>152</v>
      </c>
      <c r="D15" s="67" t="s">
        <v>152</v>
      </c>
      <c r="E15" s="67" t="s">
        <v>152</v>
      </c>
      <c r="F15" s="67" t="s">
        <v>152</v>
      </c>
      <c r="G15" s="107" t="s">
        <v>152</v>
      </c>
      <c r="H15" s="107" t="s">
        <v>152</v>
      </c>
      <c r="I15" s="107" t="s">
        <v>152</v>
      </c>
      <c r="J15" s="107" t="s">
        <v>152</v>
      </c>
      <c r="K15" s="107" t="s">
        <v>152</v>
      </c>
      <c r="L15" s="107" t="s">
        <v>152</v>
      </c>
      <c r="M15" s="107" t="s">
        <v>152</v>
      </c>
      <c r="N15" s="107" t="s">
        <v>152</v>
      </c>
      <c r="O15" s="107" t="s">
        <v>152</v>
      </c>
      <c r="P15" s="107" t="s">
        <v>152</v>
      </c>
      <c r="Q15" s="107" t="s">
        <v>152</v>
      </c>
      <c r="R15" s="295" t="s">
        <v>152</v>
      </c>
    </row>
    <row r="16" spans="1:22" s="63" customFormat="1" ht="16.2" thickBot="1" x14ac:dyDescent="0.35">
      <c r="A16" s="88" t="s">
        <v>36</v>
      </c>
      <c r="B16" s="87" t="s">
        <v>152</v>
      </c>
      <c r="C16" s="72" t="s">
        <v>152</v>
      </c>
      <c r="D16" s="72" t="s">
        <v>152</v>
      </c>
      <c r="E16" s="72" t="s">
        <v>152</v>
      </c>
      <c r="F16" s="72" t="s">
        <v>152</v>
      </c>
      <c r="G16" s="192" t="s">
        <v>152</v>
      </c>
      <c r="H16" s="192" t="s">
        <v>152</v>
      </c>
      <c r="I16" s="192" t="s">
        <v>152</v>
      </c>
      <c r="J16" s="192" t="s">
        <v>152</v>
      </c>
      <c r="K16" s="192" t="s">
        <v>152</v>
      </c>
      <c r="L16" s="192" t="s">
        <v>152</v>
      </c>
      <c r="M16" s="192" t="s">
        <v>152</v>
      </c>
      <c r="N16" s="192" t="s">
        <v>152</v>
      </c>
      <c r="O16" s="192" t="s">
        <v>152</v>
      </c>
      <c r="P16" s="192" t="s">
        <v>152</v>
      </c>
      <c r="Q16" s="192" t="s">
        <v>152</v>
      </c>
      <c r="R16" s="292" t="s">
        <v>152</v>
      </c>
    </row>
    <row r="17" spans="1:19" s="63" customFormat="1" ht="16.2" thickTop="1" x14ac:dyDescent="0.3">
      <c r="A17" s="89" t="s">
        <v>37</v>
      </c>
      <c r="B17" s="90" t="s">
        <v>152</v>
      </c>
      <c r="C17" s="73" t="s">
        <v>152</v>
      </c>
      <c r="D17" s="73" t="s">
        <v>152</v>
      </c>
      <c r="E17" s="73" t="s">
        <v>152</v>
      </c>
      <c r="F17" s="73" t="s">
        <v>152</v>
      </c>
      <c r="G17" s="273">
        <f t="shared" ref="G17:R17" si="0">SUM(G5:G16)</f>
        <v>0</v>
      </c>
      <c r="H17" s="273">
        <f t="shared" si="0"/>
        <v>0</v>
      </c>
      <c r="I17" s="273">
        <f t="shared" si="0"/>
        <v>0</v>
      </c>
      <c r="J17" s="273">
        <f t="shared" si="0"/>
        <v>0</v>
      </c>
      <c r="K17" s="273">
        <f t="shared" si="0"/>
        <v>0</v>
      </c>
      <c r="L17" s="273">
        <f t="shared" si="0"/>
        <v>0</v>
      </c>
      <c r="M17" s="273">
        <f t="shared" si="0"/>
        <v>0</v>
      </c>
      <c r="N17" s="273">
        <f t="shared" si="0"/>
        <v>0</v>
      </c>
      <c r="O17" s="273">
        <f t="shared" si="0"/>
        <v>0</v>
      </c>
      <c r="P17" s="273">
        <f t="shared" si="0"/>
        <v>0</v>
      </c>
      <c r="Q17" s="273">
        <f t="shared" si="0"/>
        <v>0</v>
      </c>
      <c r="R17" s="288">
        <f t="shared" si="0"/>
        <v>725116</v>
      </c>
    </row>
    <row r="18" spans="1:19" s="113" customFormat="1" ht="6.6" x14ac:dyDescent="0.3">
      <c r="A18" s="371" t="s">
        <v>174</v>
      </c>
      <c r="B18" s="371"/>
      <c r="C18" s="371"/>
      <c r="D18" s="371"/>
      <c r="E18" s="371"/>
      <c r="F18" s="371"/>
      <c r="G18" s="371"/>
      <c r="H18" s="371"/>
      <c r="I18" s="371"/>
      <c r="J18" s="371"/>
      <c r="K18" s="371"/>
      <c r="L18" s="371"/>
      <c r="M18" s="371"/>
      <c r="N18" s="371"/>
      <c r="O18" s="371"/>
      <c r="P18" s="371"/>
      <c r="Q18" s="371"/>
      <c r="R18" s="371"/>
    </row>
    <row r="19" spans="1:19" s="106" customFormat="1" ht="18" x14ac:dyDescent="0.3">
      <c r="A19" s="396" t="s">
        <v>290</v>
      </c>
      <c r="B19" s="396"/>
      <c r="C19" s="396"/>
      <c r="D19" s="396"/>
      <c r="E19" s="396"/>
      <c r="F19" s="396"/>
      <c r="G19" s="396"/>
      <c r="H19" s="396"/>
      <c r="I19" s="396"/>
      <c r="J19" s="396"/>
      <c r="K19" s="396"/>
      <c r="L19" s="396"/>
      <c r="M19" s="396"/>
      <c r="N19" s="396"/>
      <c r="O19" s="396"/>
      <c r="P19" s="396"/>
      <c r="Q19" s="396"/>
      <c r="R19" s="396"/>
      <c r="S19" s="396"/>
    </row>
    <row r="20" spans="1:19" s="63" customFormat="1" ht="15.6" x14ac:dyDescent="0.3">
      <c r="A20" s="77" t="s">
        <v>23</v>
      </c>
      <c r="B20" s="91">
        <v>2005</v>
      </c>
      <c r="C20" s="64">
        <v>2005</v>
      </c>
      <c r="D20" s="64">
        <v>2006</v>
      </c>
      <c r="E20" s="64">
        <v>2007</v>
      </c>
      <c r="F20" s="64">
        <v>2008</v>
      </c>
      <c r="G20" s="64">
        <v>2009</v>
      </c>
      <c r="H20" s="64">
        <v>2010</v>
      </c>
      <c r="I20" s="64">
        <v>2011</v>
      </c>
      <c r="J20" s="65">
        <v>2012</v>
      </c>
      <c r="K20" s="65">
        <v>2013</v>
      </c>
      <c r="L20" s="65">
        <v>2014</v>
      </c>
      <c r="M20" s="65">
        <v>2015</v>
      </c>
      <c r="N20" s="65">
        <v>2016</v>
      </c>
      <c r="O20" s="65">
        <v>2017</v>
      </c>
      <c r="P20" s="65">
        <v>2018</v>
      </c>
      <c r="Q20" s="336">
        <v>2019</v>
      </c>
      <c r="R20" s="337">
        <v>2020</v>
      </c>
    </row>
    <row r="21" spans="1:19" s="63" customFormat="1" ht="15.6" x14ac:dyDescent="0.3">
      <c r="A21" s="76" t="s">
        <v>24</v>
      </c>
      <c r="B21" s="108" t="s">
        <v>152</v>
      </c>
      <c r="C21" s="107" t="s">
        <v>152</v>
      </c>
      <c r="D21" s="107" t="s">
        <v>152</v>
      </c>
      <c r="E21" s="107" t="s">
        <v>152</v>
      </c>
      <c r="F21" s="107" t="s">
        <v>152</v>
      </c>
      <c r="G21" s="107" t="s">
        <v>152</v>
      </c>
      <c r="H21" s="107" t="s">
        <v>152</v>
      </c>
      <c r="I21" s="107" t="s">
        <v>152</v>
      </c>
      <c r="J21" s="107" t="s">
        <v>152</v>
      </c>
      <c r="K21" s="107" t="s">
        <v>152</v>
      </c>
      <c r="L21" s="107" t="s">
        <v>152</v>
      </c>
      <c r="M21" s="107" t="s">
        <v>152</v>
      </c>
      <c r="N21" s="107" t="s">
        <v>152</v>
      </c>
      <c r="O21" s="107" t="s">
        <v>152</v>
      </c>
      <c r="P21" s="107" t="s">
        <v>152</v>
      </c>
      <c r="Q21" s="107" t="s">
        <v>152</v>
      </c>
      <c r="R21" s="286">
        <v>0</v>
      </c>
    </row>
    <row r="22" spans="1:19" s="63" customFormat="1" ht="15.6" x14ac:dyDescent="0.3">
      <c r="A22" s="75" t="s">
        <v>25</v>
      </c>
      <c r="B22" s="170" t="s">
        <v>152</v>
      </c>
      <c r="C22" s="67" t="s">
        <v>152</v>
      </c>
      <c r="D22" s="67" t="s">
        <v>152</v>
      </c>
      <c r="E22" s="67" t="s">
        <v>152</v>
      </c>
      <c r="F22" s="67" t="s">
        <v>152</v>
      </c>
      <c r="G22" s="107" t="s">
        <v>152</v>
      </c>
      <c r="H22" s="107" t="s">
        <v>152</v>
      </c>
      <c r="I22" s="107" t="s">
        <v>152</v>
      </c>
      <c r="J22" s="107" t="s">
        <v>152</v>
      </c>
      <c r="K22" s="107" t="s">
        <v>152</v>
      </c>
      <c r="L22" s="107" t="s">
        <v>152</v>
      </c>
      <c r="M22" s="107" t="s">
        <v>152</v>
      </c>
      <c r="N22" s="107" t="s">
        <v>152</v>
      </c>
      <c r="O22" s="107" t="s">
        <v>152</v>
      </c>
      <c r="P22" s="107" t="s">
        <v>152</v>
      </c>
      <c r="Q22" s="107" t="s">
        <v>152</v>
      </c>
      <c r="R22" s="287">
        <v>10304</v>
      </c>
    </row>
    <row r="23" spans="1:19" s="63" customFormat="1" ht="15.6" x14ac:dyDescent="0.3">
      <c r="A23" s="75" t="s">
        <v>26</v>
      </c>
      <c r="B23" s="170" t="s">
        <v>152</v>
      </c>
      <c r="C23" s="67" t="s">
        <v>152</v>
      </c>
      <c r="D23" s="67" t="s">
        <v>152</v>
      </c>
      <c r="E23" s="67" t="s">
        <v>152</v>
      </c>
      <c r="F23" s="67" t="s">
        <v>152</v>
      </c>
      <c r="G23" s="107" t="s">
        <v>152</v>
      </c>
      <c r="H23" s="107" t="s">
        <v>152</v>
      </c>
      <c r="I23" s="107" t="s">
        <v>152</v>
      </c>
      <c r="J23" s="107" t="s">
        <v>152</v>
      </c>
      <c r="K23" s="107" t="s">
        <v>152</v>
      </c>
      <c r="L23" s="107" t="s">
        <v>152</v>
      </c>
      <c r="M23" s="107" t="s">
        <v>152</v>
      </c>
      <c r="N23" s="107" t="s">
        <v>152</v>
      </c>
      <c r="O23" s="107" t="s">
        <v>152</v>
      </c>
      <c r="P23" s="107" t="s">
        <v>152</v>
      </c>
      <c r="Q23" s="107" t="s">
        <v>152</v>
      </c>
      <c r="R23" s="287">
        <v>6235</v>
      </c>
    </row>
    <row r="24" spans="1:19" s="63" customFormat="1" ht="15.6" x14ac:dyDescent="0.3">
      <c r="A24" s="75" t="s">
        <v>27</v>
      </c>
      <c r="B24" s="170" t="s">
        <v>152</v>
      </c>
      <c r="C24" s="67" t="s">
        <v>152</v>
      </c>
      <c r="D24" s="67" t="s">
        <v>152</v>
      </c>
      <c r="E24" s="67" t="s">
        <v>152</v>
      </c>
      <c r="F24" s="67" t="s">
        <v>152</v>
      </c>
      <c r="G24" s="107" t="s">
        <v>152</v>
      </c>
      <c r="H24" s="107" t="s">
        <v>152</v>
      </c>
      <c r="I24" s="107" t="s">
        <v>152</v>
      </c>
      <c r="J24" s="107" t="s">
        <v>152</v>
      </c>
      <c r="K24" s="107" t="s">
        <v>152</v>
      </c>
      <c r="L24" s="107" t="s">
        <v>152</v>
      </c>
      <c r="M24" s="107" t="s">
        <v>152</v>
      </c>
      <c r="N24" s="107" t="s">
        <v>152</v>
      </c>
      <c r="O24" s="107" t="s">
        <v>152</v>
      </c>
      <c r="P24" s="107" t="s">
        <v>152</v>
      </c>
      <c r="Q24" s="107" t="s">
        <v>152</v>
      </c>
      <c r="R24" s="287">
        <v>5056</v>
      </c>
    </row>
    <row r="25" spans="1:19" s="63" customFormat="1" ht="15.6" x14ac:dyDescent="0.3">
      <c r="A25" s="75" t="s">
        <v>28</v>
      </c>
      <c r="B25" s="170" t="s">
        <v>152</v>
      </c>
      <c r="C25" s="67" t="s">
        <v>152</v>
      </c>
      <c r="D25" s="67" t="s">
        <v>152</v>
      </c>
      <c r="E25" s="67" t="s">
        <v>152</v>
      </c>
      <c r="F25" s="67" t="s">
        <v>152</v>
      </c>
      <c r="G25" s="107" t="s">
        <v>152</v>
      </c>
      <c r="H25" s="107" t="s">
        <v>152</v>
      </c>
      <c r="I25" s="107" t="s">
        <v>152</v>
      </c>
      <c r="J25" s="107" t="s">
        <v>152</v>
      </c>
      <c r="K25" s="107" t="s">
        <v>152</v>
      </c>
      <c r="L25" s="107" t="s">
        <v>152</v>
      </c>
      <c r="M25" s="107" t="s">
        <v>152</v>
      </c>
      <c r="N25" s="107" t="s">
        <v>152</v>
      </c>
      <c r="O25" s="107" t="s">
        <v>152</v>
      </c>
      <c r="P25" s="107" t="s">
        <v>152</v>
      </c>
      <c r="Q25" s="107" t="s">
        <v>152</v>
      </c>
      <c r="R25" s="287">
        <v>5563</v>
      </c>
    </row>
    <row r="26" spans="1:19" s="63" customFormat="1" ht="15.6" x14ac:dyDescent="0.3">
      <c r="A26" s="75" t="s">
        <v>29</v>
      </c>
      <c r="B26" s="170" t="s">
        <v>152</v>
      </c>
      <c r="C26" s="67" t="s">
        <v>152</v>
      </c>
      <c r="D26" s="67" t="s">
        <v>152</v>
      </c>
      <c r="E26" s="67" t="s">
        <v>152</v>
      </c>
      <c r="F26" s="67" t="s">
        <v>152</v>
      </c>
      <c r="G26" s="107" t="s">
        <v>152</v>
      </c>
      <c r="H26" s="107" t="s">
        <v>152</v>
      </c>
      <c r="I26" s="107" t="s">
        <v>152</v>
      </c>
      <c r="J26" s="107" t="s">
        <v>152</v>
      </c>
      <c r="K26" s="107" t="s">
        <v>152</v>
      </c>
      <c r="L26" s="107" t="s">
        <v>152</v>
      </c>
      <c r="M26" s="107" t="s">
        <v>152</v>
      </c>
      <c r="N26" s="107" t="s">
        <v>152</v>
      </c>
      <c r="O26" s="107" t="s">
        <v>152</v>
      </c>
      <c r="P26" s="107" t="s">
        <v>152</v>
      </c>
      <c r="Q26" s="107" t="s">
        <v>152</v>
      </c>
      <c r="R26" s="287">
        <v>8455</v>
      </c>
    </row>
    <row r="27" spans="1:19" s="63" customFormat="1" ht="15.6" x14ac:dyDescent="0.3">
      <c r="A27" s="75" t="s">
        <v>30</v>
      </c>
      <c r="B27" s="170" t="s">
        <v>152</v>
      </c>
      <c r="C27" s="67" t="s">
        <v>152</v>
      </c>
      <c r="D27" s="67" t="s">
        <v>152</v>
      </c>
      <c r="E27" s="67" t="s">
        <v>152</v>
      </c>
      <c r="F27" s="67" t="s">
        <v>152</v>
      </c>
      <c r="G27" s="107" t="s">
        <v>152</v>
      </c>
      <c r="H27" s="107" t="s">
        <v>152</v>
      </c>
      <c r="I27" s="107" t="s">
        <v>152</v>
      </c>
      <c r="J27" s="107" t="s">
        <v>152</v>
      </c>
      <c r="K27" s="107" t="s">
        <v>152</v>
      </c>
      <c r="L27" s="107" t="s">
        <v>152</v>
      </c>
      <c r="M27" s="107" t="s">
        <v>152</v>
      </c>
      <c r="N27" s="107" t="s">
        <v>152</v>
      </c>
      <c r="O27" s="107" t="s">
        <v>152</v>
      </c>
      <c r="P27" s="107" t="s">
        <v>152</v>
      </c>
      <c r="Q27" s="174" t="s">
        <v>152</v>
      </c>
      <c r="R27" s="291" t="s">
        <v>152</v>
      </c>
    </row>
    <row r="28" spans="1:19" s="63" customFormat="1" ht="15.6" x14ac:dyDescent="0.3">
      <c r="A28" s="75" t="s">
        <v>31</v>
      </c>
      <c r="B28" s="170" t="s">
        <v>152</v>
      </c>
      <c r="C28" s="67" t="s">
        <v>152</v>
      </c>
      <c r="D28" s="67" t="s">
        <v>152</v>
      </c>
      <c r="E28" s="67" t="s">
        <v>152</v>
      </c>
      <c r="F28" s="67" t="s">
        <v>152</v>
      </c>
      <c r="G28" s="107" t="s">
        <v>152</v>
      </c>
      <c r="H28" s="107" t="s">
        <v>152</v>
      </c>
      <c r="I28" s="107" t="s">
        <v>152</v>
      </c>
      <c r="J28" s="107" t="s">
        <v>152</v>
      </c>
      <c r="K28" s="107" t="s">
        <v>152</v>
      </c>
      <c r="L28" s="107" t="s">
        <v>152</v>
      </c>
      <c r="M28" s="107" t="s">
        <v>152</v>
      </c>
      <c r="N28" s="107" t="s">
        <v>152</v>
      </c>
      <c r="O28" s="107" t="s">
        <v>152</v>
      </c>
      <c r="P28" s="107" t="s">
        <v>152</v>
      </c>
      <c r="Q28" s="107" t="s">
        <v>152</v>
      </c>
      <c r="R28" s="295" t="s">
        <v>152</v>
      </c>
    </row>
    <row r="29" spans="1:19" s="63" customFormat="1" ht="15.6" x14ac:dyDescent="0.3">
      <c r="A29" s="75" t="s">
        <v>32</v>
      </c>
      <c r="B29" s="170" t="s">
        <v>152</v>
      </c>
      <c r="C29" s="67" t="s">
        <v>152</v>
      </c>
      <c r="D29" s="67" t="s">
        <v>152</v>
      </c>
      <c r="E29" s="67" t="s">
        <v>152</v>
      </c>
      <c r="F29" s="67" t="s">
        <v>152</v>
      </c>
      <c r="G29" s="107" t="s">
        <v>152</v>
      </c>
      <c r="H29" s="107" t="s">
        <v>152</v>
      </c>
      <c r="I29" s="107" t="s">
        <v>152</v>
      </c>
      <c r="J29" s="107" t="s">
        <v>152</v>
      </c>
      <c r="K29" s="107" t="s">
        <v>152</v>
      </c>
      <c r="L29" s="107" t="s">
        <v>152</v>
      </c>
      <c r="M29" s="107" t="s">
        <v>152</v>
      </c>
      <c r="N29" s="107" t="s">
        <v>152</v>
      </c>
      <c r="O29" s="107" t="s">
        <v>152</v>
      </c>
      <c r="P29" s="107" t="s">
        <v>152</v>
      </c>
      <c r="Q29" s="107" t="s">
        <v>152</v>
      </c>
      <c r="R29" s="295" t="s">
        <v>152</v>
      </c>
    </row>
    <row r="30" spans="1:19" s="63" customFormat="1" ht="15.6" x14ac:dyDescent="0.3">
      <c r="A30" s="75" t="s">
        <v>33</v>
      </c>
      <c r="B30" s="170" t="s">
        <v>152</v>
      </c>
      <c r="C30" s="67" t="s">
        <v>152</v>
      </c>
      <c r="D30" s="67" t="s">
        <v>152</v>
      </c>
      <c r="E30" s="67" t="s">
        <v>152</v>
      </c>
      <c r="F30" s="67" t="s">
        <v>152</v>
      </c>
      <c r="G30" s="107" t="s">
        <v>152</v>
      </c>
      <c r="H30" s="107" t="s">
        <v>152</v>
      </c>
      <c r="I30" s="107" t="s">
        <v>152</v>
      </c>
      <c r="J30" s="107" t="s">
        <v>152</v>
      </c>
      <c r="K30" s="107" t="s">
        <v>152</v>
      </c>
      <c r="L30" s="107" t="s">
        <v>152</v>
      </c>
      <c r="M30" s="107" t="s">
        <v>152</v>
      </c>
      <c r="N30" s="107" t="s">
        <v>152</v>
      </c>
      <c r="O30" s="107" t="s">
        <v>152</v>
      </c>
      <c r="P30" s="107" t="s">
        <v>152</v>
      </c>
      <c r="Q30" s="107" t="s">
        <v>152</v>
      </c>
      <c r="R30" s="295" t="s">
        <v>152</v>
      </c>
    </row>
    <row r="31" spans="1:19" s="63" customFormat="1" ht="15.6" x14ac:dyDescent="0.3">
      <c r="A31" s="75" t="s">
        <v>34</v>
      </c>
      <c r="B31" s="170" t="s">
        <v>152</v>
      </c>
      <c r="C31" s="67" t="s">
        <v>152</v>
      </c>
      <c r="D31" s="67" t="s">
        <v>152</v>
      </c>
      <c r="E31" s="67" t="s">
        <v>152</v>
      </c>
      <c r="F31" s="67" t="s">
        <v>152</v>
      </c>
      <c r="G31" s="107" t="s">
        <v>152</v>
      </c>
      <c r="H31" s="107" t="s">
        <v>152</v>
      </c>
      <c r="I31" s="107" t="s">
        <v>152</v>
      </c>
      <c r="J31" s="107" t="s">
        <v>152</v>
      </c>
      <c r="K31" s="107" t="s">
        <v>152</v>
      </c>
      <c r="L31" s="107" t="s">
        <v>152</v>
      </c>
      <c r="M31" s="107" t="s">
        <v>152</v>
      </c>
      <c r="N31" s="107" t="s">
        <v>152</v>
      </c>
      <c r="O31" s="107" t="s">
        <v>152</v>
      </c>
      <c r="P31" s="107" t="s">
        <v>152</v>
      </c>
      <c r="Q31" s="107" t="s">
        <v>152</v>
      </c>
      <c r="R31" s="295" t="s">
        <v>152</v>
      </c>
    </row>
    <row r="32" spans="1:19" s="63" customFormat="1" ht="16.2" thickBot="1" x14ac:dyDescent="0.35">
      <c r="A32" s="88" t="s">
        <v>36</v>
      </c>
      <c r="B32" s="87" t="s">
        <v>152</v>
      </c>
      <c r="C32" s="72" t="s">
        <v>152</v>
      </c>
      <c r="D32" s="72" t="s">
        <v>152</v>
      </c>
      <c r="E32" s="72" t="s">
        <v>152</v>
      </c>
      <c r="F32" s="72" t="s">
        <v>152</v>
      </c>
      <c r="G32" s="192" t="s">
        <v>152</v>
      </c>
      <c r="H32" s="192" t="s">
        <v>152</v>
      </c>
      <c r="I32" s="192" t="s">
        <v>152</v>
      </c>
      <c r="J32" s="192" t="s">
        <v>152</v>
      </c>
      <c r="K32" s="192" t="s">
        <v>152</v>
      </c>
      <c r="L32" s="192" t="s">
        <v>152</v>
      </c>
      <c r="M32" s="192" t="s">
        <v>152</v>
      </c>
      <c r="N32" s="192" t="s">
        <v>152</v>
      </c>
      <c r="O32" s="192" t="s">
        <v>152</v>
      </c>
      <c r="P32" s="192" t="s">
        <v>152</v>
      </c>
      <c r="Q32" s="192" t="s">
        <v>152</v>
      </c>
      <c r="R32" s="292" t="s">
        <v>152</v>
      </c>
    </row>
    <row r="33" spans="1:18" s="63" customFormat="1" ht="16.2" thickTop="1" x14ac:dyDescent="0.3">
      <c r="A33" s="89" t="s">
        <v>37</v>
      </c>
      <c r="B33" s="90" t="s">
        <v>152</v>
      </c>
      <c r="C33" s="73" t="s">
        <v>152</v>
      </c>
      <c r="D33" s="73" t="s">
        <v>152</v>
      </c>
      <c r="E33" s="73" t="s">
        <v>152</v>
      </c>
      <c r="F33" s="73" t="s">
        <v>152</v>
      </c>
      <c r="G33" s="273">
        <f t="shared" ref="G33:R33" si="1">SUM(G21:G32)</f>
        <v>0</v>
      </c>
      <c r="H33" s="273">
        <f t="shared" si="1"/>
        <v>0</v>
      </c>
      <c r="I33" s="273">
        <f t="shared" si="1"/>
        <v>0</v>
      </c>
      <c r="J33" s="273">
        <f t="shared" si="1"/>
        <v>0</v>
      </c>
      <c r="K33" s="273">
        <f t="shared" si="1"/>
        <v>0</v>
      </c>
      <c r="L33" s="273">
        <f t="shared" si="1"/>
        <v>0</v>
      </c>
      <c r="M33" s="273">
        <f t="shared" si="1"/>
        <v>0</v>
      </c>
      <c r="N33" s="273">
        <f t="shared" si="1"/>
        <v>0</v>
      </c>
      <c r="O33" s="273">
        <f t="shared" si="1"/>
        <v>0</v>
      </c>
      <c r="P33" s="273">
        <f t="shared" si="1"/>
        <v>0</v>
      </c>
      <c r="Q33" s="273">
        <f t="shared" si="1"/>
        <v>0</v>
      </c>
      <c r="R33" s="288">
        <f t="shared" si="1"/>
        <v>35613</v>
      </c>
    </row>
    <row r="34" spans="1:18" s="113" customFormat="1" ht="6.6" x14ac:dyDescent="0.3">
      <c r="A34" s="371" t="s">
        <v>174</v>
      </c>
      <c r="B34" s="371"/>
      <c r="C34" s="371"/>
      <c r="D34" s="371"/>
      <c r="E34" s="371"/>
      <c r="F34" s="371"/>
      <c r="G34" s="371"/>
      <c r="H34" s="371"/>
      <c r="I34" s="371"/>
      <c r="J34" s="371"/>
      <c r="K34" s="371"/>
      <c r="L34" s="371"/>
      <c r="M34" s="371"/>
      <c r="N34" s="371"/>
      <c r="O34" s="371"/>
      <c r="P34" s="371"/>
      <c r="Q34" s="371"/>
      <c r="R34" s="371"/>
    </row>
    <row r="35" spans="1:18" s="106" customFormat="1" ht="18" x14ac:dyDescent="0.3">
      <c r="A35" s="370" t="s">
        <v>273</v>
      </c>
      <c r="B35" s="370"/>
      <c r="C35" s="370"/>
      <c r="D35" s="370"/>
      <c r="E35" s="370"/>
      <c r="F35" s="370"/>
      <c r="G35" s="370"/>
      <c r="H35" s="370"/>
      <c r="I35" s="370"/>
      <c r="J35" s="370"/>
      <c r="K35" s="370"/>
      <c r="L35" s="370"/>
      <c r="M35" s="370"/>
      <c r="N35" s="370"/>
      <c r="O35" s="370"/>
      <c r="P35" s="370"/>
      <c r="Q35" s="370"/>
      <c r="R35" s="370"/>
    </row>
    <row r="36" spans="1:18" s="63" customFormat="1" ht="15.6" x14ac:dyDescent="0.3">
      <c r="A36" s="77" t="s">
        <v>23</v>
      </c>
      <c r="B36" s="91">
        <v>2005</v>
      </c>
      <c r="C36" s="64">
        <v>2005</v>
      </c>
      <c r="D36" s="64">
        <v>2006</v>
      </c>
      <c r="E36" s="64">
        <v>2007</v>
      </c>
      <c r="F36" s="64">
        <v>2008</v>
      </c>
      <c r="G36" s="64">
        <v>2009</v>
      </c>
      <c r="H36" s="64">
        <v>2010</v>
      </c>
      <c r="I36" s="64">
        <v>2011</v>
      </c>
      <c r="J36" s="65">
        <v>2012</v>
      </c>
      <c r="K36" s="65">
        <v>2013</v>
      </c>
      <c r="L36" s="65">
        <v>2014</v>
      </c>
      <c r="M36" s="65">
        <v>2015</v>
      </c>
      <c r="N36" s="65">
        <v>2016</v>
      </c>
      <c r="O36" s="65">
        <v>2017</v>
      </c>
      <c r="P36" s="65">
        <v>2018</v>
      </c>
      <c r="Q36" s="336">
        <v>2019</v>
      </c>
      <c r="R36" s="337">
        <v>2020</v>
      </c>
    </row>
    <row r="37" spans="1:18" s="63" customFormat="1" ht="15.6" x14ac:dyDescent="0.3">
      <c r="A37" s="76" t="s">
        <v>24</v>
      </c>
      <c r="B37" s="108" t="s">
        <v>152</v>
      </c>
      <c r="C37" s="107" t="s">
        <v>152</v>
      </c>
      <c r="D37" s="107" t="s">
        <v>152</v>
      </c>
      <c r="E37" s="107" t="s">
        <v>152</v>
      </c>
      <c r="F37" s="107" t="s">
        <v>152</v>
      </c>
      <c r="G37" s="107" t="s">
        <v>152</v>
      </c>
      <c r="H37" s="107" t="s">
        <v>152</v>
      </c>
      <c r="I37" s="107" t="s">
        <v>152</v>
      </c>
      <c r="J37" s="107" t="s">
        <v>152</v>
      </c>
      <c r="K37" s="107" t="s">
        <v>152</v>
      </c>
      <c r="L37" s="107" t="s">
        <v>152</v>
      </c>
      <c r="M37" s="107" t="s">
        <v>152</v>
      </c>
      <c r="N37" s="107" t="s">
        <v>152</v>
      </c>
      <c r="O37" s="107" t="s">
        <v>152</v>
      </c>
      <c r="P37" s="107" t="s">
        <v>152</v>
      </c>
      <c r="Q37" s="107" t="s">
        <v>152</v>
      </c>
      <c r="R37" s="286">
        <v>0</v>
      </c>
    </row>
    <row r="38" spans="1:18" s="63" customFormat="1" ht="15.6" x14ac:dyDescent="0.3">
      <c r="A38" s="75" t="s">
        <v>25</v>
      </c>
      <c r="B38" s="170" t="s">
        <v>152</v>
      </c>
      <c r="C38" s="67" t="s">
        <v>152</v>
      </c>
      <c r="D38" s="67" t="s">
        <v>152</v>
      </c>
      <c r="E38" s="67" t="s">
        <v>152</v>
      </c>
      <c r="F38" s="67" t="s">
        <v>152</v>
      </c>
      <c r="G38" s="107" t="s">
        <v>152</v>
      </c>
      <c r="H38" s="107" t="s">
        <v>152</v>
      </c>
      <c r="I38" s="107" t="s">
        <v>152</v>
      </c>
      <c r="J38" s="107" t="s">
        <v>152</v>
      </c>
      <c r="K38" s="107" t="s">
        <v>152</v>
      </c>
      <c r="L38" s="107" t="s">
        <v>152</v>
      </c>
      <c r="M38" s="107" t="s">
        <v>152</v>
      </c>
      <c r="N38" s="107" t="s">
        <v>152</v>
      </c>
      <c r="O38" s="107" t="s">
        <v>152</v>
      </c>
      <c r="P38" s="107" t="s">
        <v>152</v>
      </c>
      <c r="Q38" s="107" t="s">
        <v>152</v>
      </c>
      <c r="R38" s="287">
        <v>0</v>
      </c>
    </row>
    <row r="39" spans="1:18" s="63" customFormat="1" ht="15.6" x14ac:dyDescent="0.3">
      <c r="A39" s="75" t="s">
        <v>26</v>
      </c>
      <c r="B39" s="170" t="s">
        <v>152</v>
      </c>
      <c r="C39" s="67" t="s">
        <v>152</v>
      </c>
      <c r="D39" s="67" t="s">
        <v>152</v>
      </c>
      <c r="E39" s="67" t="s">
        <v>152</v>
      </c>
      <c r="F39" s="67" t="s">
        <v>152</v>
      </c>
      <c r="G39" s="107" t="s">
        <v>152</v>
      </c>
      <c r="H39" s="107" t="s">
        <v>152</v>
      </c>
      <c r="I39" s="107" t="s">
        <v>152</v>
      </c>
      <c r="J39" s="107" t="s">
        <v>152</v>
      </c>
      <c r="K39" s="107" t="s">
        <v>152</v>
      </c>
      <c r="L39" s="107" t="s">
        <v>152</v>
      </c>
      <c r="M39" s="107" t="s">
        <v>152</v>
      </c>
      <c r="N39" s="107" t="s">
        <v>152</v>
      </c>
      <c r="O39" s="107" t="s">
        <v>152</v>
      </c>
      <c r="P39" s="107" t="s">
        <v>152</v>
      </c>
      <c r="Q39" s="107" t="s">
        <v>152</v>
      </c>
      <c r="R39" s="287">
        <v>0</v>
      </c>
    </row>
    <row r="40" spans="1:18" s="63" customFormat="1" ht="15.6" x14ac:dyDescent="0.3">
      <c r="A40" s="75" t="s">
        <v>27</v>
      </c>
      <c r="B40" s="170" t="s">
        <v>152</v>
      </c>
      <c r="C40" s="67" t="s">
        <v>152</v>
      </c>
      <c r="D40" s="67" t="s">
        <v>152</v>
      </c>
      <c r="E40" s="67" t="s">
        <v>152</v>
      </c>
      <c r="F40" s="67" t="s">
        <v>152</v>
      </c>
      <c r="G40" s="107" t="s">
        <v>152</v>
      </c>
      <c r="H40" s="107" t="s">
        <v>152</v>
      </c>
      <c r="I40" s="107" t="s">
        <v>152</v>
      </c>
      <c r="J40" s="107" t="s">
        <v>152</v>
      </c>
      <c r="K40" s="107" t="s">
        <v>152</v>
      </c>
      <c r="L40" s="107" t="s">
        <v>152</v>
      </c>
      <c r="M40" s="107" t="s">
        <v>152</v>
      </c>
      <c r="N40" s="107" t="s">
        <v>152</v>
      </c>
      <c r="O40" s="107" t="s">
        <v>152</v>
      </c>
      <c r="P40" s="107" t="s">
        <v>152</v>
      </c>
      <c r="Q40" s="174" t="s">
        <v>152</v>
      </c>
      <c r="R40" s="287">
        <v>0</v>
      </c>
    </row>
    <row r="41" spans="1:18" s="63" customFormat="1" ht="15.6" x14ac:dyDescent="0.3">
      <c r="A41" s="75" t="s">
        <v>28</v>
      </c>
      <c r="B41" s="170" t="s">
        <v>152</v>
      </c>
      <c r="C41" s="67" t="s">
        <v>152</v>
      </c>
      <c r="D41" s="67" t="s">
        <v>152</v>
      </c>
      <c r="E41" s="67" t="s">
        <v>152</v>
      </c>
      <c r="F41" s="67" t="s">
        <v>152</v>
      </c>
      <c r="G41" s="107" t="s">
        <v>152</v>
      </c>
      <c r="H41" s="107" t="s">
        <v>152</v>
      </c>
      <c r="I41" s="107" t="s">
        <v>152</v>
      </c>
      <c r="J41" s="107" t="s">
        <v>152</v>
      </c>
      <c r="K41" s="107" t="s">
        <v>152</v>
      </c>
      <c r="L41" s="107" t="s">
        <v>152</v>
      </c>
      <c r="M41" s="107" t="s">
        <v>152</v>
      </c>
      <c r="N41" s="107" t="s">
        <v>152</v>
      </c>
      <c r="O41" s="107" t="s">
        <v>152</v>
      </c>
      <c r="P41" s="107" t="s">
        <v>152</v>
      </c>
      <c r="Q41" s="107" t="s">
        <v>152</v>
      </c>
      <c r="R41" s="287">
        <v>0</v>
      </c>
    </row>
    <row r="42" spans="1:18" s="63" customFormat="1" ht="15.6" x14ac:dyDescent="0.3">
      <c r="A42" s="75" t="s">
        <v>29</v>
      </c>
      <c r="B42" s="170" t="s">
        <v>152</v>
      </c>
      <c r="C42" s="67" t="s">
        <v>152</v>
      </c>
      <c r="D42" s="67" t="s">
        <v>152</v>
      </c>
      <c r="E42" s="67" t="s">
        <v>152</v>
      </c>
      <c r="F42" s="67" t="s">
        <v>152</v>
      </c>
      <c r="G42" s="107" t="s">
        <v>152</v>
      </c>
      <c r="H42" s="107" t="s">
        <v>152</v>
      </c>
      <c r="I42" s="107" t="s">
        <v>152</v>
      </c>
      <c r="J42" s="107" t="s">
        <v>152</v>
      </c>
      <c r="K42" s="107" t="s">
        <v>152</v>
      </c>
      <c r="L42" s="107" t="s">
        <v>152</v>
      </c>
      <c r="M42" s="107" t="s">
        <v>152</v>
      </c>
      <c r="N42" s="107" t="s">
        <v>152</v>
      </c>
      <c r="O42" s="107" t="s">
        <v>152</v>
      </c>
      <c r="P42" s="107" t="s">
        <v>152</v>
      </c>
      <c r="Q42" s="107" t="s">
        <v>152</v>
      </c>
      <c r="R42" s="287">
        <v>0</v>
      </c>
    </row>
    <row r="43" spans="1:18" s="63" customFormat="1" ht="15.6" x14ac:dyDescent="0.3">
      <c r="A43" s="75" t="s">
        <v>30</v>
      </c>
      <c r="B43" s="170" t="s">
        <v>152</v>
      </c>
      <c r="C43" s="67" t="s">
        <v>152</v>
      </c>
      <c r="D43" s="67" t="s">
        <v>152</v>
      </c>
      <c r="E43" s="67" t="s">
        <v>152</v>
      </c>
      <c r="F43" s="67" t="s">
        <v>152</v>
      </c>
      <c r="G43" s="107" t="s">
        <v>152</v>
      </c>
      <c r="H43" s="107" t="s">
        <v>152</v>
      </c>
      <c r="I43" s="107" t="s">
        <v>152</v>
      </c>
      <c r="J43" s="107" t="s">
        <v>152</v>
      </c>
      <c r="K43" s="107" t="s">
        <v>152</v>
      </c>
      <c r="L43" s="107" t="s">
        <v>152</v>
      </c>
      <c r="M43" s="107" t="s">
        <v>152</v>
      </c>
      <c r="N43" s="107" t="s">
        <v>152</v>
      </c>
      <c r="O43" s="107" t="s">
        <v>152</v>
      </c>
      <c r="P43" s="107" t="s">
        <v>152</v>
      </c>
      <c r="Q43" s="107" t="s">
        <v>152</v>
      </c>
      <c r="R43" s="291" t="s">
        <v>152</v>
      </c>
    </row>
    <row r="44" spans="1:18" s="63" customFormat="1" ht="15.6" x14ac:dyDescent="0.3">
      <c r="A44" s="75" t="s">
        <v>31</v>
      </c>
      <c r="B44" s="170" t="s">
        <v>152</v>
      </c>
      <c r="C44" s="67" t="s">
        <v>152</v>
      </c>
      <c r="D44" s="67" t="s">
        <v>152</v>
      </c>
      <c r="E44" s="67" t="s">
        <v>152</v>
      </c>
      <c r="F44" s="67" t="s">
        <v>152</v>
      </c>
      <c r="G44" s="107" t="s">
        <v>152</v>
      </c>
      <c r="H44" s="107" t="s">
        <v>152</v>
      </c>
      <c r="I44" s="107" t="s">
        <v>152</v>
      </c>
      <c r="J44" s="107" t="s">
        <v>152</v>
      </c>
      <c r="K44" s="107" t="s">
        <v>152</v>
      </c>
      <c r="L44" s="107" t="s">
        <v>152</v>
      </c>
      <c r="M44" s="107" t="s">
        <v>152</v>
      </c>
      <c r="N44" s="107" t="s">
        <v>152</v>
      </c>
      <c r="O44" s="107" t="s">
        <v>152</v>
      </c>
      <c r="P44" s="107" t="s">
        <v>152</v>
      </c>
      <c r="Q44" s="107" t="s">
        <v>152</v>
      </c>
      <c r="R44" s="295" t="s">
        <v>152</v>
      </c>
    </row>
    <row r="45" spans="1:18" s="63" customFormat="1" ht="15.6" x14ac:dyDescent="0.3">
      <c r="A45" s="75" t="s">
        <v>32</v>
      </c>
      <c r="B45" s="170" t="s">
        <v>152</v>
      </c>
      <c r="C45" s="67" t="s">
        <v>152</v>
      </c>
      <c r="D45" s="67" t="s">
        <v>152</v>
      </c>
      <c r="E45" s="67" t="s">
        <v>152</v>
      </c>
      <c r="F45" s="67" t="s">
        <v>152</v>
      </c>
      <c r="G45" s="107" t="s">
        <v>152</v>
      </c>
      <c r="H45" s="107" t="s">
        <v>152</v>
      </c>
      <c r="I45" s="107" t="s">
        <v>152</v>
      </c>
      <c r="J45" s="107" t="s">
        <v>152</v>
      </c>
      <c r="K45" s="107" t="s">
        <v>152</v>
      </c>
      <c r="L45" s="107" t="s">
        <v>152</v>
      </c>
      <c r="M45" s="107" t="s">
        <v>152</v>
      </c>
      <c r="N45" s="107" t="s">
        <v>152</v>
      </c>
      <c r="O45" s="107" t="s">
        <v>152</v>
      </c>
      <c r="P45" s="107" t="s">
        <v>152</v>
      </c>
      <c r="Q45" s="107" t="s">
        <v>152</v>
      </c>
      <c r="R45" s="295" t="s">
        <v>152</v>
      </c>
    </row>
    <row r="46" spans="1:18" s="63" customFormat="1" ht="15.6" x14ac:dyDescent="0.3">
      <c r="A46" s="75" t="s">
        <v>33</v>
      </c>
      <c r="B46" s="170" t="s">
        <v>152</v>
      </c>
      <c r="C46" s="67" t="s">
        <v>152</v>
      </c>
      <c r="D46" s="67" t="s">
        <v>152</v>
      </c>
      <c r="E46" s="67" t="s">
        <v>152</v>
      </c>
      <c r="F46" s="67" t="s">
        <v>152</v>
      </c>
      <c r="G46" s="107" t="s">
        <v>152</v>
      </c>
      <c r="H46" s="107" t="s">
        <v>152</v>
      </c>
      <c r="I46" s="107" t="s">
        <v>152</v>
      </c>
      <c r="J46" s="107" t="s">
        <v>152</v>
      </c>
      <c r="K46" s="107" t="s">
        <v>152</v>
      </c>
      <c r="L46" s="107" t="s">
        <v>152</v>
      </c>
      <c r="M46" s="107" t="s">
        <v>152</v>
      </c>
      <c r="N46" s="107" t="s">
        <v>152</v>
      </c>
      <c r="O46" s="107" t="s">
        <v>152</v>
      </c>
      <c r="P46" s="107" t="s">
        <v>152</v>
      </c>
      <c r="Q46" s="107" t="s">
        <v>152</v>
      </c>
      <c r="R46" s="295" t="s">
        <v>152</v>
      </c>
    </row>
    <row r="47" spans="1:18" s="63" customFormat="1" ht="15.6" x14ac:dyDescent="0.3">
      <c r="A47" s="75" t="s">
        <v>34</v>
      </c>
      <c r="B47" s="170" t="s">
        <v>152</v>
      </c>
      <c r="C47" s="67" t="s">
        <v>152</v>
      </c>
      <c r="D47" s="67" t="s">
        <v>152</v>
      </c>
      <c r="E47" s="67" t="s">
        <v>152</v>
      </c>
      <c r="F47" s="67" t="s">
        <v>152</v>
      </c>
      <c r="G47" s="107" t="s">
        <v>152</v>
      </c>
      <c r="H47" s="107" t="s">
        <v>152</v>
      </c>
      <c r="I47" s="107" t="s">
        <v>152</v>
      </c>
      <c r="J47" s="107" t="s">
        <v>152</v>
      </c>
      <c r="K47" s="107" t="s">
        <v>152</v>
      </c>
      <c r="L47" s="107" t="s">
        <v>152</v>
      </c>
      <c r="M47" s="107" t="s">
        <v>152</v>
      </c>
      <c r="N47" s="107" t="s">
        <v>152</v>
      </c>
      <c r="O47" s="107" t="s">
        <v>152</v>
      </c>
      <c r="P47" s="107" t="s">
        <v>152</v>
      </c>
      <c r="Q47" s="107" t="s">
        <v>152</v>
      </c>
      <c r="R47" s="295" t="s">
        <v>152</v>
      </c>
    </row>
    <row r="48" spans="1:18" s="63" customFormat="1" ht="16.2" thickBot="1" x14ac:dyDescent="0.35">
      <c r="A48" s="88" t="s">
        <v>36</v>
      </c>
      <c r="B48" s="87" t="s">
        <v>152</v>
      </c>
      <c r="C48" s="72" t="s">
        <v>152</v>
      </c>
      <c r="D48" s="72" t="s">
        <v>152</v>
      </c>
      <c r="E48" s="72" t="s">
        <v>152</v>
      </c>
      <c r="F48" s="72" t="s">
        <v>152</v>
      </c>
      <c r="G48" s="192" t="s">
        <v>152</v>
      </c>
      <c r="H48" s="192" t="s">
        <v>152</v>
      </c>
      <c r="I48" s="192" t="s">
        <v>152</v>
      </c>
      <c r="J48" s="192" t="s">
        <v>152</v>
      </c>
      <c r="K48" s="192" t="s">
        <v>152</v>
      </c>
      <c r="L48" s="192" t="s">
        <v>152</v>
      </c>
      <c r="M48" s="192" t="s">
        <v>152</v>
      </c>
      <c r="N48" s="192" t="s">
        <v>152</v>
      </c>
      <c r="O48" s="192" t="s">
        <v>152</v>
      </c>
      <c r="P48" s="192" t="s">
        <v>152</v>
      </c>
      <c r="Q48" s="192" t="s">
        <v>152</v>
      </c>
      <c r="R48" s="292" t="s">
        <v>152</v>
      </c>
    </row>
    <row r="49" spans="1:21" s="63" customFormat="1" ht="16.2" thickTop="1" x14ac:dyDescent="0.3">
      <c r="A49" s="89" t="s">
        <v>37</v>
      </c>
      <c r="B49" s="90" t="s">
        <v>152</v>
      </c>
      <c r="C49" s="73" t="s">
        <v>152</v>
      </c>
      <c r="D49" s="73" t="s">
        <v>152</v>
      </c>
      <c r="E49" s="73" t="s">
        <v>152</v>
      </c>
      <c r="F49" s="73" t="s">
        <v>152</v>
      </c>
      <c r="G49" s="273">
        <f t="shared" ref="G49:R49" si="2">SUM(G37:G48)</f>
        <v>0</v>
      </c>
      <c r="H49" s="273">
        <f t="shared" si="2"/>
        <v>0</v>
      </c>
      <c r="I49" s="273">
        <f t="shared" si="2"/>
        <v>0</v>
      </c>
      <c r="J49" s="273">
        <f t="shared" si="2"/>
        <v>0</v>
      </c>
      <c r="K49" s="273">
        <f t="shared" si="2"/>
        <v>0</v>
      </c>
      <c r="L49" s="273">
        <f t="shared" si="2"/>
        <v>0</v>
      </c>
      <c r="M49" s="273">
        <f t="shared" si="2"/>
        <v>0</v>
      </c>
      <c r="N49" s="273">
        <f t="shared" si="2"/>
        <v>0</v>
      </c>
      <c r="O49" s="273">
        <f t="shared" si="2"/>
        <v>0</v>
      </c>
      <c r="P49" s="273">
        <f t="shared" si="2"/>
        <v>0</v>
      </c>
      <c r="Q49" s="273">
        <f t="shared" si="2"/>
        <v>0</v>
      </c>
      <c r="R49" s="288">
        <f t="shared" si="2"/>
        <v>0</v>
      </c>
    </row>
    <row r="50" spans="1:21" s="113" customFormat="1" ht="6.6" x14ac:dyDescent="0.3">
      <c r="A50" s="371" t="s">
        <v>174</v>
      </c>
      <c r="B50" s="371"/>
      <c r="C50" s="371"/>
      <c r="D50" s="371"/>
      <c r="E50" s="371"/>
      <c r="F50" s="371"/>
      <c r="G50" s="371"/>
      <c r="H50" s="371"/>
      <c r="I50" s="371"/>
      <c r="J50" s="371"/>
      <c r="K50" s="371"/>
      <c r="L50" s="371"/>
      <c r="M50" s="371"/>
      <c r="N50" s="371"/>
      <c r="O50" s="371"/>
      <c r="P50" s="371"/>
      <c r="Q50" s="371"/>
      <c r="R50" s="371"/>
    </row>
    <row r="51" spans="1:21" s="111" customFormat="1" ht="13.8" x14ac:dyDescent="0.3">
      <c r="A51" s="373" t="s">
        <v>263</v>
      </c>
      <c r="B51" s="373"/>
      <c r="C51" s="373"/>
      <c r="D51" s="373"/>
      <c r="E51" s="373"/>
      <c r="F51" s="373"/>
      <c r="G51" s="373"/>
      <c r="H51" s="373"/>
      <c r="I51" s="373"/>
      <c r="J51" s="373"/>
      <c r="K51" s="373"/>
      <c r="L51" s="373"/>
      <c r="M51" s="373"/>
      <c r="N51" s="373"/>
      <c r="O51" s="373"/>
      <c r="P51" s="373"/>
      <c r="Q51" s="373"/>
      <c r="R51" s="373"/>
      <c r="S51" s="373"/>
      <c r="T51" s="373"/>
    </row>
    <row r="52" spans="1:21" s="111" customFormat="1" ht="13.8" x14ac:dyDescent="0.3">
      <c r="A52" s="384" t="str">
        <f>'Local SUT'!A60</f>
        <v>Source:  Minnesota Department of Revenue, Tax Research Division, February 2021</v>
      </c>
      <c r="B52" s="384"/>
      <c r="C52" s="384"/>
      <c r="D52" s="384"/>
      <c r="E52" s="384"/>
      <c r="F52" s="384"/>
      <c r="G52" s="384"/>
      <c r="H52" s="384"/>
      <c r="I52" s="384"/>
      <c r="J52" s="384"/>
      <c r="K52" s="384"/>
      <c r="L52" s="384"/>
      <c r="M52" s="384"/>
      <c r="N52" s="384"/>
      <c r="O52" s="384"/>
      <c r="P52" s="384"/>
      <c r="Q52" s="384"/>
      <c r="R52" s="384"/>
      <c r="S52" s="384"/>
      <c r="T52" s="384"/>
      <c r="U52" s="384"/>
    </row>
    <row r="53" spans="1:21" s="111" customFormat="1" ht="13.8" x14ac:dyDescent="0.3">
      <c r="A53" s="379" t="s">
        <v>151</v>
      </c>
      <c r="B53" s="379"/>
      <c r="C53" s="379"/>
      <c r="D53" s="379"/>
      <c r="E53" s="379"/>
      <c r="F53" s="379"/>
      <c r="G53" s="379"/>
      <c r="H53" s="379"/>
      <c r="I53" s="379"/>
      <c r="J53" s="379"/>
      <c r="K53" s="379"/>
      <c r="L53" s="379"/>
      <c r="M53" s="379"/>
      <c r="N53" s="379"/>
      <c r="O53" s="379"/>
      <c r="P53" s="379"/>
      <c r="Q53" s="379"/>
      <c r="R53" s="379"/>
    </row>
    <row r="54" spans="1:21" x14ac:dyDescent="0.3">
      <c r="R54" s="117"/>
    </row>
  </sheetData>
  <mergeCells count="11">
    <mergeCell ref="A34:R34"/>
    <mergeCell ref="A1:V1"/>
    <mergeCell ref="A2:R2"/>
    <mergeCell ref="A3:S3"/>
    <mergeCell ref="A18:R18"/>
    <mergeCell ref="A19:S19"/>
    <mergeCell ref="A35:R35"/>
    <mergeCell ref="A50:R50"/>
    <mergeCell ref="A51:T51"/>
    <mergeCell ref="A52:U52"/>
    <mergeCell ref="A53:R53"/>
  </mergeCells>
  <pageMargins left="0.5" right="0" top="0.75" bottom="0.75" header="0.3" footer="0.3"/>
  <pageSetup scale="86"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814B0-3CCE-4072-98F8-908E4B498354}">
  <sheetPr codeName="Sheet49">
    <pageSetUpPr fitToPage="1"/>
  </sheetPr>
  <dimension ref="A1:V54"/>
  <sheetViews>
    <sheetView showGridLines="0" zoomScaleNormal="100" workbookViewId="0">
      <pane ySplit="1" topLeftCell="A2" activePane="bottomLeft" state="frozen"/>
      <selection pane="bottomLeft" sqref="A1:V1"/>
    </sheetView>
  </sheetViews>
  <sheetFormatPr defaultColWidth="12.5546875" defaultRowHeight="14.4" x14ac:dyDescent="0.3"/>
  <cols>
    <col min="1" max="1" width="12.5546875" style="180" customWidth="1"/>
    <col min="2" max="17" width="13.5546875" style="173" hidden="1" customWidth="1"/>
    <col min="18" max="18" width="13.5546875" style="145" customWidth="1"/>
    <col min="19" max="16384" width="12.5546875" style="173"/>
  </cols>
  <sheetData>
    <row r="1" spans="1:22" s="112" customFormat="1" ht="21" x14ac:dyDescent="0.3">
      <c r="A1" s="380" t="s">
        <v>274</v>
      </c>
      <c r="B1" s="380"/>
      <c r="C1" s="380"/>
      <c r="D1" s="380"/>
      <c r="E1" s="380"/>
      <c r="F1" s="380"/>
      <c r="G1" s="380"/>
      <c r="H1" s="380"/>
      <c r="I1" s="380"/>
      <c r="J1" s="380"/>
      <c r="K1" s="380"/>
      <c r="L1" s="380"/>
      <c r="M1" s="380"/>
      <c r="N1" s="380"/>
      <c r="O1" s="380"/>
      <c r="P1" s="380"/>
      <c r="Q1" s="380"/>
      <c r="R1" s="380"/>
      <c r="S1" s="380"/>
      <c r="T1" s="380"/>
      <c r="U1" s="380"/>
      <c r="V1" s="380"/>
    </row>
    <row r="2" spans="1:22" s="106" customFormat="1" ht="18" x14ac:dyDescent="0.3">
      <c r="A2" s="381" t="str">
        <f>'Local SUT'!A2</f>
        <v>CY 2004-2020</v>
      </c>
      <c r="B2" s="381"/>
      <c r="C2" s="381"/>
      <c r="D2" s="381"/>
      <c r="E2" s="381"/>
      <c r="F2" s="381"/>
      <c r="G2" s="381"/>
      <c r="H2" s="381"/>
      <c r="I2" s="381"/>
      <c r="J2" s="381"/>
      <c r="K2" s="381"/>
      <c r="L2" s="381"/>
      <c r="M2" s="381"/>
      <c r="N2" s="381"/>
      <c r="O2" s="381"/>
      <c r="P2" s="381"/>
      <c r="Q2" s="381"/>
      <c r="R2" s="381"/>
    </row>
    <row r="3" spans="1:22" s="106" customFormat="1" ht="18" x14ac:dyDescent="0.3">
      <c r="A3" s="385" t="s">
        <v>275</v>
      </c>
      <c r="B3" s="385"/>
      <c r="C3" s="385"/>
      <c r="D3" s="385"/>
      <c r="E3" s="385"/>
      <c r="F3" s="385"/>
      <c r="G3" s="385"/>
      <c r="H3" s="385"/>
      <c r="I3" s="385"/>
      <c r="J3" s="385"/>
      <c r="K3" s="385"/>
      <c r="L3" s="385"/>
      <c r="M3" s="385"/>
      <c r="N3" s="385"/>
      <c r="O3" s="385"/>
      <c r="P3" s="385"/>
      <c r="Q3" s="385"/>
      <c r="R3" s="385"/>
      <c r="S3" s="385"/>
      <c r="T3" s="385"/>
    </row>
    <row r="4" spans="1:22" s="63" customFormat="1" ht="15.6" x14ac:dyDescent="0.3">
      <c r="A4" s="77" t="s">
        <v>23</v>
      </c>
      <c r="B4" s="91">
        <v>2004</v>
      </c>
      <c r="C4" s="64">
        <v>2005</v>
      </c>
      <c r="D4" s="64">
        <v>2006</v>
      </c>
      <c r="E4" s="64">
        <v>2007</v>
      </c>
      <c r="F4" s="64">
        <v>2008</v>
      </c>
      <c r="G4" s="64">
        <v>2009</v>
      </c>
      <c r="H4" s="64">
        <v>2010</v>
      </c>
      <c r="I4" s="64">
        <v>2011</v>
      </c>
      <c r="J4" s="65">
        <v>2012</v>
      </c>
      <c r="K4" s="65">
        <v>2013</v>
      </c>
      <c r="L4" s="65">
        <v>2014</v>
      </c>
      <c r="M4" s="65">
        <v>2015</v>
      </c>
      <c r="N4" s="65">
        <v>2016</v>
      </c>
      <c r="O4" s="65">
        <v>2017</v>
      </c>
      <c r="P4" s="65">
        <v>2018</v>
      </c>
      <c r="Q4" s="336">
        <v>2019</v>
      </c>
      <c r="R4" s="337">
        <v>2020</v>
      </c>
    </row>
    <row r="5" spans="1:22" s="63" customFormat="1" ht="15.6" x14ac:dyDescent="0.3">
      <c r="A5" s="76" t="s">
        <v>24</v>
      </c>
      <c r="B5" s="108" t="s">
        <v>152</v>
      </c>
      <c r="C5" s="107" t="s">
        <v>152</v>
      </c>
      <c r="D5" s="107" t="s">
        <v>152</v>
      </c>
      <c r="E5" s="107" t="s">
        <v>152</v>
      </c>
      <c r="F5" s="107" t="s">
        <v>152</v>
      </c>
      <c r="G5" s="107" t="s">
        <v>152</v>
      </c>
      <c r="H5" s="107" t="s">
        <v>152</v>
      </c>
      <c r="I5" s="107" t="s">
        <v>152</v>
      </c>
      <c r="J5" s="107" t="s">
        <v>152</v>
      </c>
      <c r="K5" s="107" t="s">
        <v>152</v>
      </c>
      <c r="L5" s="107" t="s">
        <v>152</v>
      </c>
      <c r="M5" s="107" t="s">
        <v>152</v>
      </c>
      <c r="N5" s="107" t="s">
        <v>152</v>
      </c>
      <c r="O5" s="107" t="s">
        <v>152</v>
      </c>
      <c r="P5" s="107" t="s">
        <v>152</v>
      </c>
      <c r="Q5" s="107" t="s">
        <v>152</v>
      </c>
      <c r="R5" s="286">
        <v>1</v>
      </c>
    </row>
    <row r="6" spans="1:22" s="63" customFormat="1" ht="15.6" x14ac:dyDescent="0.3">
      <c r="A6" s="75" t="s">
        <v>25</v>
      </c>
      <c r="B6" s="170" t="s">
        <v>152</v>
      </c>
      <c r="C6" s="67" t="s">
        <v>152</v>
      </c>
      <c r="D6" s="67" t="s">
        <v>152</v>
      </c>
      <c r="E6" s="67" t="s">
        <v>152</v>
      </c>
      <c r="F6" s="67" t="s">
        <v>152</v>
      </c>
      <c r="G6" s="107" t="s">
        <v>152</v>
      </c>
      <c r="H6" s="107" t="s">
        <v>152</v>
      </c>
      <c r="I6" s="107" t="s">
        <v>152</v>
      </c>
      <c r="J6" s="107" t="s">
        <v>152</v>
      </c>
      <c r="K6" s="107" t="s">
        <v>152</v>
      </c>
      <c r="L6" s="107" t="s">
        <v>152</v>
      </c>
      <c r="M6" s="107" t="s">
        <v>152</v>
      </c>
      <c r="N6" s="107" t="s">
        <v>152</v>
      </c>
      <c r="O6" s="107" t="s">
        <v>152</v>
      </c>
      <c r="P6" s="107" t="s">
        <v>152</v>
      </c>
      <c r="Q6" s="107" t="s">
        <v>152</v>
      </c>
      <c r="R6" s="287">
        <v>97383</v>
      </c>
    </row>
    <row r="7" spans="1:22" s="63" customFormat="1" ht="15.6" x14ac:dyDescent="0.3">
      <c r="A7" s="75" t="s">
        <v>26</v>
      </c>
      <c r="B7" s="170" t="s">
        <v>152</v>
      </c>
      <c r="C7" s="67" t="s">
        <v>152</v>
      </c>
      <c r="D7" s="67" t="s">
        <v>152</v>
      </c>
      <c r="E7" s="67" t="s">
        <v>152</v>
      </c>
      <c r="F7" s="67" t="s">
        <v>152</v>
      </c>
      <c r="G7" s="107" t="s">
        <v>152</v>
      </c>
      <c r="H7" s="107" t="s">
        <v>152</v>
      </c>
      <c r="I7" s="107" t="s">
        <v>152</v>
      </c>
      <c r="J7" s="107" t="s">
        <v>152</v>
      </c>
      <c r="K7" s="107" t="s">
        <v>152</v>
      </c>
      <c r="L7" s="107" t="s">
        <v>152</v>
      </c>
      <c r="M7" s="107" t="s">
        <v>152</v>
      </c>
      <c r="N7" s="107" t="s">
        <v>152</v>
      </c>
      <c r="O7" s="107" t="s">
        <v>152</v>
      </c>
      <c r="P7" s="107" t="s">
        <v>152</v>
      </c>
      <c r="Q7" s="107" t="s">
        <v>152</v>
      </c>
      <c r="R7" s="287">
        <v>102048</v>
      </c>
    </row>
    <row r="8" spans="1:22" s="63" customFormat="1" ht="15.6" x14ac:dyDescent="0.3">
      <c r="A8" s="75" t="s">
        <v>27</v>
      </c>
      <c r="B8" s="170" t="s">
        <v>152</v>
      </c>
      <c r="C8" s="67" t="s">
        <v>152</v>
      </c>
      <c r="D8" s="67" t="s">
        <v>152</v>
      </c>
      <c r="E8" s="67" t="s">
        <v>152</v>
      </c>
      <c r="F8" s="67" t="s">
        <v>152</v>
      </c>
      <c r="G8" s="107" t="s">
        <v>152</v>
      </c>
      <c r="H8" s="107" t="s">
        <v>152</v>
      </c>
      <c r="I8" s="107" t="s">
        <v>152</v>
      </c>
      <c r="J8" s="107" t="s">
        <v>152</v>
      </c>
      <c r="K8" s="107" t="s">
        <v>152</v>
      </c>
      <c r="L8" s="107" t="s">
        <v>152</v>
      </c>
      <c r="M8" s="107" t="s">
        <v>152</v>
      </c>
      <c r="N8" s="107" t="s">
        <v>152</v>
      </c>
      <c r="O8" s="107" t="s">
        <v>152</v>
      </c>
      <c r="P8" s="107" t="s">
        <v>152</v>
      </c>
      <c r="Q8" s="107" t="s">
        <v>152</v>
      </c>
      <c r="R8" s="287">
        <v>129158</v>
      </c>
    </row>
    <row r="9" spans="1:22" s="63" customFormat="1" ht="15.6" x14ac:dyDescent="0.3">
      <c r="A9" s="75" t="s">
        <v>28</v>
      </c>
      <c r="B9" s="170" t="s">
        <v>152</v>
      </c>
      <c r="C9" s="67" t="s">
        <v>152</v>
      </c>
      <c r="D9" s="67" t="s">
        <v>152</v>
      </c>
      <c r="E9" s="67" t="s">
        <v>152</v>
      </c>
      <c r="F9" s="67" t="s">
        <v>152</v>
      </c>
      <c r="G9" s="107" t="s">
        <v>152</v>
      </c>
      <c r="H9" s="107" t="s">
        <v>152</v>
      </c>
      <c r="I9" s="107" t="s">
        <v>152</v>
      </c>
      <c r="J9" s="107" t="s">
        <v>152</v>
      </c>
      <c r="K9" s="107" t="s">
        <v>152</v>
      </c>
      <c r="L9" s="107" t="s">
        <v>152</v>
      </c>
      <c r="M9" s="107" t="s">
        <v>152</v>
      </c>
      <c r="N9" s="107" t="s">
        <v>152</v>
      </c>
      <c r="O9" s="107" t="s">
        <v>152</v>
      </c>
      <c r="P9" s="107" t="s">
        <v>152</v>
      </c>
      <c r="Q9" s="107" t="s">
        <v>152</v>
      </c>
      <c r="R9" s="287">
        <v>163135</v>
      </c>
    </row>
    <row r="10" spans="1:22" s="63" customFormat="1" ht="15.6" x14ac:dyDescent="0.3">
      <c r="A10" s="75" t="s">
        <v>29</v>
      </c>
      <c r="B10" s="170" t="s">
        <v>152</v>
      </c>
      <c r="C10" s="67" t="s">
        <v>152</v>
      </c>
      <c r="D10" s="67" t="s">
        <v>152</v>
      </c>
      <c r="E10" s="67" t="s">
        <v>152</v>
      </c>
      <c r="F10" s="67" t="s">
        <v>152</v>
      </c>
      <c r="G10" s="107" t="s">
        <v>152</v>
      </c>
      <c r="H10" s="107" t="s">
        <v>152</v>
      </c>
      <c r="I10" s="107" t="s">
        <v>152</v>
      </c>
      <c r="J10" s="107" t="s">
        <v>152</v>
      </c>
      <c r="K10" s="107" t="s">
        <v>152</v>
      </c>
      <c r="L10" s="107" t="s">
        <v>152</v>
      </c>
      <c r="M10" s="107" t="s">
        <v>152</v>
      </c>
      <c r="N10" s="107" t="s">
        <v>152</v>
      </c>
      <c r="O10" s="107" t="s">
        <v>152</v>
      </c>
      <c r="P10" s="107" t="s">
        <v>152</v>
      </c>
      <c r="Q10" s="107" t="s">
        <v>152</v>
      </c>
      <c r="R10" s="287">
        <v>122758</v>
      </c>
    </row>
    <row r="11" spans="1:22" s="63" customFormat="1" ht="15.6" x14ac:dyDescent="0.3">
      <c r="A11" s="75" t="s">
        <v>30</v>
      </c>
      <c r="B11" s="170" t="s">
        <v>152</v>
      </c>
      <c r="C11" s="67" t="s">
        <v>152</v>
      </c>
      <c r="D11" s="67" t="s">
        <v>152</v>
      </c>
      <c r="E11" s="67" t="s">
        <v>152</v>
      </c>
      <c r="F11" s="67" t="s">
        <v>152</v>
      </c>
      <c r="G11" s="107" t="s">
        <v>152</v>
      </c>
      <c r="H11" s="107" t="s">
        <v>152</v>
      </c>
      <c r="I11" s="107" t="s">
        <v>152</v>
      </c>
      <c r="J11" s="107" t="s">
        <v>152</v>
      </c>
      <c r="K11" s="107" t="s">
        <v>152</v>
      </c>
      <c r="L11" s="107" t="s">
        <v>152</v>
      </c>
      <c r="M11" s="107" t="s">
        <v>152</v>
      </c>
      <c r="N11" s="107" t="s">
        <v>152</v>
      </c>
      <c r="O11" s="107" t="s">
        <v>152</v>
      </c>
      <c r="P11" s="107" t="s">
        <v>152</v>
      </c>
      <c r="Q11" s="107" t="s">
        <v>152</v>
      </c>
      <c r="R11" s="291" t="s">
        <v>152</v>
      </c>
    </row>
    <row r="12" spans="1:22" s="63" customFormat="1" ht="15.6" x14ac:dyDescent="0.3">
      <c r="A12" s="75" t="s">
        <v>31</v>
      </c>
      <c r="B12" s="170" t="s">
        <v>152</v>
      </c>
      <c r="C12" s="67" t="s">
        <v>152</v>
      </c>
      <c r="D12" s="67" t="s">
        <v>152</v>
      </c>
      <c r="E12" s="67" t="s">
        <v>152</v>
      </c>
      <c r="F12" s="67" t="s">
        <v>152</v>
      </c>
      <c r="G12" s="107" t="s">
        <v>152</v>
      </c>
      <c r="H12" s="107" t="s">
        <v>152</v>
      </c>
      <c r="I12" s="107" t="s">
        <v>152</v>
      </c>
      <c r="J12" s="107" t="s">
        <v>152</v>
      </c>
      <c r="K12" s="107" t="s">
        <v>152</v>
      </c>
      <c r="L12" s="107" t="s">
        <v>152</v>
      </c>
      <c r="M12" s="107" t="s">
        <v>152</v>
      </c>
      <c r="N12" s="107" t="s">
        <v>152</v>
      </c>
      <c r="O12" s="107" t="s">
        <v>152</v>
      </c>
      <c r="P12" s="107" t="s">
        <v>152</v>
      </c>
      <c r="Q12" s="174" t="s">
        <v>152</v>
      </c>
      <c r="R12" s="295" t="s">
        <v>152</v>
      </c>
    </row>
    <row r="13" spans="1:22" s="63" customFormat="1" ht="15.6" x14ac:dyDescent="0.3">
      <c r="A13" s="75" t="s">
        <v>32</v>
      </c>
      <c r="B13" s="170" t="s">
        <v>152</v>
      </c>
      <c r="C13" s="67" t="s">
        <v>152</v>
      </c>
      <c r="D13" s="67" t="s">
        <v>152</v>
      </c>
      <c r="E13" s="67" t="s">
        <v>152</v>
      </c>
      <c r="F13" s="67" t="s">
        <v>152</v>
      </c>
      <c r="G13" s="107" t="s">
        <v>152</v>
      </c>
      <c r="H13" s="107" t="s">
        <v>152</v>
      </c>
      <c r="I13" s="107" t="s">
        <v>152</v>
      </c>
      <c r="J13" s="107" t="s">
        <v>152</v>
      </c>
      <c r="K13" s="107" t="s">
        <v>152</v>
      </c>
      <c r="L13" s="107" t="s">
        <v>152</v>
      </c>
      <c r="M13" s="107" t="s">
        <v>152</v>
      </c>
      <c r="N13" s="107" t="s">
        <v>152</v>
      </c>
      <c r="O13" s="107" t="s">
        <v>152</v>
      </c>
      <c r="P13" s="107" t="s">
        <v>152</v>
      </c>
      <c r="Q13" s="107" t="s">
        <v>152</v>
      </c>
      <c r="R13" s="295" t="s">
        <v>152</v>
      </c>
    </row>
    <row r="14" spans="1:22" s="63" customFormat="1" ht="15.6" x14ac:dyDescent="0.3">
      <c r="A14" s="75" t="s">
        <v>33</v>
      </c>
      <c r="B14" s="170" t="s">
        <v>152</v>
      </c>
      <c r="C14" s="67" t="s">
        <v>152</v>
      </c>
      <c r="D14" s="67" t="s">
        <v>152</v>
      </c>
      <c r="E14" s="67" t="s">
        <v>152</v>
      </c>
      <c r="F14" s="67" t="s">
        <v>152</v>
      </c>
      <c r="G14" s="107" t="s">
        <v>152</v>
      </c>
      <c r="H14" s="107" t="s">
        <v>152</v>
      </c>
      <c r="I14" s="107" t="s">
        <v>152</v>
      </c>
      <c r="J14" s="107" t="s">
        <v>152</v>
      </c>
      <c r="K14" s="107" t="s">
        <v>152</v>
      </c>
      <c r="L14" s="107" t="s">
        <v>152</v>
      </c>
      <c r="M14" s="107" t="s">
        <v>152</v>
      </c>
      <c r="N14" s="107" t="s">
        <v>152</v>
      </c>
      <c r="O14" s="107" t="s">
        <v>152</v>
      </c>
      <c r="P14" s="107" t="s">
        <v>152</v>
      </c>
      <c r="Q14" s="107" t="s">
        <v>152</v>
      </c>
      <c r="R14" s="295" t="s">
        <v>152</v>
      </c>
    </row>
    <row r="15" spans="1:22" s="63" customFormat="1" ht="15.6" x14ac:dyDescent="0.3">
      <c r="A15" s="75" t="s">
        <v>34</v>
      </c>
      <c r="B15" s="170" t="s">
        <v>152</v>
      </c>
      <c r="C15" s="67" t="s">
        <v>152</v>
      </c>
      <c r="D15" s="67" t="s">
        <v>152</v>
      </c>
      <c r="E15" s="67" t="s">
        <v>152</v>
      </c>
      <c r="F15" s="67" t="s">
        <v>152</v>
      </c>
      <c r="G15" s="107" t="s">
        <v>152</v>
      </c>
      <c r="H15" s="107" t="s">
        <v>152</v>
      </c>
      <c r="I15" s="107" t="s">
        <v>152</v>
      </c>
      <c r="J15" s="107" t="s">
        <v>152</v>
      </c>
      <c r="K15" s="107" t="s">
        <v>152</v>
      </c>
      <c r="L15" s="107" t="s">
        <v>152</v>
      </c>
      <c r="M15" s="107" t="s">
        <v>152</v>
      </c>
      <c r="N15" s="107" t="s">
        <v>152</v>
      </c>
      <c r="O15" s="107" t="s">
        <v>152</v>
      </c>
      <c r="P15" s="107" t="s">
        <v>152</v>
      </c>
      <c r="Q15" s="107" t="s">
        <v>152</v>
      </c>
      <c r="R15" s="295" t="s">
        <v>152</v>
      </c>
    </row>
    <row r="16" spans="1:22" s="63" customFormat="1" ht="16.2" thickBot="1" x14ac:dyDescent="0.35">
      <c r="A16" s="88" t="s">
        <v>36</v>
      </c>
      <c r="B16" s="87" t="s">
        <v>152</v>
      </c>
      <c r="C16" s="72" t="s">
        <v>152</v>
      </c>
      <c r="D16" s="72" t="s">
        <v>152</v>
      </c>
      <c r="E16" s="72" t="s">
        <v>152</v>
      </c>
      <c r="F16" s="72" t="s">
        <v>152</v>
      </c>
      <c r="G16" s="192" t="s">
        <v>152</v>
      </c>
      <c r="H16" s="192" t="s">
        <v>152</v>
      </c>
      <c r="I16" s="192" t="s">
        <v>152</v>
      </c>
      <c r="J16" s="192" t="s">
        <v>152</v>
      </c>
      <c r="K16" s="192" t="s">
        <v>152</v>
      </c>
      <c r="L16" s="192" t="s">
        <v>152</v>
      </c>
      <c r="M16" s="192" t="s">
        <v>152</v>
      </c>
      <c r="N16" s="192" t="s">
        <v>152</v>
      </c>
      <c r="O16" s="192" t="s">
        <v>152</v>
      </c>
      <c r="P16" s="192" t="s">
        <v>152</v>
      </c>
      <c r="Q16" s="192" t="s">
        <v>152</v>
      </c>
      <c r="R16" s="292" t="s">
        <v>152</v>
      </c>
    </row>
    <row r="17" spans="1:19" s="63" customFormat="1" ht="16.2" thickTop="1" x14ac:dyDescent="0.3">
      <c r="A17" s="89" t="s">
        <v>37</v>
      </c>
      <c r="B17" s="90" t="s">
        <v>152</v>
      </c>
      <c r="C17" s="73" t="s">
        <v>152</v>
      </c>
      <c r="D17" s="73" t="s">
        <v>152</v>
      </c>
      <c r="E17" s="73" t="s">
        <v>152</v>
      </c>
      <c r="F17" s="73" t="s">
        <v>152</v>
      </c>
      <c r="G17" s="273">
        <f t="shared" ref="G17:R17" si="0">SUM(G5:G16)</f>
        <v>0</v>
      </c>
      <c r="H17" s="273">
        <f t="shared" si="0"/>
        <v>0</v>
      </c>
      <c r="I17" s="273">
        <f t="shared" si="0"/>
        <v>0</v>
      </c>
      <c r="J17" s="273">
        <f t="shared" si="0"/>
        <v>0</v>
      </c>
      <c r="K17" s="273">
        <f t="shared" si="0"/>
        <v>0</v>
      </c>
      <c r="L17" s="273">
        <f t="shared" si="0"/>
        <v>0</v>
      </c>
      <c r="M17" s="273">
        <f t="shared" si="0"/>
        <v>0</v>
      </c>
      <c r="N17" s="273">
        <f t="shared" si="0"/>
        <v>0</v>
      </c>
      <c r="O17" s="273">
        <f t="shared" si="0"/>
        <v>0</v>
      </c>
      <c r="P17" s="273">
        <f t="shared" si="0"/>
        <v>0</v>
      </c>
      <c r="Q17" s="273">
        <f t="shared" si="0"/>
        <v>0</v>
      </c>
      <c r="R17" s="288">
        <f t="shared" si="0"/>
        <v>614483</v>
      </c>
    </row>
    <row r="18" spans="1:19" s="113" customFormat="1" ht="6.6" x14ac:dyDescent="0.3">
      <c r="A18" s="371" t="s">
        <v>174</v>
      </c>
      <c r="B18" s="371"/>
      <c r="C18" s="371"/>
      <c r="D18" s="371"/>
      <c r="E18" s="371"/>
      <c r="F18" s="371"/>
      <c r="G18" s="371"/>
      <c r="H18" s="371"/>
      <c r="I18" s="371"/>
      <c r="J18" s="371"/>
      <c r="K18" s="371"/>
      <c r="L18" s="371"/>
      <c r="M18" s="371"/>
      <c r="N18" s="371"/>
      <c r="O18" s="371"/>
      <c r="P18" s="371"/>
      <c r="Q18" s="371"/>
      <c r="R18" s="371"/>
    </row>
    <row r="19" spans="1:19" s="106" customFormat="1" ht="18" x14ac:dyDescent="0.3">
      <c r="A19" s="396" t="s">
        <v>276</v>
      </c>
      <c r="B19" s="396"/>
      <c r="C19" s="396"/>
      <c r="D19" s="396"/>
      <c r="E19" s="396"/>
      <c r="F19" s="396"/>
      <c r="G19" s="396"/>
      <c r="H19" s="396"/>
      <c r="I19" s="396"/>
      <c r="J19" s="396"/>
      <c r="K19" s="396"/>
      <c r="L19" s="396"/>
      <c r="M19" s="396"/>
      <c r="N19" s="396"/>
      <c r="O19" s="396"/>
      <c r="P19" s="396"/>
      <c r="Q19" s="396"/>
      <c r="R19" s="396"/>
      <c r="S19" s="396"/>
    </row>
    <row r="20" spans="1:19" s="63" customFormat="1" ht="15.6" x14ac:dyDescent="0.3">
      <c r="A20" s="77" t="s">
        <v>23</v>
      </c>
      <c r="B20" s="91">
        <v>2005</v>
      </c>
      <c r="C20" s="64">
        <v>2005</v>
      </c>
      <c r="D20" s="64">
        <v>2006</v>
      </c>
      <c r="E20" s="64">
        <v>2007</v>
      </c>
      <c r="F20" s="64">
        <v>2008</v>
      </c>
      <c r="G20" s="64">
        <v>2009</v>
      </c>
      <c r="H20" s="64">
        <v>2010</v>
      </c>
      <c r="I20" s="64">
        <v>2011</v>
      </c>
      <c r="J20" s="65">
        <v>2012</v>
      </c>
      <c r="K20" s="65">
        <v>2013</v>
      </c>
      <c r="L20" s="65">
        <v>2014</v>
      </c>
      <c r="M20" s="65">
        <v>2015</v>
      </c>
      <c r="N20" s="65">
        <v>2016</v>
      </c>
      <c r="O20" s="65">
        <v>2017</v>
      </c>
      <c r="P20" s="65">
        <v>2018</v>
      </c>
      <c r="Q20" s="336">
        <v>2019</v>
      </c>
      <c r="R20" s="337">
        <v>2020</v>
      </c>
    </row>
    <row r="21" spans="1:19" s="63" customFormat="1" ht="15.6" x14ac:dyDescent="0.3">
      <c r="A21" s="76" t="s">
        <v>24</v>
      </c>
      <c r="B21" s="108" t="s">
        <v>152</v>
      </c>
      <c r="C21" s="107" t="s">
        <v>152</v>
      </c>
      <c r="D21" s="107" t="s">
        <v>152</v>
      </c>
      <c r="E21" s="107" t="s">
        <v>152</v>
      </c>
      <c r="F21" s="107" t="s">
        <v>152</v>
      </c>
      <c r="G21" s="107" t="s">
        <v>152</v>
      </c>
      <c r="H21" s="107" t="s">
        <v>152</v>
      </c>
      <c r="I21" s="107" t="s">
        <v>152</v>
      </c>
      <c r="J21" s="107" t="s">
        <v>152</v>
      </c>
      <c r="K21" s="107" t="s">
        <v>152</v>
      </c>
      <c r="L21" s="107" t="s">
        <v>152</v>
      </c>
      <c r="M21" s="107" t="s">
        <v>152</v>
      </c>
      <c r="N21" s="107" t="s">
        <v>152</v>
      </c>
      <c r="O21" s="107" t="s">
        <v>152</v>
      </c>
      <c r="P21" s="107" t="s">
        <v>152</v>
      </c>
      <c r="Q21" s="107" t="s">
        <v>152</v>
      </c>
      <c r="R21" s="286">
        <v>0</v>
      </c>
    </row>
    <row r="22" spans="1:19" s="63" customFormat="1" ht="15.6" x14ac:dyDescent="0.3">
      <c r="A22" s="75" t="s">
        <v>25</v>
      </c>
      <c r="B22" s="170" t="s">
        <v>152</v>
      </c>
      <c r="C22" s="67" t="s">
        <v>152</v>
      </c>
      <c r="D22" s="67" t="s">
        <v>152</v>
      </c>
      <c r="E22" s="67" t="s">
        <v>152</v>
      </c>
      <c r="F22" s="67" t="s">
        <v>152</v>
      </c>
      <c r="G22" s="107" t="s">
        <v>152</v>
      </c>
      <c r="H22" s="107" t="s">
        <v>152</v>
      </c>
      <c r="I22" s="107" t="s">
        <v>152</v>
      </c>
      <c r="J22" s="107" t="s">
        <v>152</v>
      </c>
      <c r="K22" s="107" t="s">
        <v>152</v>
      </c>
      <c r="L22" s="107" t="s">
        <v>152</v>
      </c>
      <c r="M22" s="107" t="s">
        <v>152</v>
      </c>
      <c r="N22" s="107" t="s">
        <v>152</v>
      </c>
      <c r="O22" s="107" t="s">
        <v>152</v>
      </c>
      <c r="P22" s="107" t="s">
        <v>152</v>
      </c>
      <c r="Q22" s="107" t="s">
        <v>152</v>
      </c>
      <c r="R22" s="287">
        <v>1267</v>
      </c>
    </row>
    <row r="23" spans="1:19" s="63" customFormat="1" ht="15.6" x14ac:dyDescent="0.3">
      <c r="A23" s="75" t="s">
        <v>26</v>
      </c>
      <c r="B23" s="170" t="s">
        <v>152</v>
      </c>
      <c r="C23" s="67" t="s">
        <v>152</v>
      </c>
      <c r="D23" s="67" t="s">
        <v>152</v>
      </c>
      <c r="E23" s="67" t="s">
        <v>152</v>
      </c>
      <c r="F23" s="67" t="s">
        <v>152</v>
      </c>
      <c r="G23" s="107" t="s">
        <v>152</v>
      </c>
      <c r="H23" s="107" t="s">
        <v>152</v>
      </c>
      <c r="I23" s="107" t="s">
        <v>152</v>
      </c>
      <c r="J23" s="107" t="s">
        <v>152</v>
      </c>
      <c r="K23" s="107" t="s">
        <v>152</v>
      </c>
      <c r="L23" s="107" t="s">
        <v>152</v>
      </c>
      <c r="M23" s="107" t="s">
        <v>152</v>
      </c>
      <c r="N23" s="107" t="s">
        <v>152</v>
      </c>
      <c r="O23" s="107" t="s">
        <v>152</v>
      </c>
      <c r="P23" s="107" t="s">
        <v>152</v>
      </c>
      <c r="Q23" s="107" t="s">
        <v>152</v>
      </c>
      <c r="R23" s="287">
        <v>1113</v>
      </c>
    </row>
    <row r="24" spans="1:19" s="63" customFormat="1" ht="15.6" x14ac:dyDescent="0.3">
      <c r="A24" s="75" t="s">
        <v>27</v>
      </c>
      <c r="B24" s="170" t="s">
        <v>152</v>
      </c>
      <c r="C24" s="67" t="s">
        <v>152</v>
      </c>
      <c r="D24" s="67" t="s">
        <v>152</v>
      </c>
      <c r="E24" s="67" t="s">
        <v>152</v>
      </c>
      <c r="F24" s="67" t="s">
        <v>152</v>
      </c>
      <c r="G24" s="107" t="s">
        <v>152</v>
      </c>
      <c r="H24" s="107" t="s">
        <v>152</v>
      </c>
      <c r="I24" s="107" t="s">
        <v>152</v>
      </c>
      <c r="J24" s="107" t="s">
        <v>152</v>
      </c>
      <c r="K24" s="107" t="s">
        <v>152</v>
      </c>
      <c r="L24" s="107" t="s">
        <v>152</v>
      </c>
      <c r="M24" s="107" t="s">
        <v>152</v>
      </c>
      <c r="N24" s="107" t="s">
        <v>152</v>
      </c>
      <c r="O24" s="107" t="s">
        <v>152</v>
      </c>
      <c r="P24" s="107" t="s">
        <v>152</v>
      </c>
      <c r="Q24" s="107" t="s">
        <v>152</v>
      </c>
      <c r="R24" s="287">
        <v>1848</v>
      </c>
    </row>
    <row r="25" spans="1:19" s="63" customFormat="1" ht="15.6" x14ac:dyDescent="0.3">
      <c r="A25" s="75" t="s">
        <v>28</v>
      </c>
      <c r="B25" s="170" t="s">
        <v>152</v>
      </c>
      <c r="C25" s="67" t="s">
        <v>152</v>
      </c>
      <c r="D25" s="67" t="s">
        <v>152</v>
      </c>
      <c r="E25" s="67" t="s">
        <v>152</v>
      </c>
      <c r="F25" s="67" t="s">
        <v>152</v>
      </c>
      <c r="G25" s="107" t="s">
        <v>152</v>
      </c>
      <c r="H25" s="107" t="s">
        <v>152</v>
      </c>
      <c r="I25" s="107" t="s">
        <v>152</v>
      </c>
      <c r="J25" s="107" t="s">
        <v>152</v>
      </c>
      <c r="K25" s="107" t="s">
        <v>152</v>
      </c>
      <c r="L25" s="107" t="s">
        <v>152</v>
      </c>
      <c r="M25" s="107" t="s">
        <v>152</v>
      </c>
      <c r="N25" s="107" t="s">
        <v>152</v>
      </c>
      <c r="O25" s="107" t="s">
        <v>152</v>
      </c>
      <c r="P25" s="107" t="s">
        <v>152</v>
      </c>
      <c r="Q25" s="107" t="s">
        <v>152</v>
      </c>
      <c r="R25" s="287">
        <v>1604</v>
      </c>
    </row>
    <row r="26" spans="1:19" s="63" customFormat="1" ht="15.6" x14ac:dyDescent="0.3">
      <c r="A26" s="75" t="s">
        <v>29</v>
      </c>
      <c r="B26" s="170" t="s">
        <v>152</v>
      </c>
      <c r="C26" s="67" t="s">
        <v>152</v>
      </c>
      <c r="D26" s="67" t="s">
        <v>152</v>
      </c>
      <c r="E26" s="67" t="s">
        <v>152</v>
      </c>
      <c r="F26" s="67" t="s">
        <v>152</v>
      </c>
      <c r="G26" s="107" t="s">
        <v>152</v>
      </c>
      <c r="H26" s="107" t="s">
        <v>152</v>
      </c>
      <c r="I26" s="107" t="s">
        <v>152</v>
      </c>
      <c r="J26" s="107" t="s">
        <v>152</v>
      </c>
      <c r="K26" s="107" t="s">
        <v>152</v>
      </c>
      <c r="L26" s="107" t="s">
        <v>152</v>
      </c>
      <c r="M26" s="107" t="s">
        <v>152</v>
      </c>
      <c r="N26" s="107" t="s">
        <v>152</v>
      </c>
      <c r="O26" s="107" t="s">
        <v>152</v>
      </c>
      <c r="P26" s="107" t="s">
        <v>152</v>
      </c>
      <c r="Q26" s="107" t="s">
        <v>152</v>
      </c>
      <c r="R26" s="287">
        <v>1539</v>
      </c>
    </row>
    <row r="27" spans="1:19" s="63" customFormat="1" ht="15.6" x14ac:dyDescent="0.3">
      <c r="A27" s="75" t="s">
        <v>30</v>
      </c>
      <c r="B27" s="170" t="s">
        <v>152</v>
      </c>
      <c r="C27" s="67" t="s">
        <v>152</v>
      </c>
      <c r="D27" s="67" t="s">
        <v>152</v>
      </c>
      <c r="E27" s="67" t="s">
        <v>152</v>
      </c>
      <c r="F27" s="67" t="s">
        <v>152</v>
      </c>
      <c r="G27" s="107" t="s">
        <v>152</v>
      </c>
      <c r="H27" s="107" t="s">
        <v>152</v>
      </c>
      <c r="I27" s="107" t="s">
        <v>152</v>
      </c>
      <c r="J27" s="107" t="s">
        <v>152</v>
      </c>
      <c r="K27" s="107" t="s">
        <v>152</v>
      </c>
      <c r="L27" s="107" t="s">
        <v>152</v>
      </c>
      <c r="M27" s="107" t="s">
        <v>152</v>
      </c>
      <c r="N27" s="107" t="s">
        <v>152</v>
      </c>
      <c r="O27" s="107" t="s">
        <v>152</v>
      </c>
      <c r="P27" s="107" t="s">
        <v>152</v>
      </c>
      <c r="Q27" s="174" t="s">
        <v>152</v>
      </c>
      <c r="R27" s="291" t="s">
        <v>152</v>
      </c>
    </row>
    <row r="28" spans="1:19" s="63" customFormat="1" ht="15.6" x14ac:dyDescent="0.3">
      <c r="A28" s="75" t="s">
        <v>31</v>
      </c>
      <c r="B28" s="170" t="s">
        <v>152</v>
      </c>
      <c r="C28" s="67" t="s">
        <v>152</v>
      </c>
      <c r="D28" s="67" t="s">
        <v>152</v>
      </c>
      <c r="E28" s="67" t="s">
        <v>152</v>
      </c>
      <c r="F28" s="67" t="s">
        <v>152</v>
      </c>
      <c r="G28" s="107" t="s">
        <v>152</v>
      </c>
      <c r="H28" s="107" t="s">
        <v>152</v>
      </c>
      <c r="I28" s="107" t="s">
        <v>152</v>
      </c>
      <c r="J28" s="107" t="s">
        <v>152</v>
      </c>
      <c r="K28" s="107" t="s">
        <v>152</v>
      </c>
      <c r="L28" s="107" t="s">
        <v>152</v>
      </c>
      <c r="M28" s="107" t="s">
        <v>152</v>
      </c>
      <c r="N28" s="107" t="s">
        <v>152</v>
      </c>
      <c r="O28" s="107" t="s">
        <v>152</v>
      </c>
      <c r="P28" s="107" t="s">
        <v>152</v>
      </c>
      <c r="Q28" s="107" t="s">
        <v>152</v>
      </c>
      <c r="R28" s="295" t="s">
        <v>152</v>
      </c>
    </row>
    <row r="29" spans="1:19" s="63" customFormat="1" ht="15.6" x14ac:dyDescent="0.3">
      <c r="A29" s="75" t="s">
        <v>32</v>
      </c>
      <c r="B29" s="170" t="s">
        <v>152</v>
      </c>
      <c r="C29" s="67" t="s">
        <v>152</v>
      </c>
      <c r="D29" s="67" t="s">
        <v>152</v>
      </c>
      <c r="E29" s="67" t="s">
        <v>152</v>
      </c>
      <c r="F29" s="67" t="s">
        <v>152</v>
      </c>
      <c r="G29" s="107" t="s">
        <v>152</v>
      </c>
      <c r="H29" s="107" t="s">
        <v>152</v>
      </c>
      <c r="I29" s="107" t="s">
        <v>152</v>
      </c>
      <c r="J29" s="107" t="s">
        <v>152</v>
      </c>
      <c r="K29" s="107" t="s">
        <v>152</v>
      </c>
      <c r="L29" s="107" t="s">
        <v>152</v>
      </c>
      <c r="M29" s="107" t="s">
        <v>152</v>
      </c>
      <c r="N29" s="107" t="s">
        <v>152</v>
      </c>
      <c r="O29" s="107" t="s">
        <v>152</v>
      </c>
      <c r="P29" s="107" t="s">
        <v>152</v>
      </c>
      <c r="Q29" s="107" t="s">
        <v>152</v>
      </c>
      <c r="R29" s="295" t="s">
        <v>152</v>
      </c>
    </row>
    <row r="30" spans="1:19" s="63" customFormat="1" ht="15.6" x14ac:dyDescent="0.3">
      <c r="A30" s="75" t="s">
        <v>33</v>
      </c>
      <c r="B30" s="170" t="s">
        <v>152</v>
      </c>
      <c r="C30" s="67" t="s">
        <v>152</v>
      </c>
      <c r="D30" s="67" t="s">
        <v>152</v>
      </c>
      <c r="E30" s="67" t="s">
        <v>152</v>
      </c>
      <c r="F30" s="67" t="s">
        <v>152</v>
      </c>
      <c r="G30" s="107" t="s">
        <v>152</v>
      </c>
      <c r="H30" s="107" t="s">
        <v>152</v>
      </c>
      <c r="I30" s="107" t="s">
        <v>152</v>
      </c>
      <c r="J30" s="107" t="s">
        <v>152</v>
      </c>
      <c r="K30" s="107" t="s">
        <v>152</v>
      </c>
      <c r="L30" s="107" t="s">
        <v>152</v>
      </c>
      <c r="M30" s="107" t="s">
        <v>152</v>
      </c>
      <c r="N30" s="107" t="s">
        <v>152</v>
      </c>
      <c r="O30" s="107" t="s">
        <v>152</v>
      </c>
      <c r="P30" s="107" t="s">
        <v>152</v>
      </c>
      <c r="Q30" s="107" t="s">
        <v>152</v>
      </c>
      <c r="R30" s="295" t="s">
        <v>152</v>
      </c>
    </row>
    <row r="31" spans="1:19" s="63" customFormat="1" ht="15.6" x14ac:dyDescent="0.3">
      <c r="A31" s="75" t="s">
        <v>34</v>
      </c>
      <c r="B31" s="170" t="s">
        <v>152</v>
      </c>
      <c r="C31" s="67" t="s">
        <v>152</v>
      </c>
      <c r="D31" s="67" t="s">
        <v>152</v>
      </c>
      <c r="E31" s="67" t="s">
        <v>152</v>
      </c>
      <c r="F31" s="67" t="s">
        <v>152</v>
      </c>
      <c r="G31" s="107" t="s">
        <v>152</v>
      </c>
      <c r="H31" s="107" t="s">
        <v>152</v>
      </c>
      <c r="I31" s="107" t="s">
        <v>152</v>
      </c>
      <c r="J31" s="107" t="s">
        <v>152</v>
      </c>
      <c r="K31" s="107" t="s">
        <v>152</v>
      </c>
      <c r="L31" s="107" t="s">
        <v>152</v>
      </c>
      <c r="M31" s="107" t="s">
        <v>152</v>
      </c>
      <c r="N31" s="107" t="s">
        <v>152</v>
      </c>
      <c r="O31" s="107" t="s">
        <v>152</v>
      </c>
      <c r="P31" s="107" t="s">
        <v>152</v>
      </c>
      <c r="Q31" s="107" t="s">
        <v>152</v>
      </c>
      <c r="R31" s="295" t="s">
        <v>152</v>
      </c>
    </row>
    <row r="32" spans="1:19" s="63" customFormat="1" ht="16.2" thickBot="1" x14ac:dyDescent="0.35">
      <c r="A32" s="88" t="s">
        <v>36</v>
      </c>
      <c r="B32" s="87" t="s">
        <v>152</v>
      </c>
      <c r="C32" s="72" t="s">
        <v>152</v>
      </c>
      <c r="D32" s="72" t="s">
        <v>152</v>
      </c>
      <c r="E32" s="72" t="s">
        <v>152</v>
      </c>
      <c r="F32" s="72" t="s">
        <v>152</v>
      </c>
      <c r="G32" s="192" t="s">
        <v>152</v>
      </c>
      <c r="H32" s="192" t="s">
        <v>152</v>
      </c>
      <c r="I32" s="192" t="s">
        <v>152</v>
      </c>
      <c r="J32" s="192" t="s">
        <v>152</v>
      </c>
      <c r="K32" s="192" t="s">
        <v>152</v>
      </c>
      <c r="L32" s="192" t="s">
        <v>152</v>
      </c>
      <c r="M32" s="192" t="s">
        <v>152</v>
      </c>
      <c r="N32" s="192" t="s">
        <v>152</v>
      </c>
      <c r="O32" s="192" t="s">
        <v>152</v>
      </c>
      <c r="P32" s="192" t="s">
        <v>152</v>
      </c>
      <c r="Q32" s="192" t="s">
        <v>152</v>
      </c>
      <c r="R32" s="292" t="s">
        <v>152</v>
      </c>
    </row>
    <row r="33" spans="1:18" s="63" customFormat="1" ht="16.2" thickTop="1" x14ac:dyDescent="0.3">
      <c r="A33" s="89" t="s">
        <v>37</v>
      </c>
      <c r="B33" s="90" t="s">
        <v>152</v>
      </c>
      <c r="C33" s="73" t="s">
        <v>152</v>
      </c>
      <c r="D33" s="73" t="s">
        <v>152</v>
      </c>
      <c r="E33" s="73" t="s">
        <v>152</v>
      </c>
      <c r="F33" s="73" t="s">
        <v>152</v>
      </c>
      <c r="G33" s="273">
        <f t="shared" ref="G33:R33" si="1">SUM(G21:G32)</f>
        <v>0</v>
      </c>
      <c r="H33" s="273">
        <f t="shared" si="1"/>
        <v>0</v>
      </c>
      <c r="I33" s="273">
        <f t="shared" si="1"/>
        <v>0</v>
      </c>
      <c r="J33" s="273">
        <f t="shared" si="1"/>
        <v>0</v>
      </c>
      <c r="K33" s="273">
        <f t="shared" si="1"/>
        <v>0</v>
      </c>
      <c r="L33" s="273">
        <f t="shared" si="1"/>
        <v>0</v>
      </c>
      <c r="M33" s="273">
        <f t="shared" si="1"/>
        <v>0</v>
      </c>
      <c r="N33" s="273">
        <f t="shared" si="1"/>
        <v>0</v>
      </c>
      <c r="O33" s="273">
        <f t="shared" si="1"/>
        <v>0</v>
      </c>
      <c r="P33" s="273">
        <f t="shared" si="1"/>
        <v>0</v>
      </c>
      <c r="Q33" s="273">
        <f t="shared" si="1"/>
        <v>0</v>
      </c>
      <c r="R33" s="288">
        <f t="shared" si="1"/>
        <v>7371</v>
      </c>
    </row>
    <row r="34" spans="1:18" s="113" customFormat="1" ht="6.6" x14ac:dyDescent="0.3">
      <c r="A34" s="371" t="s">
        <v>174</v>
      </c>
      <c r="B34" s="371"/>
      <c r="C34" s="371"/>
      <c r="D34" s="371"/>
      <c r="E34" s="371"/>
      <c r="F34" s="371"/>
      <c r="G34" s="371"/>
      <c r="H34" s="371"/>
      <c r="I34" s="371"/>
      <c r="J34" s="371"/>
      <c r="K34" s="371"/>
      <c r="L34" s="371"/>
      <c r="M34" s="371"/>
      <c r="N34" s="371"/>
      <c r="O34" s="371"/>
      <c r="P34" s="371"/>
      <c r="Q34" s="371"/>
      <c r="R34" s="371"/>
    </row>
    <row r="35" spans="1:18" s="106" customFormat="1" ht="18" x14ac:dyDescent="0.3">
      <c r="A35" s="370" t="s">
        <v>277</v>
      </c>
      <c r="B35" s="370"/>
      <c r="C35" s="370"/>
      <c r="D35" s="370"/>
      <c r="E35" s="370"/>
      <c r="F35" s="370"/>
      <c r="G35" s="370"/>
      <c r="H35" s="370"/>
      <c r="I35" s="370"/>
      <c r="J35" s="370"/>
      <c r="K35" s="370"/>
      <c r="L35" s="370"/>
      <c r="M35" s="370"/>
      <c r="N35" s="370"/>
      <c r="O35" s="370"/>
      <c r="P35" s="370"/>
      <c r="Q35" s="370"/>
      <c r="R35" s="370"/>
    </row>
    <row r="36" spans="1:18" s="63" customFormat="1" ht="15.6" x14ac:dyDescent="0.3">
      <c r="A36" s="77" t="s">
        <v>23</v>
      </c>
      <c r="B36" s="91">
        <v>2005</v>
      </c>
      <c r="C36" s="64">
        <v>2005</v>
      </c>
      <c r="D36" s="64">
        <v>2006</v>
      </c>
      <c r="E36" s="64">
        <v>2007</v>
      </c>
      <c r="F36" s="64">
        <v>2008</v>
      </c>
      <c r="G36" s="64">
        <v>2009</v>
      </c>
      <c r="H36" s="64">
        <v>2010</v>
      </c>
      <c r="I36" s="64">
        <v>2011</v>
      </c>
      <c r="J36" s="65">
        <v>2012</v>
      </c>
      <c r="K36" s="65">
        <v>2013</v>
      </c>
      <c r="L36" s="65">
        <v>2014</v>
      </c>
      <c r="M36" s="65">
        <v>2015</v>
      </c>
      <c r="N36" s="65">
        <v>2016</v>
      </c>
      <c r="O36" s="65">
        <v>2017</v>
      </c>
      <c r="P36" s="65">
        <v>2018</v>
      </c>
      <c r="Q36" s="336">
        <v>2019</v>
      </c>
      <c r="R36" s="337">
        <v>2020</v>
      </c>
    </row>
    <row r="37" spans="1:18" s="63" customFormat="1" ht="15.6" x14ac:dyDescent="0.3">
      <c r="A37" s="76" t="s">
        <v>24</v>
      </c>
      <c r="B37" s="108" t="s">
        <v>152</v>
      </c>
      <c r="C37" s="107" t="s">
        <v>152</v>
      </c>
      <c r="D37" s="107" t="s">
        <v>152</v>
      </c>
      <c r="E37" s="107" t="s">
        <v>152</v>
      </c>
      <c r="F37" s="107" t="s">
        <v>152</v>
      </c>
      <c r="G37" s="107" t="s">
        <v>152</v>
      </c>
      <c r="H37" s="107" t="s">
        <v>152</v>
      </c>
      <c r="I37" s="107" t="s">
        <v>152</v>
      </c>
      <c r="J37" s="107" t="s">
        <v>152</v>
      </c>
      <c r="K37" s="107" t="s">
        <v>152</v>
      </c>
      <c r="L37" s="107" t="s">
        <v>152</v>
      </c>
      <c r="M37" s="107" t="s">
        <v>152</v>
      </c>
      <c r="N37" s="107" t="s">
        <v>152</v>
      </c>
      <c r="O37" s="107" t="s">
        <v>152</v>
      </c>
      <c r="P37" s="107" t="s">
        <v>152</v>
      </c>
      <c r="Q37" s="107" t="s">
        <v>152</v>
      </c>
      <c r="R37" s="286">
        <v>0</v>
      </c>
    </row>
    <row r="38" spans="1:18" s="63" customFormat="1" ht="15.6" x14ac:dyDescent="0.3">
      <c r="A38" s="75" t="s">
        <v>25</v>
      </c>
      <c r="B38" s="170" t="s">
        <v>152</v>
      </c>
      <c r="C38" s="67" t="s">
        <v>152</v>
      </c>
      <c r="D38" s="67" t="s">
        <v>152</v>
      </c>
      <c r="E38" s="67" t="s">
        <v>152</v>
      </c>
      <c r="F38" s="67" t="s">
        <v>152</v>
      </c>
      <c r="G38" s="107" t="s">
        <v>152</v>
      </c>
      <c r="H38" s="107" t="s">
        <v>152</v>
      </c>
      <c r="I38" s="107" t="s">
        <v>152</v>
      </c>
      <c r="J38" s="107" t="s">
        <v>152</v>
      </c>
      <c r="K38" s="107" t="s">
        <v>152</v>
      </c>
      <c r="L38" s="107" t="s">
        <v>152</v>
      </c>
      <c r="M38" s="107" t="s">
        <v>152</v>
      </c>
      <c r="N38" s="107" t="s">
        <v>152</v>
      </c>
      <c r="O38" s="107" t="s">
        <v>152</v>
      </c>
      <c r="P38" s="107" t="s">
        <v>152</v>
      </c>
      <c r="Q38" s="107" t="s">
        <v>152</v>
      </c>
      <c r="R38" s="287">
        <v>0</v>
      </c>
    </row>
    <row r="39" spans="1:18" s="63" customFormat="1" ht="15.6" x14ac:dyDescent="0.3">
      <c r="A39" s="75" t="s">
        <v>26</v>
      </c>
      <c r="B39" s="170" t="s">
        <v>152</v>
      </c>
      <c r="C39" s="67" t="s">
        <v>152</v>
      </c>
      <c r="D39" s="67" t="s">
        <v>152</v>
      </c>
      <c r="E39" s="67" t="s">
        <v>152</v>
      </c>
      <c r="F39" s="67" t="s">
        <v>152</v>
      </c>
      <c r="G39" s="107" t="s">
        <v>152</v>
      </c>
      <c r="H39" s="107" t="s">
        <v>152</v>
      </c>
      <c r="I39" s="107" t="s">
        <v>152</v>
      </c>
      <c r="J39" s="107" t="s">
        <v>152</v>
      </c>
      <c r="K39" s="107" t="s">
        <v>152</v>
      </c>
      <c r="L39" s="107" t="s">
        <v>152</v>
      </c>
      <c r="M39" s="107" t="s">
        <v>152</v>
      </c>
      <c r="N39" s="107" t="s">
        <v>152</v>
      </c>
      <c r="O39" s="107" t="s">
        <v>152</v>
      </c>
      <c r="P39" s="107" t="s">
        <v>152</v>
      </c>
      <c r="Q39" s="107" t="s">
        <v>152</v>
      </c>
      <c r="R39" s="287">
        <v>0</v>
      </c>
    </row>
    <row r="40" spans="1:18" s="63" customFormat="1" ht="15.6" x14ac:dyDescent="0.3">
      <c r="A40" s="75" t="s">
        <v>27</v>
      </c>
      <c r="B40" s="170" t="s">
        <v>152</v>
      </c>
      <c r="C40" s="67" t="s">
        <v>152</v>
      </c>
      <c r="D40" s="67" t="s">
        <v>152</v>
      </c>
      <c r="E40" s="67" t="s">
        <v>152</v>
      </c>
      <c r="F40" s="67" t="s">
        <v>152</v>
      </c>
      <c r="G40" s="107" t="s">
        <v>152</v>
      </c>
      <c r="H40" s="107" t="s">
        <v>152</v>
      </c>
      <c r="I40" s="107" t="s">
        <v>152</v>
      </c>
      <c r="J40" s="107" t="s">
        <v>152</v>
      </c>
      <c r="K40" s="107" t="s">
        <v>152</v>
      </c>
      <c r="L40" s="107" t="s">
        <v>152</v>
      </c>
      <c r="M40" s="107" t="s">
        <v>152</v>
      </c>
      <c r="N40" s="107" t="s">
        <v>152</v>
      </c>
      <c r="O40" s="107" t="s">
        <v>152</v>
      </c>
      <c r="P40" s="107" t="s">
        <v>152</v>
      </c>
      <c r="Q40" s="174" t="s">
        <v>152</v>
      </c>
      <c r="R40" s="287">
        <v>0</v>
      </c>
    </row>
    <row r="41" spans="1:18" s="63" customFormat="1" ht="15.6" x14ac:dyDescent="0.3">
      <c r="A41" s="75" t="s">
        <v>28</v>
      </c>
      <c r="B41" s="170" t="s">
        <v>152</v>
      </c>
      <c r="C41" s="67" t="s">
        <v>152</v>
      </c>
      <c r="D41" s="67" t="s">
        <v>152</v>
      </c>
      <c r="E41" s="67" t="s">
        <v>152</v>
      </c>
      <c r="F41" s="67" t="s">
        <v>152</v>
      </c>
      <c r="G41" s="107" t="s">
        <v>152</v>
      </c>
      <c r="H41" s="107" t="s">
        <v>152</v>
      </c>
      <c r="I41" s="107" t="s">
        <v>152</v>
      </c>
      <c r="J41" s="107" t="s">
        <v>152</v>
      </c>
      <c r="K41" s="107" t="s">
        <v>152</v>
      </c>
      <c r="L41" s="107" t="s">
        <v>152</v>
      </c>
      <c r="M41" s="107" t="s">
        <v>152</v>
      </c>
      <c r="N41" s="107" t="s">
        <v>152</v>
      </c>
      <c r="O41" s="107" t="s">
        <v>152</v>
      </c>
      <c r="P41" s="107" t="s">
        <v>152</v>
      </c>
      <c r="Q41" s="107" t="s">
        <v>152</v>
      </c>
      <c r="R41" s="287">
        <v>0</v>
      </c>
    </row>
    <row r="42" spans="1:18" s="63" customFormat="1" ht="15.6" x14ac:dyDescent="0.3">
      <c r="A42" s="75" t="s">
        <v>29</v>
      </c>
      <c r="B42" s="170" t="s">
        <v>152</v>
      </c>
      <c r="C42" s="67" t="s">
        <v>152</v>
      </c>
      <c r="D42" s="67" t="s">
        <v>152</v>
      </c>
      <c r="E42" s="67" t="s">
        <v>152</v>
      </c>
      <c r="F42" s="67" t="s">
        <v>152</v>
      </c>
      <c r="G42" s="107" t="s">
        <v>152</v>
      </c>
      <c r="H42" s="107" t="s">
        <v>152</v>
      </c>
      <c r="I42" s="107" t="s">
        <v>152</v>
      </c>
      <c r="J42" s="107" t="s">
        <v>152</v>
      </c>
      <c r="K42" s="107" t="s">
        <v>152</v>
      </c>
      <c r="L42" s="107" t="s">
        <v>152</v>
      </c>
      <c r="M42" s="107" t="s">
        <v>152</v>
      </c>
      <c r="N42" s="107" t="s">
        <v>152</v>
      </c>
      <c r="O42" s="107" t="s">
        <v>152</v>
      </c>
      <c r="P42" s="107" t="s">
        <v>152</v>
      </c>
      <c r="Q42" s="107" t="s">
        <v>152</v>
      </c>
      <c r="R42" s="287">
        <v>0</v>
      </c>
    </row>
    <row r="43" spans="1:18" s="63" customFormat="1" ht="15.6" x14ac:dyDescent="0.3">
      <c r="A43" s="75" t="s">
        <v>30</v>
      </c>
      <c r="B43" s="170" t="s">
        <v>152</v>
      </c>
      <c r="C43" s="67" t="s">
        <v>152</v>
      </c>
      <c r="D43" s="67" t="s">
        <v>152</v>
      </c>
      <c r="E43" s="67" t="s">
        <v>152</v>
      </c>
      <c r="F43" s="67" t="s">
        <v>152</v>
      </c>
      <c r="G43" s="107" t="s">
        <v>152</v>
      </c>
      <c r="H43" s="107" t="s">
        <v>152</v>
      </c>
      <c r="I43" s="107" t="s">
        <v>152</v>
      </c>
      <c r="J43" s="107" t="s">
        <v>152</v>
      </c>
      <c r="K43" s="107" t="s">
        <v>152</v>
      </c>
      <c r="L43" s="107" t="s">
        <v>152</v>
      </c>
      <c r="M43" s="107" t="s">
        <v>152</v>
      </c>
      <c r="N43" s="107" t="s">
        <v>152</v>
      </c>
      <c r="O43" s="107" t="s">
        <v>152</v>
      </c>
      <c r="P43" s="107" t="s">
        <v>152</v>
      </c>
      <c r="Q43" s="107" t="s">
        <v>152</v>
      </c>
      <c r="R43" s="291" t="s">
        <v>152</v>
      </c>
    </row>
    <row r="44" spans="1:18" s="63" customFormat="1" ht="15.6" x14ac:dyDescent="0.3">
      <c r="A44" s="75" t="s">
        <v>31</v>
      </c>
      <c r="B44" s="170" t="s">
        <v>152</v>
      </c>
      <c r="C44" s="67" t="s">
        <v>152</v>
      </c>
      <c r="D44" s="67" t="s">
        <v>152</v>
      </c>
      <c r="E44" s="67" t="s">
        <v>152</v>
      </c>
      <c r="F44" s="67" t="s">
        <v>152</v>
      </c>
      <c r="G44" s="107" t="s">
        <v>152</v>
      </c>
      <c r="H44" s="107" t="s">
        <v>152</v>
      </c>
      <c r="I44" s="107" t="s">
        <v>152</v>
      </c>
      <c r="J44" s="107" t="s">
        <v>152</v>
      </c>
      <c r="K44" s="107" t="s">
        <v>152</v>
      </c>
      <c r="L44" s="107" t="s">
        <v>152</v>
      </c>
      <c r="M44" s="107" t="s">
        <v>152</v>
      </c>
      <c r="N44" s="107" t="s">
        <v>152</v>
      </c>
      <c r="O44" s="107" t="s">
        <v>152</v>
      </c>
      <c r="P44" s="107" t="s">
        <v>152</v>
      </c>
      <c r="Q44" s="107" t="s">
        <v>152</v>
      </c>
      <c r="R44" s="295" t="s">
        <v>152</v>
      </c>
    </row>
    <row r="45" spans="1:18" s="63" customFormat="1" ht="15.6" x14ac:dyDescent="0.3">
      <c r="A45" s="75" t="s">
        <v>32</v>
      </c>
      <c r="B45" s="170" t="s">
        <v>152</v>
      </c>
      <c r="C45" s="67" t="s">
        <v>152</v>
      </c>
      <c r="D45" s="67" t="s">
        <v>152</v>
      </c>
      <c r="E45" s="67" t="s">
        <v>152</v>
      </c>
      <c r="F45" s="67" t="s">
        <v>152</v>
      </c>
      <c r="G45" s="107" t="s">
        <v>152</v>
      </c>
      <c r="H45" s="107" t="s">
        <v>152</v>
      </c>
      <c r="I45" s="107" t="s">
        <v>152</v>
      </c>
      <c r="J45" s="107" t="s">
        <v>152</v>
      </c>
      <c r="K45" s="107" t="s">
        <v>152</v>
      </c>
      <c r="L45" s="107" t="s">
        <v>152</v>
      </c>
      <c r="M45" s="107" t="s">
        <v>152</v>
      </c>
      <c r="N45" s="107" t="s">
        <v>152</v>
      </c>
      <c r="O45" s="107" t="s">
        <v>152</v>
      </c>
      <c r="P45" s="107" t="s">
        <v>152</v>
      </c>
      <c r="Q45" s="107" t="s">
        <v>152</v>
      </c>
      <c r="R45" s="295" t="s">
        <v>152</v>
      </c>
    </row>
    <row r="46" spans="1:18" s="63" customFormat="1" ht="15.6" x14ac:dyDescent="0.3">
      <c r="A46" s="75" t="s">
        <v>33</v>
      </c>
      <c r="B46" s="170" t="s">
        <v>152</v>
      </c>
      <c r="C46" s="67" t="s">
        <v>152</v>
      </c>
      <c r="D46" s="67" t="s">
        <v>152</v>
      </c>
      <c r="E46" s="67" t="s">
        <v>152</v>
      </c>
      <c r="F46" s="67" t="s">
        <v>152</v>
      </c>
      <c r="G46" s="107" t="s">
        <v>152</v>
      </c>
      <c r="H46" s="107" t="s">
        <v>152</v>
      </c>
      <c r="I46" s="107" t="s">
        <v>152</v>
      </c>
      <c r="J46" s="107" t="s">
        <v>152</v>
      </c>
      <c r="K46" s="107" t="s">
        <v>152</v>
      </c>
      <c r="L46" s="107" t="s">
        <v>152</v>
      </c>
      <c r="M46" s="107" t="s">
        <v>152</v>
      </c>
      <c r="N46" s="107" t="s">
        <v>152</v>
      </c>
      <c r="O46" s="107" t="s">
        <v>152</v>
      </c>
      <c r="P46" s="107" t="s">
        <v>152</v>
      </c>
      <c r="Q46" s="107" t="s">
        <v>152</v>
      </c>
      <c r="R46" s="295" t="s">
        <v>152</v>
      </c>
    </row>
    <row r="47" spans="1:18" s="63" customFormat="1" ht="15.6" x14ac:dyDescent="0.3">
      <c r="A47" s="75" t="s">
        <v>34</v>
      </c>
      <c r="B47" s="170" t="s">
        <v>152</v>
      </c>
      <c r="C47" s="67" t="s">
        <v>152</v>
      </c>
      <c r="D47" s="67" t="s">
        <v>152</v>
      </c>
      <c r="E47" s="67" t="s">
        <v>152</v>
      </c>
      <c r="F47" s="67" t="s">
        <v>152</v>
      </c>
      <c r="G47" s="107" t="s">
        <v>152</v>
      </c>
      <c r="H47" s="107" t="s">
        <v>152</v>
      </c>
      <c r="I47" s="107" t="s">
        <v>152</v>
      </c>
      <c r="J47" s="107" t="s">
        <v>152</v>
      </c>
      <c r="K47" s="107" t="s">
        <v>152</v>
      </c>
      <c r="L47" s="107" t="s">
        <v>152</v>
      </c>
      <c r="M47" s="107" t="s">
        <v>152</v>
      </c>
      <c r="N47" s="107" t="s">
        <v>152</v>
      </c>
      <c r="O47" s="107" t="s">
        <v>152</v>
      </c>
      <c r="P47" s="107" t="s">
        <v>152</v>
      </c>
      <c r="Q47" s="107" t="s">
        <v>152</v>
      </c>
      <c r="R47" s="295" t="s">
        <v>152</v>
      </c>
    </row>
    <row r="48" spans="1:18" s="63" customFormat="1" ht="16.2" thickBot="1" x14ac:dyDescent="0.35">
      <c r="A48" s="88" t="s">
        <v>36</v>
      </c>
      <c r="B48" s="87" t="s">
        <v>152</v>
      </c>
      <c r="C48" s="72" t="s">
        <v>152</v>
      </c>
      <c r="D48" s="72" t="s">
        <v>152</v>
      </c>
      <c r="E48" s="72" t="s">
        <v>152</v>
      </c>
      <c r="F48" s="72" t="s">
        <v>152</v>
      </c>
      <c r="G48" s="192" t="s">
        <v>152</v>
      </c>
      <c r="H48" s="192" t="s">
        <v>152</v>
      </c>
      <c r="I48" s="192" t="s">
        <v>152</v>
      </c>
      <c r="J48" s="192" t="s">
        <v>152</v>
      </c>
      <c r="K48" s="192" t="s">
        <v>152</v>
      </c>
      <c r="L48" s="192" t="s">
        <v>152</v>
      </c>
      <c r="M48" s="192" t="s">
        <v>152</v>
      </c>
      <c r="N48" s="192" t="s">
        <v>152</v>
      </c>
      <c r="O48" s="192" t="s">
        <v>152</v>
      </c>
      <c r="P48" s="192" t="s">
        <v>152</v>
      </c>
      <c r="Q48" s="192" t="s">
        <v>152</v>
      </c>
      <c r="R48" s="292" t="s">
        <v>152</v>
      </c>
    </row>
    <row r="49" spans="1:21" s="63" customFormat="1" ht="16.2" thickTop="1" x14ac:dyDescent="0.3">
      <c r="A49" s="89" t="s">
        <v>37</v>
      </c>
      <c r="B49" s="90" t="s">
        <v>152</v>
      </c>
      <c r="C49" s="73" t="s">
        <v>152</v>
      </c>
      <c r="D49" s="73" t="s">
        <v>152</v>
      </c>
      <c r="E49" s="73" t="s">
        <v>152</v>
      </c>
      <c r="F49" s="73" t="s">
        <v>152</v>
      </c>
      <c r="G49" s="273">
        <f t="shared" ref="G49:R49" si="2">SUM(G37:G48)</f>
        <v>0</v>
      </c>
      <c r="H49" s="273">
        <f t="shared" si="2"/>
        <v>0</v>
      </c>
      <c r="I49" s="273">
        <f t="shared" si="2"/>
        <v>0</v>
      </c>
      <c r="J49" s="273">
        <f t="shared" si="2"/>
        <v>0</v>
      </c>
      <c r="K49" s="273">
        <f t="shared" si="2"/>
        <v>0</v>
      </c>
      <c r="L49" s="273">
        <f t="shared" si="2"/>
        <v>0</v>
      </c>
      <c r="M49" s="273">
        <f t="shared" si="2"/>
        <v>0</v>
      </c>
      <c r="N49" s="273">
        <f t="shared" si="2"/>
        <v>0</v>
      </c>
      <c r="O49" s="273">
        <f t="shared" si="2"/>
        <v>0</v>
      </c>
      <c r="P49" s="273">
        <f t="shared" si="2"/>
        <v>0</v>
      </c>
      <c r="Q49" s="273">
        <f t="shared" si="2"/>
        <v>0</v>
      </c>
      <c r="R49" s="288">
        <f t="shared" si="2"/>
        <v>0</v>
      </c>
    </row>
    <row r="50" spans="1:21" s="113" customFormat="1" ht="6.6" x14ac:dyDescent="0.3">
      <c r="A50" s="371" t="s">
        <v>174</v>
      </c>
      <c r="B50" s="371"/>
      <c r="C50" s="371"/>
      <c r="D50" s="371"/>
      <c r="E50" s="371"/>
      <c r="F50" s="371"/>
      <c r="G50" s="371"/>
      <c r="H50" s="371"/>
      <c r="I50" s="371"/>
      <c r="J50" s="371"/>
      <c r="K50" s="371"/>
      <c r="L50" s="371"/>
      <c r="M50" s="371"/>
      <c r="N50" s="371"/>
      <c r="O50" s="371"/>
      <c r="P50" s="371"/>
      <c r="Q50" s="371"/>
      <c r="R50" s="371"/>
    </row>
    <row r="51" spans="1:21" s="111" customFormat="1" ht="13.8" x14ac:dyDescent="0.3">
      <c r="A51" s="373" t="s">
        <v>263</v>
      </c>
      <c r="B51" s="373"/>
      <c r="C51" s="373"/>
      <c r="D51" s="373"/>
      <c r="E51" s="373"/>
      <c r="F51" s="373"/>
      <c r="G51" s="373"/>
      <c r="H51" s="373"/>
      <c r="I51" s="373"/>
      <c r="J51" s="373"/>
      <c r="K51" s="373"/>
      <c r="L51" s="373"/>
      <c r="M51" s="373"/>
      <c r="N51" s="373"/>
      <c r="O51" s="373"/>
      <c r="P51" s="373"/>
      <c r="Q51" s="373"/>
      <c r="R51" s="373"/>
      <c r="S51" s="373"/>
      <c r="T51" s="373"/>
    </row>
    <row r="52" spans="1:21" s="111" customFormat="1" ht="13.8" x14ac:dyDescent="0.3">
      <c r="A52" s="384" t="str">
        <f>'Local SUT'!A60</f>
        <v>Source:  Minnesota Department of Revenue, Tax Research Division, February 2021</v>
      </c>
      <c r="B52" s="384"/>
      <c r="C52" s="384"/>
      <c r="D52" s="384"/>
      <c r="E52" s="384"/>
      <c r="F52" s="384"/>
      <c r="G52" s="384"/>
      <c r="H52" s="384"/>
      <c r="I52" s="384"/>
      <c r="J52" s="384"/>
      <c r="K52" s="384"/>
      <c r="L52" s="384"/>
      <c r="M52" s="384"/>
      <c r="N52" s="384"/>
      <c r="O52" s="384"/>
      <c r="P52" s="384"/>
      <c r="Q52" s="384"/>
      <c r="R52" s="384"/>
      <c r="S52" s="384"/>
      <c r="T52" s="384"/>
      <c r="U52" s="384"/>
    </row>
    <row r="53" spans="1:21" s="111" customFormat="1" ht="13.8" x14ac:dyDescent="0.3">
      <c r="A53" s="379" t="s">
        <v>151</v>
      </c>
      <c r="B53" s="379"/>
      <c r="C53" s="379"/>
      <c r="D53" s="379"/>
      <c r="E53" s="379"/>
      <c r="F53" s="379"/>
      <c r="G53" s="379"/>
      <c r="H53" s="379"/>
      <c r="I53" s="379"/>
      <c r="J53" s="379"/>
      <c r="K53" s="379"/>
      <c r="L53" s="379"/>
      <c r="M53" s="379"/>
      <c r="N53" s="379"/>
      <c r="O53" s="379"/>
      <c r="P53" s="379"/>
      <c r="Q53" s="379"/>
      <c r="R53" s="379"/>
    </row>
    <row r="54" spans="1:21" x14ac:dyDescent="0.3">
      <c r="R54" s="117"/>
    </row>
  </sheetData>
  <mergeCells count="11">
    <mergeCell ref="A34:R34"/>
    <mergeCell ref="A3:T3"/>
    <mergeCell ref="A1:V1"/>
    <mergeCell ref="A2:R2"/>
    <mergeCell ref="A18:R18"/>
    <mergeCell ref="A19:S19"/>
    <mergeCell ref="A35:R35"/>
    <mergeCell ref="A50:R50"/>
    <mergeCell ref="A51:T51"/>
    <mergeCell ref="A52:U52"/>
    <mergeCell ref="A53:R53"/>
  </mergeCells>
  <pageMargins left="0.5" right="0" top="0.75" bottom="0.75" header="0.3" footer="0.3"/>
  <pageSetup scale="86"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1D3291-84C1-4716-B709-626CBAA6C974}">
  <sheetPr codeName="Sheet50">
    <pageSetUpPr fitToPage="1"/>
  </sheetPr>
  <dimension ref="A1:V54"/>
  <sheetViews>
    <sheetView showGridLines="0" zoomScaleNormal="100" workbookViewId="0">
      <pane ySplit="1" topLeftCell="A2" activePane="bottomLeft" state="frozen"/>
      <selection pane="bottomLeft" sqref="A1:V1"/>
    </sheetView>
  </sheetViews>
  <sheetFormatPr defaultColWidth="12.5546875" defaultRowHeight="14.4" x14ac:dyDescent="0.3"/>
  <cols>
    <col min="1" max="1" width="12.5546875" style="180" customWidth="1"/>
    <col min="2" max="17" width="13.5546875" style="173" hidden="1" customWidth="1"/>
    <col min="18" max="18" width="13.5546875" style="145" customWidth="1"/>
    <col min="19" max="16384" width="12.5546875" style="173"/>
  </cols>
  <sheetData>
    <row r="1" spans="1:22" s="112" customFormat="1" ht="21" x14ac:dyDescent="0.3">
      <c r="A1" s="380" t="s">
        <v>282</v>
      </c>
      <c r="B1" s="380"/>
      <c r="C1" s="380"/>
      <c r="D1" s="380"/>
      <c r="E1" s="380"/>
      <c r="F1" s="380"/>
      <c r="G1" s="380"/>
      <c r="H1" s="380"/>
      <c r="I1" s="380"/>
      <c r="J1" s="380"/>
      <c r="K1" s="380"/>
      <c r="L1" s="380"/>
      <c r="M1" s="380"/>
      <c r="N1" s="380"/>
      <c r="O1" s="380"/>
      <c r="P1" s="380"/>
      <c r="Q1" s="380"/>
      <c r="R1" s="380"/>
      <c r="S1" s="380"/>
      <c r="T1" s="380"/>
      <c r="U1" s="380"/>
      <c r="V1" s="380"/>
    </row>
    <row r="2" spans="1:22" s="106" customFormat="1" ht="18" x14ac:dyDescent="0.3">
      <c r="A2" s="381" t="str">
        <f>'Local SUT'!A2</f>
        <v>CY 2004-2020</v>
      </c>
      <c r="B2" s="381"/>
      <c r="C2" s="381"/>
      <c r="D2" s="381"/>
      <c r="E2" s="381"/>
      <c r="F2" s="381"/>
      <c r="G2" s="381"/>
      <c r="H2" s="381"/>
      <c r="I2" s="381"/>
      <c r="J2" s="381"/>
      <c r="K2" s="381"/>
      <c r="L2" s="381"/>
      <c r="M2" s="381"/>
      <c r="N2" s="381"/>
      <c r="O2" s="381"/>
      <c r="P2" s="381"/>
      <c r="Q2" s="381"/>
      <c r="R2" s="381"/>
    </row>
    <row r="3" spans="1:22" s="106" customFormat="1" ht="18" x14ac:dyDescent="0.3">
      <c r="A3" s="385" t="s">
        <v>283</v>
      </c>
      <c r="B3" s="385"/>
      <c r="C3" s="385"/>
      <c r="D3" s="385"/>
      <c r="E3" s="385"/>
      <c r="F3" s="385"/>
      <c r="G3" s="385"/>
      <c r="H3" s="385"/>
      <c r="I3" s="385"/>
      <c r="J3" s="385"/>
      <c r="K3" s="385"/>
      <c r="L3" s="385"/>
      <c r="M3" s="385"/>
      <c r="N3" s="385"/>
      <c r="O3" s="385"/>
      <c r="P3" s="385"/>
      <c r="Q3" s="385"/>
      <c r="R3" s="385"/>
      <c r="S3" s="385"/>
    </row>
    <row r="4" spans="1:22" s="63" customFormat="1" ht="15.6" x14ac:dyDescent="0.3">
      <c r="A4" s="77" t="s">
        <v>23</v>
      </c>
      <c r="B4" s="91">
        <v>2004</v>
      </c>
      <c r="C4" s="64">
        <v>2005</v>
      </c>
      <c r="D4" s="64">
        <v>2006</v>
      </c>
      <c r="E4" s="64">
        <v>2007</v>
      </c>
      <c r="F4" s="64">
        <v>2008</v>
      </c>
      <c r="G4" s="64">
        <v>2009</v>
      </c>
      <c r="H4" s="64">
        <v>2010</v>
      </c>
      <c r="I4" s="64">
        <v>2011</v>
      </c>
      <c r="J4" s="65">
        <v>2012</v>
      </c>
      <c r="K4" s="65">
        <v>2013</v>
      </c>
      <c r="L4" s="65">
        <v>2014</v>
      </c>
      <c r="M4" s="65">
        <v>2015</v>
      </c>
      <c r="N4" s="65">
        <v>2016</v>
      </c>
      <c r="O4" s="65">
        <v>2017</v>
      </c>
      <c r="P4" s="65">
        <v>2018</v>
      </c>
      <c r="Q4" s="336">
        <v>2019</v>
      </c>
      <c r="R4" s="337">
        <v>2020</v>
      </c>
    </row>
    <row r="5" spans="1:22" s="63" customFormat="1" ht="15.6" x14ac:dyDescent="0.3">
      <c r="A5" s="76" t="s">
        <v>24</v>
      </c>
      <c r="B5" s="108" t="s">
        <v>152</v>
      </c>
      <c r="C5" s="107" t="s">
        <v>152</v>
      </c>
      <c r="D5" s="107" t="s">
        <v>152</v>
      </c>
      <c r="E5" s="107" t="s">
        <v>152</v>
      </c>
      <c r="F5" s="107" t="s">
        <v>152</v>
      </c>
      <c r="G5" s="107" t="s">
        <v>152</v>
      </c>
      <c r="H5" s="107" t="s">
        <v>152</v>
      </c>
      <c r="I5" s="107" t="s">
        <v>152</v>
      </c>
      <c r="J5" s="107" t="s">
        <v>152</v>
      </c>
      <c r="K5" s="107" t="s">
        <v>152</v>
      </c>
      <c r="L5" s="107" t="s">
        <v>152</v>
      </c>
      <c r="M5" s="107" t="s">
        <v>152</v>
      </c>
      <c r="N5" s="107" t="s">
        <v>152</v>
      </c>
      <c r="O5" s="107" t="s">
        <v>152</v>
      </c>
      <c r="P5" s="107" t="s">
        <v>152</v>
      </c>
      <c r="Q5" s="107" t="s">
        <v>152</v>
      </c>
      <c r="R5" s="286">
        <v>2</v>
      </c>
    </row>
    <row r="6" spans="1:22" s="63" customFormat="1" ht="15.6" x14ac:dyDescent="0.3">
      <c r="A6" s="75" t="s">
        <v>25</v>
      </c>
      <c r="B6" s="170" t="s">
        <v>152</v>
      </c>
      <c r="C6" s="67" t="s">
        <v>152</v>
      </c>
      <c r="D6" s="67" t="s">
        <v>152</v>
      </c>
      <c r="E6" s="67" t="s">
        <v>152</v>
      </c>
      <c r="F6" s="67" t="s">
        <v>152</v>
      </c>
      <c r="G6" s="107" t="s">
        <v>152</v>
      </c>
      <c r="H6" s="107" t="s">
        <v>152</v>
      </c>
      <c r="I6" s="107" t="s">
        <v>152</v>
      </c>
      <c r="J6" s="107" t="s">
        <v>152</v>
      </c>
      <c r="K6" s="107" t="s">
        <v>152</v>
      </c>
      <c r="L6" s="107" t="s">
        <v>152</v>
      </c>
      <c r="M6" s="107" t="s">
        <v>152</v>
      </c>
      <c r="N6" s="107" t="s">
        <v>152</v>
      </c>
      <c r="O6" s="107" t="s">
        <v>152</v>
      </c>
      <c r="P6" s="107" t="s">
        <v>152</v>
      </c>
      <c r="Q6" s="107" t="s">
        <v>152</v>
      </c>
      <c r="R6" s="287">
        <v>31493</v>
      </c>
    </row>
    <row r="7" spans="1:22" s="63" customFormat="1" ht="15.6" x14ac:dyDescent="0.3">
      <c r="A7" s="75" t="s">
        <v>26</v>
      </c>
      <c r="B7" s="170" t="s">
        <v>152</v>
      </c>
      <c r="C7" s="67" t="s">
        <v>152</v>
      </c>
      <c r="D7" s="67" t="s">
        <v>152</v>
      </c>
      <c r="E7" s="67" t="s">
        <v>152</v>
      </c>
      <c r="F7" s="67" t="s">
        <v>152</v>
      </c>
      <c r="G7" s="107" t="s">
        <v>152</v>
      </c>
      <c r="H7" s="107" t="s">
        <v>152</v>
      </c>
      <c r="I7" s="107" t="s">
        <v>152</v>
      </c>
      <c r="J7" s="107" t="s">
        <v>152</v>
      </c>
      <c r="K7" s="107" t="s">
        <v>152</v>
      </c>
      <c r="L7" s="107" t="s">
        <v>152</v>
      </c>
      <c r="M7" s="107" t="s">
        <v>152</v>
      </c>
      <c r="N7" s="107" t="s">
        <v>152</v>
      </c>
      <c r="O7" s="107" t="s">
        <v>152</v>
      </c>
      <c r="P7" s="107" t="s">
        <v>152</v>
      </c>
      <c r="Q7" s="107" t="s">
        <v>152</v>
      </c>
      <c r="R7" s="287">
        <v>32859</v>
      </c>
    </row>
    <row r="8" spans="1:22" s="63" customFormat="1" ht="15.6" x14ac:dyDescent="0.3">
      <c r="A8" s="75" t="s">
        <v>27</v>
      </c>
      <c r="B8" s="170" t="s">
        <v>152</v>
      </c>
      <c r="C8" s="67" t="s">
        <v>152</v>
      </c>
      <c r="D8" s="67" t="s">
        <v>152</v>
      </c>
      <c r="E8" s="67" t="s">
        <v>152</v>
      </c>
      <c r="F8" s="67" t="s">
        <v>152</v>
      </c>
      <c r="G8" s="107" t="s">
        <v>152</v>
      </c>
      <c r="H8" s="107" t="s">
        <v>152</v>
      </c>
      <c r="I8" s="107" t="s">
        <v>152</v>
      </c>
      <c r="J8" s="107" t="s">
        <v>152</v>
      </c>
      <c r="K8" s="107" t="s">
        <v>152</v>
      </c>
      <c r="L8" s="107" t="s">
        <v>152</v>
      </c>
      <c r="M8" s="107" t="s">
        <v>152</v>
      </c>
      <c r="N8" s="107" t="s">
        <v>152</v>
      </c>
      <c r="O8" s="107" t="s">
        <v>152</v>
      </c>
      <c r="P8" s="107" t="s">
        <v>152</v>
      </c>
      <c r="Q8" s="107" t="s">
        <v>152</v>
      </c>
      <c r="R8" s="287">
        <v>37318</v>
      </c>
    </row>
    <row r="9" spans="1:22" s="63" customFormat="1" ht="15.6" x14ac:dyDescent="0.3">
      <c r="A9" s="75" t="s">
        <v>28</v>
      </c>
      <c r="B9" s="170" t="s">
        <v>152</v>
      </c>
      <c r="C9" s="67" t="s">
        <v>152</v>
      </c>
      <c r="D9" s="67" t="s">
        <v>152</v>
      </c>
      <c r="E9" s="67" t="s">
        <v>152</v>
      </c>
      <c r="F9" s="67" t="s">
        <v>152</v>
      </c>
      <c r="G9" s="107" t="s">
        <v>152</v>
      </c>
      <c r="H9" s="107" t="s">
        <v>152</v>
      </c>
      <c r="I9" s="107" t="s">
        <v>152</v>
      </c>
      <c r="J9" s="107" t="s">
        <v>152</v>
      </c>
      <c r="K9" s="107" t="s">
        <v>152</v>
      </c>
      <c r="L9" s="107" t="s">
        <v>152</v>
      </c>
      <c r="M9" s="107" t="s">
        <v>152</v>
      </c>
      <c r="N9" s="107" t="s">
        <v>152</v>
      </c>
      <c r="O9" s="107" t="s">
        <v>152</v>
      </c>
      <c r="P9" s="107" t="s">
        <v>152</v>
      </c>
      <c r="Q9" s="107" t="s">
        <v>152</v>
      </c>
      <c r="R9" s="287">
        <v>37740</v>
      </c>
    </row>
    <row r="10" spans="1:22" s="63" customFormat="1" ht="15.6" x14ac:dyDescent="0.3">
      <c r="A10" s="75" t="s">
        <v>29</v>
      </c>
      <c r="B10" s="170" t="s">
        <v>152</v>
      </c>
      <c r="C10" s="67" t="s">
        <v>152</v>
      </c>
      <c r="D10" s="67" t="s">
        <v>152</v>
      </c>
      <c r="E10" s="67" t="s">
        <v>152</v>
      </c>
      <c r="F10" s="67" t="s">
        <v>152</v>
      </c>
      <c r="G10" s="107" t="s">
        <v>152</v>
      </c>
      <c r="H10" s="107" t="s">
        <v>152</v>
      </c>
      <c r="I10" s="107" t="s">
        <v>152</v>
      </c>
      <c r="J10" s="107" t="s">
        <v>152</v>
      </c>
      <c r="K10" s="107" t="s">
        <v>152</v>
      </c>
      <c r="L10" s="107" t="s">
        <v>152</v>
      </c>
      <c r="M10" s="107" t="s">
        <v>152</v>
      </c>
      <c r="N10" s="107" t="s">
        <v>152</v>
      </c>
      <c r="O10" s="107" t="s">
        <v>152</v>
      </c>
      <c r="P10" s="107" t="s">
        <v>152</v>
      </c>
      <c r="Q10" s="107" t="s">
        <v>152</v>
      </c>
      <c r="R10" s="287">
        <v>47567</v>
      </c>
    </row>
    <row r="11" spans="1:22" s="63" customFormat="1" ht="15.6" x14ac:dyDescent="0.3">
      <c r="A11" s="75" t="s">
        <v>30</v>
      </c>
      <c r="B11" s="170" t="s">
        <v>152</v>
      </c>
      <c r="C11" s="67" t="s">
        <v>152</v>
      </c>
      <c r="D11" s="67" t="s">
        <v>152</v>
      </c>
      <c r="E11" s="67" t="s">
        <v>152</v>
      </c>
      <c r="F11" s="67" t="s">
        <v>152</v>
      </c>
      <c r="G11" s="107" t="s">
        <v>152</v>
      </c>
      <c r="H11" s="107" t="s">
        <v>152</v>
      </c>
      <c r="I11" s="107" t="s">
        <v>152</v>
      </c>
      <c r="J11" s="107" t="s">
        <v>152</v>
      </c>
      <c r="K11" s="107" t="s">
        <v>152</v>
      </c>
      <c r="L11" s="107" t="s">
        <v>152</v>
      </c>
      <c r="M11" s="107" t="s">
        <v>152</v>
      </c>
      <c r="N11" s="107" t="s">
        <v>152</v>
      </c>
      <c r="O11" s="107" t="s">
        <v>152</v>
      </c>
      <c r="P11" s="107" t="s">
        <v>152</v>
      </c>
      <c r="Q11" s="107" t="s">
        <v>152</v>
      </c>
      <c r="R11" s="291" t="s">
        <v>152</v>
      </c>
    </row>
    <row r="12" spans="1:22" s="63" customFormat="1" ht="15.6" x14ac:dyDescent="0.3">
      <c r="A12" s="75" t="s">
        <v>31</v>
      </c>
      <c r="B12" s="170" t="s">
        <v>152</v>
      </c>
      <c r="C12" s="67" t="s">
        <v>152</v>
      </c>
      <c r="D12" s="67" t="s">
        <v>152</v>
      </c>
      <c r="E12" s="67" t="s">
        <v>152</v>
      </c>
      <c r="F12" s="67" t="s">
        <v>152</v>
      </c>
      <c r="G12" s="107" t="s">
        <v>152</v>
      </c>
      <c r="H12" s="107" t="s">
        <v>152</v>
      </c>
      <c r="I12" s="107" t="s">
        <v>152</v>
      </c>
      <c r="J12" s="107" t="s">
        <v>152</v>
      </c>
      <c r="K12" s="107" t="s">
        <v>152</v>
      </c>
      <c r="L12" s="107" t="s">
        <v>152</v>
      </c>
      <c r="M12" s="107" t="s">
        <v>152</v>
      </c>
      <c r="N12" s="107" t="s">
        <v>152</v>
      </c>
      <c r="O12" s="107" t="s">
        <v>152</v>
      </c>
      <c r="P12" s="107" t="s">
        <v>152</v>
      </c>
      <c r="Q12" s="174" t="s">
        <v>152</v>
      </c>
      <c r="R12" s="295" t="s">
        <v>152</v>
      </c>
    </row>
    <row r="13" spans="1:22" s="63" customFormat="1" ht="15.6" x14ac:dyDescent="0.3">
      <c r="A13" s="75" t="s">
        <v>32</v>
      </c>
      <c r="B13" s="170" t="s">
        <v>152</v>
      </c>
      <c r="C13" s="67" t="s">
        <v>152</v>
      </c>
      <c r="D13" s="67" t="s">
        <v>152</v>
      </c>
      <c r="E13" s="67" t="s">
        <v>152</v>
      </c>
      <c r="F13" s="67" t="s">
        <v>152</v>
      </c>
      <c r="G13" s="107" t="s">
        <v>152</v>
      </c>
      <c r="H13" s="107" t="s">
        <v>152</v>
      </c>
      <c r="I13" s="107" t="s">
        <v>152</v>
      </c>
      <c r="J13" s="107" t="s">
        <v>152</v>
      </c>
      <c r="K13" s="107" t="s">
        <v>152</v>
      </c>
      <c r="L13" s="107" t="s">
        <v>152</v>
      </c>
      <c r="M13" s="107" t="s">
        <v>152</v>
      </c>
      <c r="N13" s="107" t="s">
        <v>152</v>
      </c>
      <c r="O13" s="107" t="s">
        <v>152</v>
      </c>
      <c r="P13" s="107" t="s">
        <v>152</v>
      </c>
      <c r="Q13" s="107" t="s">
        <v>152</v>
      </c>
      <c r="R13" s="295" t="s">
        <v>152</v>
      </c>
    </row>
    <row r="14" spans="1:22" s="63" customFormat="1" ht="15.6" x14ac:dyDescent="0.3">
      <c r="A14" s="75" t="s">
        <v>33</v>
      </c>
      <c r="B14" s="170" t="s">
        <v>152</v>
      </c>
      <c r="C14" s="67" t="s">
        <v>152</v>
      </c>
      <c r="D14" s="67" t="s">
        <v>152</v>
      </c>
      <c r="E14" s="67" t="s">
        <v>152</v>
      </c>
      <c r="F14" s="67" t="s">
        <v>152</v>
      </c>
      <c r="G14" s="107" t="s">
        <v>152</v>
      </c>
      <c r="H14" s="107" t="s">
        <v>152</v>
      </c>
      <c r="I14" s="107" t="s">
        <v>152</v>
      </c>
      <c r="J14" s="107" t="s">
        <v>152</v>
      </c>
      <c r="K14" s="107" t="s">
        <v>152</v>
      </c>
      <c r="L14" s="107" t="s">
        <v>152</v>
      </c>
      <c r="M14" s="107" t="s">
        <v>152</v>
      </c>
      <c r="N14" s="107" t="s">
        <v>152</v>
      </c>
      <c r="O14" s="107" t="s">
        <v>152</v>
      </c>
      <c r="P14" s="107" t="s">
        <v>152</v>
      </c>
      <c r="Q14" s="107" t="s">
        <v>152</v>
      </c>
      <c r="R14" s="295" t="s">
        <v>152</v>
      </c>
    </row>
    <row r="15" spans="1:22" s="63" customFormat="1" ht="15.6" x14ac:dyDescent="0.3">
      <c r="A15" s="75" t="s">
        <v>34</v>
      </c>
      <c r="B15" s="170" t="s">
        <v>152</v>
      </c>
      <c r="C15" s="67" t="s">
        <v>152</v>
      </c>
      <c r="D15" s="67" t="s">
        <v>152</v>
      </c>
      <c r="E15" s="67" t="s">
        <v>152</v>
      </c>
      <c r="F15" s="67" t="s">
        <v>152</v>
      </c>
      <c r="G15" s="107" t="s">
        <v>152</v>
      </c>
      <c r="H15" s="107" t="s">
        <v>152</v>
      </c>
      <c r="I15" s="107" t="s">
        <v>152</v>
      </c>
      <c r="J15" s="107" t="s">
        <v>152</v>
      </c>
      <c r="K15" s="107" t="s">
        <v>152</v>
      </c>
      <c r="L15" s="107" t="s">
        <v>152</v>
      </c>
      <c r="M15" s="107" t="s">
        <v>152</v>
      </c>
      <c r="N15" s="107" t="s">
        <v>152</v>
      </c>
      <c r="O15" s="107" t="s">
        <v>152</v>
      </c>
      <c r="P15" s="107" t="s">
        <v>152</v>
      </c>
      <c r="Q15" s="107" t="s">
        <v>152</v>
      </c>
      <c r="R15" s="295" t="s">
        <v>152</v>
      </c>
    </row>
    <row r="16" spans="1:22" s="63" customFormat="1" ht="16.2" thickBot="1" x14ac:dyDescent="0.35">
      <c r="A16" s="88" t="s">
        <v>36</v>
      </c>
      <c r="B16" s="87" t="s">
        <v>152</v>
      </c>
      <c r="C16" s="72" t="s">
        <v>152</v>
      </c>
      <c r="D16" s="72" t="s">
        <v>152</v>
      </c>
      <c r="E16" s="72" t="s">
        <v>152</v>
      </c>
      <c r="F16" s="72" t="s">
        <v>152</v>
      </c>
      <c r="G16" s="192" t="s">
        <v>152</v>
      </c>
      <c r="H16" s="192" t="s">
        <v>152</v>
      </c>
      <c r="I16" s="192" t="s">
        <v>152</v>
      </c>
      <c r="J16" s="192" t="s">
        <v>152</v>
      </c>
      <c r="K16" s="192" t="s">
        <v>152</v>
      </c>
      <c r="L16" s="192" t="s">
        <v>152</v>
      </c>
      <c r="M16" s="192" t="s">
        <v>152</v>
      </c>
      <c r="N16" s="192" t="s">
        <v>152</v>
      </c>
      <c r="O16" s="192" t="s">
        <v>152</v>
      </c>
      <c r="P16" s="192" t="s">
        <v>152</v>
      </c>
      <c r="Q16" s="192" t="s">
        <v>152</v>
      </c>
      <c r="R16" s="292" t="s">
        <v>152</v>
      </c>
    </row>
    <row r="17" spans="1:19" s="63" customFormat="1" ht="16.2" thickTop="1" x14ac:dyDescent="0.3">
      <c r="A17" s="89" t="s">
        <v>37</v>
      </c>
      <c r="B17" s="90" t="s">
        <v>152</v>
      </c>
      <c r="C17" s="73" t="s">
        <v>152</v>
      </c>
      <c r="D17" s="73" t="s">
        <v>152</v>
      </c>
      <c r="E17" s="73" t="s">
        <v>152</v>
      </c>
      <c r="F17" s="73" t="s">
        <v>152</v>
      </c>
      <c r="G17" s="273">
        <f t="shared" ref="G17:R17" si="0">SUM(G5:G16)</f>
        <v>0</v>
      </c>
      <c r="H17" s="273">
        <f t="shared" si="0"/>
        <v>0</v>
      </c>
      <c r="I17" s="273">
        <f t="shared" si="0"/>
        <v>0</v>
      </c>
      <c r="J17" s="273">
        <f t="shared" si="0"/>
        <v>0</v>
      </c>
      <c r="K17" s="273">
        <f t="shared" si="0"/>
        <v>0</v>
      </c>
      <c r="L17" s="273">
        <f t="shared" si="0"/>
        <v>0</v>
      </c>
      <c r="M17" s="273">
        <f t="shared" si="0"/>
        <v>0</v>
      </c>
      <c r="N17" s="273">
        <f t="shared" si="0"/>
        <v>0</v>
      </c>
      <c r="O17" s="273">
        <f t="shared" si="0"/>
        <v>0</v>
      </c>
      <c r="P17" s="273">
        <f t="shared" si="0"/>
        <v>0</v>
      </c>
      <c r="Q17" s="273">
        <f t="shared" si="0"/>
        <v>0</v>
      </c>
      <c r="R17" s="288">
        <f t="shared" si="0"/>
        <v>186979</v>
      </c>
    </row>
    <row r="18" spans="1:19" s="113" customFormat="1" ht="6.6" x14ac:dyDescent="0.3">
      <c r="A18" s="371" t="s">
        <v>174</v>
      </c>
      <c r="B18" s="371"/>
      <c r="C18" s="371"/>
      <c r="D18" s="371"/>
      <c r="E18" s="371"/>
      <c r="F18" s="371"/>
      <c r="G18" s="371"/>
      <c r="H18" s="371"/>
      <c r="I18" s="371"/>
      <c r="J18" s="371"/>
      <c r="K18" s="371"/>
      <c r="L18" s="371"/>
      <c r="M18" s="371"/>
      <c r="N18" s="371"/>
      <c r="O18" s="371"/>
      <c r="P18" s="371"/>
      <c r="Q18" s="371"/>
      <c r="R18" s="371"/>
    </row>
    <row r="19" spans="1:19" s="106" customFormat="1" ht="18" x14ac:dyDescent="0.3">
      <c r="A19" s="396" t="s">
        <v>284</v>
      </c>
      <c r="B19" s="396"/>
      <c r="C19" s="396"/>
      <c r="D19" s="396"/>
      <c r="E19" s="396"/>
      <c r="F19" s="396"/>
      <c r="G19" s="396"/>
      <c r="H19" s="396"/>
      <c r="I19" s="396"/>
      <c r="J19" s="396"/>
      <c r="K19" s="396"/>
      <c r="L19" s="396"/>
      <c r="M19" s="396"/>
      <c r="N19" s="396"/>
      <c r="O19" s="396"/>
      <c r="P19" s="396"/>
      <c r="Q19" s="396"/>
      <c r="R19" s="396"/>
      <c r="S19" s="396"/>
    </row>
    <row r="20" spans="1:19" s="63" customFormat="1" ht="15.6" x14ac:dyDescent="0.3">
      <c r="A20" s="77" t="s">
        <v>23</v>
      </c>
      <c r="B20" s="91">
        <v>2005</v>
      </c>
      <c r="C20" s="64">
        <v>2005</v>
      </c>
      <c r="D20" s="64">
        <v>2006</v>
      </c>
      <c r="E20" s="64">
        <v>2007</v>
      </c>
      <c r="F20" s="64">
        <v>2008</v>
      </c>
      <c r="G20" s="64">
        <v>2009</v>
      </c>
      <c r="H20" s="64">
        <v>2010</v>
      </c>
      <c r="I20" s="64">
        <v>2011</v>
      </c>
      <c r="J20" s="65">
        <v>2012</v>
      </c>
      <c r="K20" s="65">
        <v>2013</v>
      </c>
      <c r="L20" s="65">
        <v>2014</v>
      </c>
      <c r="M20" s="65">
        <v>2015</v>
      </c>
      <c r="N20" s="65">
        <v>2016</v>
      </c>
      <c r="O20" s="65">
        <v>2017</v>
      </c>
      <c r="P20" s="65">
        <v>2018</v>
      </c>
      <c r="Q20" s="336">
        <v>2019</v>
      </c>
      <c r="R20" s="337">
        <v>2020</v>
      </c>
    </row>
    <row r="21" spans="1:19" s="63" customFormat="1" ht="15.6" x14ac:dyDescent="0.3">
      <c r="A21" s="76" t="s">
        <v>24</v>
      </c>
      <c r="B21" s="108" t="s">
        <v>152</v>
      </c>
      <c r="C21" s="107" t="s">
        <v>152</v>
      </c>
      <c r="D21" s="107" t="s">
        <v>152</v>
      </c>
      <c r="E21" s="107" t="s">
        <v>152</v>
      </c>
      <c r="F21" s="107" t="s">
        <v>152</v>
      </c>
      <c r="G21" s="107" t="s">
        <v>152</v>
      </c>
      <c r="H21" s="107" t="s">
        <v>152</v>
      </c>
      <c r="I21" s="107" t="s">
        <v>152</v>
      </c>
      <c r="J21" s="107" t="s">
        <v>152</v>
      </c>
      <c r="K21" s="107" t="s">
        <v>152</v>
      </c>
      <c r="L21" s="107" t="s">
        <v>152</v>
      </c>
      <c r="M21" s="107" t="s">
        <v>152</v>
      </c>
      <c r="N21" s="107" t="s">
        <v>152</v>
      </c>
      <c r="O21" s="107" t="s">
        <v>152</v>
      </c>
      <c r="P21" s="107" t="s">
        <v>152</v>
      </c>
      <c r="Q21" s="107" t="s">
        <v>152</v>
      </c>
      <c r="R21" s="286">
        <v>0</v>
      </c>
    </row>
    <row r="22" spans="1:19" s="63" customFormat="1" ht="15.6" x14ac:dyDescent="0.3">
      <c r="A22" s="75" t="s">
        <v>25</v>
      </c>
      <c r="B22" s="170" t="s">
        <v>152</v>
      </c>
      <c r="C22" s="67" t="s">
        <v>152</v>
      </c>
      <c r="D22" s="67" t="s">
        <v>152</v>
      </c>
      <c r="E22" s="67" t="s">
        <v>152</v>
      </c>
      <c r="F22" s="67" t="s">
        <v>152</v>
      </c>
      <c r="G22" s="107" t="s">
        <v>152</v>
      </c>
      <c r="H22" s="107" t="s">
        <v>152</v>
      </c>
      <c r="I22" s="107" t="s">
        <v>152</v>
      </c>
      <c r="J22" s="107" t="s">
        <v>152</v>
      </c>
      <c r="K22" s="107" t="s">
        <v>152</v>
      </c>
      <c r="L22" s="107" t="s">
        <v>152</v>
      </c>
      <c r="M22" s="107" t="s">
        <v>152</v>
      </c>
      <c r="N22" s="107" t="s">
        <v>152</v>
      </c>
      <c r="O22" s="107" t="s">
        <v>152</v>
      </c>
      <c r="P22" s="107" t="s">
        <v>152</v>
      </c>
      <c r="Q22" s="107" t="s">
        <v>152</v>
      </c>
      <c r="R22" s="287">
        <v>1131</v>
      </c>
    </row>
    <row r="23" spans="1:19" s="63" customFormat="1" ht="15.6" x14ac:dyDescent="0.3">
      <c r="A23" s="75" t="s">
        <v>26</v>
      </c>
      <c r="B23" s="170" t="s">
        <v>152</v>
      </c>
      <c r="C23" s="67" t="s">
        <v>152</v>
      </c>
      <c r="D23" s="67" t="s">
        <v>152</v>
      </c>
      <c r="E23" s="67" t="s">
        <v>152</v>
      </c>
      <c r="F23" s="67" t="s">
        <v>152</v>
      </c>
      <c r="G23" s="107" t="s">
        <v>152</v>
      </c>
      <c r="H23" s="107" t="s">
        <v>152</v>
      </c>
      <c r="I23" s="107" t="s">
        <v>152</v>
      </c>
      <c r="J23" s="107" t="s">
        <v>152</v>
      </c>
      <c r="K23" s="107" t="s">
        <v>152</v>
      </c>
      <c r="L23" s="107" t="s">
        <v>152</v>
      </c>
      <c r="M23" s="107" t="s">
        <v>152</v>
      </c>
      <c r="N23" s="107" t="s">
        <v>152</v>
      </c>
      <c r="O23" s="107" t="s">
        <v>152</v>
      </c>
      <c r="P23" s="107" t="s">
        <v>152</v>
      </c>
      <c r="Q23" s="107" t="s">
        <v>152</v>
      </c>
      <c r="R23" s="287">
        <v>1253</v>
      </c>
    </row>
    <row r="24" spans="1:19" s="63" customFormat="1" ht="15.6" x14ac:dyDescent="0.3">
      <c r="A24" s="75" t="s">
        <v>27</v>
      </c>
      <c r="B24" s="170" t="s">
        <v>152</v>
      </c>
      <c r="C24" s="67" t="s">
        <v>152</v>
      </c>
      <c r="D24" s="67" t="s">
        <v>152</v>
      </c>
      <c r="E24" s="67" t="s">
        <v>152</v>
      </c>
      <c r="F24" s="67" t="s">
        <v>152</v>
      </c>
      <c r="G24" s="107" t="s">
        <v>152</v>
      </c>
      <c r="H24" s="107" t="s">
        <v>152</v>
      </c>
      <c r="I24" s="107" t="s">
        <v>152</v>
      </c>
      <c r="J24" s="107" t="s">
        <v>152</v>
      </c>
      <c r="K24" s="107" t="s">
        <v>152</v>
      </c>
      <c r="L24" s="107" t="s">
        <v>152</v>
      </c>
      <c r="M24" s="107" t="s">
        <v>152</v>
      </c>
      <c r="N24" s="107" t="s">
        <v>152</v>
      </c>
      <c r="O24" s="107" t="s">
        <v>152</v>
      </c>
      <c r="P24" s="107" t="s">
        <v>152</v>
      </c>
      <c r="Q24" s="107" t="s">
        <v>152</v>
      </c>
      <c r="R24" s="287">
        <v>1964</v>
      </c>
    </row>
    <row r="25" spans="1:19" s="63" customFormat="1" ht="15.6" x14ac:dyDescent="0.3">
      <c r="A25" s="75" t="s">
        <v>28</v>
      </c>
      <c r="B25" s="170" t="s">
        <v>152</v>
      </c>
      <c r="C25" s="67" t="s">
        <v>152</v>
      </c>
      <c r="D25" s="67" t="s">
        <v>152</v>
      </c>
      <c r="E25" s="67" t="s">
        <v>152</v>
      </c>
      <c r="F25" s="67" t="s">
        <v>152</v>
      </c>
      <c r="G25" s="107" t="s">
        <v>152</v>
      </c>
      <c r="H25" s="107" t="s">
        <v>152</v>
      </c>
      <c r="I25" s="107" t="s">
        <v>152</v>
      </c>
      <c r="J25" s="107" t="s">
        <v>152</v>
      </c>
      <c r="K25" s="107" t="s">
        <v>152</v>
      </c>
      <c r="L25" s="107" t="s">
        <v>152</v>
      </c>
      <c r="M25" s="107" t="s">
        <v>152</v>
      </c>
      <c r="N25" s="107" t="s">
        <v>152</v>
      </c>
      <c r="O25" s="107" t="s">
        <v>152</v>
      </c>
      <c r="P25" s="107" t="s">
        <v>152</v>
      </c>
      <c r="Q25" s="107" t="s">
        <v>152</v>
      </c>
      <c r="R25" s="287">
        <v>1912</v>
      </c>
    </row>
    <row r="26" spans="1:19" s="63" customFormat="1" ht="15.6" x14ac:dyDescent="0.3">
      <c r="A26" s="75" t="s">
        <v>29</v>
      </c>
      <c r="B26" s="170" t="s">
        <v>152</v>
      </c>
      <c r="C26" s="67" t="s">
        <v>152</v>
      </c>
      <c r="D26" s="67" t="s">
        <v>152</v>
      </c>
      <c r="E26" s="67" t="s">
        <v>152</v>
      </c>
      <c r="F26" s="67" t="s">
        <v>152</v>
      </c>
      <c r="G26" s="107" t="s">
        <v>152</v>
      </c>
      <c r="H26" s="107" t="s">
        <v>152</v>
      </c>
      <c r="I26" s="107" t="s">
        <v>152</v>
      </c>
      <c r="J26" s="107" t="s">
        <v>152</v>
      </c>
      <c r="K26" s="107" t="s">
        <v>152</v>
      </c>
      <c r="L26" s="107" t="s">
        <v>152</v>
      </c>
      <c r="M26" s="107" t="s">
        <v>152</v>
      </c>
      <c r="N26" s="107" t="s">
        <v>152</v>
      </c>
      <c r="O26" s="107" t="s">
        <v>152</v>
      </c>
      <c r="P26" s="107" t="s">
        <v>152</v>
      </c>
      <c r="Q26" s="107" t="s">
        <v>152</v>
      </c>
      <c r="R26" s="287">
        <v>2276</v>
      </c>
    </row>
    <row r="27" spans="1:19" s="63" customFormat="1" ht="15.6" x14ac:dyDescent="0.3">
      <c r="A27" s="75" t="s">
        <v>30</v>
      </c>
      <c r="B27" s="170" t="s">
        <v>152</v>
      </c>
      <c r="C27" s="67" t="s">
        <v>152</v>
      </c>
      <c r="D27" s="67" t="s">
        <v>152</v>
      </c>
      <c r="E27" s="67" t="s">
        <v>152</v>
      </c>
      <c r="F27" s="67" t="s">
        <v>152</v>
      </c>
      <c r="G27" s="107" t="s">
        <v>152</v>
      </c>
      <c r="H27" s="107" t="s">
        <v>152</v>
      </c>
      <c r="I27" s="107" t="s">
        <v>152</v>
      </c>
      <c r="J27" s="107" t="s">
        <v>152</v>
      </c>
      <c r="K27" s="107" t="s">
        <v>152</v>
      </c>
      <c r="L27" s="107" t="s">
        <v>152</v>
      </c>
      <c r="M27" s="107" t="s">
        <v>152</v>
      </c>
      <c r="N27" s="107" t="s">
        <v>152</v>
      </c>
      <c r="O27" s="107" t="s">
        <v>152</v>
      </c>
      <c r="P27" s="107" t="s">
        <v>152</v>
      </c>
      <c r="Q27" s="174" t="s">
        <v>152</v>
      </c>
      <c r="R27" s="291" t="s">
        <v>152</v>
      </c>
    </row>
    <row r="28" spans="1:19" s="63" customFormat="1" ht="15.6" x14ac:dyDescent="0.3">
      <c r="A28" s="75" t="s">
        <v>31</v>
      </c>
      <c r="B28" s="170" t="s">
        <v>152</v>
      </c>
      <c r="C28" s="67" t="s">
        <v>152</v>
      </c>
      <c r="D28" s="67" t="s">
        <v>152</v>
      </c>
      <c r="E28" s="67" t="s">
        <v>152</v>
      </c>
      <c r="F28" s="67" t="s">
        <v>152</v>
      </c>
      <c r="G28" s="107" t="s">
        <v>152</v>
      </c>
      <c r="H28" s="107" t="s">
        <v>152</v>
      </c>
      <c r="I28" s="107" t="s">
        <v>152</v>
      </c>
      <c r="J28" s="107" t="s">
        <v>152</v>
      </c>
      <c r="K28" s="107" t="s">
        <v>152</v>
      </c>
      <c r="L28" s="107" t="s">
        <v>152</v>
      </c>
      <c r="M28" s="107" t="s">
        <v>152</v>
      </c>
      <c r="N28" s="107" t="s">
        <v>152</v>
      </c>
      <c r="O28" s="107" t="s">
        <v>152</v>
      </c>
      <c r="P28" s="107" t="s">
        <v>152</v>
      </c>
      <c r="Q28" s="107" t="s">
        <v>152</v>
      </c>
      <c r="R28" s="295" t="s">
        <v>152</v>
      </c>
    </row>
    <row r="29" spans="1:19" s="63" customFormat="1" ht="15.6" x14ac:dyDescent="0.3">
      <c r="A29" s="75" t="s">
        <v>32</v>
      </c>
      <c r="B29" s="170" t="s">
        <v>152</v>
      </c>
      <c r="C29" s="67" t="s">
        <v>152</v>
      </c>
      <c r="D29" s="67" t="s">
        <v>152</v>
      </c>
      <c r="E29" s="67" t="s">
        <v>152</v>
      </c>
      <c r="F29" s="67" t="s">
        <v>152</v>
      </c>
      <c r="G29" s="107" t="s">
        <v>152</v>
      </c>
      <c r="H29" s="107" t="s">
        <v>152</v>
      </c>
      <c r="I29" s="107" t="s">
        <v>152</v>
      </c>
      <c r="J29" s="107" t="s">
        <v>152</v>
      </c>
      <c r="K29" s="107" t="s">
        <v>152</v>
      </c>
      <c r="L29" s="107" t="s">
        <v>152</v>
      </c>
      <c r="M29" s="107" t="s">
        <v>152</v>
      </c>
      <c r="N29" s="107" t="s">
        <v>152</v>
      </c>
      <c r="O29" s="107" t="s">
        <v>152</v>
      </c>
      <c r="P29" s="107" t="s">
        <v>152</v>
      </c>
      <c r="Q29" s="107" t="s">
        <v>152</v>
      </c>
      <c r="R29" s="295" t="s">
        <v>152</v>
      </c>
    </row>
    <row r="30" spans="1:19" s="63" customFormat="1" ht="15.6" x14ac:dyDescent="0.3">
      <c r="A30" s="75" t="s">
        <v>33</v>
      </c>
      <c r="B30" s="170" t="s">
        <v>152</v>
      </c>
      <c r="C30" s="67" t="s">
        <v>152</v>
      </c>
      <c r="D30" s="67" t="s">
        <v>152</v>
      </c>
      <c r="E30" s="67" t="s">
        <v>152</v>
      </c>
      <c r="F30" s="67" t="s">
        <v>152</v>
      </c>
      <c r="G30" s="107" t="s">
        <v>152</v>
      </c>
      <c r="H30" s="107" t="s">
        <v>152</v>
      </c>
      <c r="I30" s="107" t="s">
        <v>152</v>
      </c>
      <c r="J30" s="107" t="s">
        <v>152</v>
      </c>
      <c r="K30" s="107" t="s">
        <v>152</v>
      </c>
      <c r="L30" s="107" t="s">
        <v>152</v>
      </c>
      <c r="M30" s="107" t="s">
        <v>152</v>
      </c>
      <c r="N30" s="107" t="s">
        <v>152</v>
      </c>
      <c r="O30" s="107" t="s">
        <v>152</v>
      </c>
      <c r="P30" s="107" t="s">
        <v>152</v>
      </c>
      <c r="Q30" s="107" t="s">
        <v>152</v>
      </c>
      <c r="R30" s="295" t="s">
        <v>152</v>
      </c>
    </row>
    <row r="31" spans="1:19" s="63" customFormat="1" ht="15.6" x14ac:dyDescent="0.3">
      <c r="A31" s="75" t="s">
        <v>34</v>
      </c>
      <c r="B31" s="170" t="s">
        <v>152</v>
      </c>
      <c r="C31" s="67" t="s">
        <v>152</v>
      </c>
      <c r="D31" s="67" t="s">
        <v>152</v>
      </c>
      <c r="E31" s="67" t="s">
        <v>152</v>
      </c>
      <c r="F31" s="67" t="s">
        <v>152</v>
      </c>
      <c r="G31" s="107" t="s">
        <v>152</v>
      </c>
      <c r="H31" s="107" t="s">
        <v>152</v>
      </c>
      <c r="I31" s="107" t="s">
        <v>152</v>
      </c>
      <c r="J31" s="107" t="s">
        <v>152</v>
      </c>
      <c r="K31" s="107" t="s">
        <v>152</v>
      </c>
      <c r="L31" s="107" t="s">
        <v>152</v>
      </c>
      <c r="M31" s="107" t="s">
        <v>152</v>
      </c>
      <c r="N31" s="107" t="s">
        <v>152</v>
      </c>
      <c r="O31" s="107" t="s">
        <v>152</v>
      </c>
      <c r="P31" s="107" t="s">
        <v>152</v>
      </c>
      <c r="Q31" s="107" t="s">
        <v>152</v>
      </c>
      <c r="R31" s="295" t="s">
        <v>152</v>
      </c>
    </row>
    <row r="32" spans="1:19" s="63" customFormat="1" ht="16.2" thickBot="1" x14ac:dyDescent="0.35">
      <c r="A32" s="88" t="s">
        <v>36</v>
      </c>
      <c r="B32" s="87" t="s">
        <v>152</v>
      </c>
      <c r="C32" s="72" t="s">
        <v>152</v>
      </c>
      <c r="D32" s="72" t="s">
        <v>152</v>
      </c>
      <c r="E32" s="72" t="s">
        <v>152</v>
      </c>
      <c r="F32" s="72" t="s">
        <v>152</v>
      </c>
      <c r="G32" s="192" t="s">
        <v>152</v>
      </c>
      <c r="H32" s="192" t="s">
        <v>152</v>
      </c>
      <c r="I32" s="192" t="s">
        <v>152</v>
      </c>
      <c r="J32" s="192" t="s">
        <v>152</v>
      </c>
      <c r="K32" s="192" t="s">
        <v>152</v>
      </c>
      <c r="L32" s="192" t="s">
        <v>152</v>
      </c>
      <c r="M32" s="192" t="s">
        <v>152</v>
      </c>
      <c r="N32" s="192" t="s">
        <v>152</v>
      </c>
      <c r="O32" s="192" t="s">
        <v>152</v>
      </c>
      <c r="P32" s="192" t="s">
        <v>152</v>
      </c>
      <c r="Q32" s="192" t="s">
        <v>152</v>
      </c>
      <c r="R32" s="292" t="s">
        <v>152</v>
      </c>
    </row>
    <row r="33" spans="1:18" s="63" customFormat="1" ht="16.2" thickTop="1" x14ac:dyDescent="0.3">
      <c r="A33" s="89" t="s">
        <v>37</v>
      </c>
      <c r="B33" s="90" t="s">
        <v>152</v>
      </c>
      <c r="C33" s="73" t="s">
        <v>152</v>
      </c>
      <c r="D33" s="73" t="s">
        <v>152</v>
      </c>
      <c r="E33" s="73" t="s">
        <v>152</v>
      </c>
      <c r="F33" s="73" t="s">
        <v>152</v>
      </c>
      <c r="G33" s="273">
        <f t="shared" ref="G33:R33" si="1">SUM(G21:G32)</f>
        <v>0</v>
      </c>
      <c r="H33" s="273">
        <f t="shared" si="1"/>
        <v>0</v>
      </c>
      <c r="I33" s="273">
        <f t="shared" si="1"/>
        <v>0</v>
      </c>
      <c r="J33" s="273">
        <f t="shared" si="1"/>
        <v>0</v>
      </c>
      <c r="K33" s="273">
        <f t="shared" si="1"/>
        <v>0</v>
      </c>
      <c r="L33" s="273">
        <f t="shared" si="1"/>
        <v>0</v>
      </c>
      <c r="M33" s="273">
        <f t="shared" si="1"/>
        <v>0</v>
      </c>
      <c r="N33" s="273">
        <f t="shared" si="1"/>
        <v>0</v>
      </c>
      <c r="O33" s="273">
        <f t="shared" si="1"/>
        <v>0</v>
      </c>
      <c r="P33" s="273">
        <f t="shared" si="1"/>
        <v>0</v>
      </c>
      <c r="Q33" s="273">
        <f t="shared" si="1"/>
        <v>0</v>
      </c>
      <c r="R33" s="288">
        <f t="shared" si="1"/>
        <v>8536</v>
      </c>
    </row>
    <row r="34" spans="1:18" s="113" customFormat="1" ht="6.6" x14ac:dyDescent="0.3">
      <c r="A34" s="371" t="s">
        <v>174</v>
      </c>
      <c r="B34" s="371"/>
      <c r="C34" s="371"/>
      <c r="D34" s="371"/>
      <c r="E34" s="371"/>
      <c r="F34" s="371"/>
      <c r="G34" s="371"/>
      <c r="H34" s="371"/>
      <c r="I34" s="371"/>
      <c r="J34" s="371"/>
      <c r="K34" s="371"/>
      <c r="L34" s="371"/>
      <c r="M34" s="371"/>
      <c r="N34" s="371"/>
      <c r="O34" s="371"/>
      <c r="P34" s="371"/>
      <c r="Q34" s="371"/>
      <c r="R34" s="371"/>
    </row>
    <row r="35" spans="1:18" s="106" customFormat="1" ht="18" x14ac:dyDescent="0.3">
      <c r="A35" s="370" t="s">
        <v>285</v>
      </c>
      <c r="B35" s="370"/>
      <c r="C35" s="370"/>
      <c r="D35" s="370"/>
      <c r="E35" s="370"/>
      <c r="F35" s="370"/>
      <c r="G35" s="370"/>
      <c r="H35" s="370"/>
      <c r="I35" s="370"/>
      <c r="J35" s="370"/>
      <c r="K35" s="370"/>
      <c r="L35" s="370"/>
      <c r="M35" s="370"/>
      <c r="N35" s="370"/>
      <c r="O35" s="370"/>
      <c r="P35" s="370"/>
      <c r="Q35" s="370"/>
      <c r="R35" s="370"/>
    </row>
    <row r="36" spans="1:18" s="63" customFormat="1" ht="15.6" x14ac:dyDescent="0.3">
      <c r="A36" s="77" t="s">
        <v>23</v>
      </c>
      <c r="B36" s="91">
        <v>2005</v>
      </c>
      <c r="C36" s="64">
        <v>2005</v>
      </c>
      <c r="D36" s="64">
        <v>2006</v>
      </c>
      <c r="E36" s="64">
        <v>2007</v>
      </c>
      <c r="F36" s="64">
        <v>2008</v>
      </c>
      <c r="G36" s="64">
        <v>2009</v>
      </c>
      <c r="H36" s="64">
        <v>2010</v>
      </c>
      <c r="I36" s="64">
        <v>2011</v>
      </c>
      <c r="J36" s="65">
        <v>2012</v>
      </c>
      <c r="K36" s="65">
        <v>2013</v>
      </c>
      <c r="L36" s="65">
        <v>2014</v>
      </c>
      <c r="M36" s="65">
        <v>2015</v>
      </c>
      <c r="N36" s="65">
        <v>2016</v>
      </c>
      <c r="O36" s="65">
        <v>2017</v>
      </c>
      <c r="P36" s="65">
        <v>2018</v>
      </c>
      <c r="Q36" s="336">
        <v>2019</v>
      </c>
      <c r="R36" s="337">
        <v>2020</v>
      </c>
    </row>
    <row r="37" spans="1:18" s="63" customFormat="1" ht="15.6" x14ac:dyDescent="0.3">
      <c r="A37" s="76" t="s">
        <v>24</v>
      </c>
      <c r="B37" s="108" t="s">
        <v>152</v>
      </c>
      <c r="C37" s="107" t="s">
        <v>152</v>
      </c>
      <c r="D37" s="107" t="s">
        <v>152</v>
      </c>
      <c r="E37" s="107" t="s">
        <v>152</v>
      </c>
      <c r="F37" s="107" t="s">
        <v>152</v>
      </c>
      <c r="G37" s="107" t="s">
        <v>152</v>
      </c>
      <c r="H37" s="107" t="s">
        <v>152</v>
      </c>
      <c r="I37" s="107" t="s">
        <v>152</v>
      </c>
      <c r="J37" s="107" t="s">
        <v>152</v>
      </c>
      <c r="K37" s="107" t="s">
        <v>152</v>
      </c>
      <c r="L37" s="107" t="s">
        <v>152</v>
      </c>
      <c r="M37" s="107" t="s">
        <v>152</v>
      </c>
      <c r="N37" s="107" t="s">
        <v>152</v>
      </c>
      <c r="O37" s="107" t="s">
        <v>152</v>
      </c>
      <c r="P37" s="107" t="s">
        <v>152</v>
      </c>
      <c r="Q37" s="107" t="s">
        <v>152</v>
      </c>
      <c r="R37" s="286">
        <v>0</v>
      </c>
    </row>
    <row r="38" spans="1:18" s="63" customFormat="1" ht="15.6" x14ac:dyDescent="0.3">
      <c r="A38" s="75" t="s">
        <v>25</v>
      </c>
      <c r="B38" s="170" t="s">
        <v>152</v>
      </c>
      <c r="C38" s="67" t="s">
        <v>152</v>
      </c>
      <c r="D38" s="67" t="s">
        <v>152</v>
      </c>
      <c r="E38" s="67" t="s">
        <v>152</v>
      </c>
      <c r="F38" s="67" t="s">
        <v>152</v>
      </c>
      <c r="G38" s="107" t="s">
        <v>152</v>
      </c>
      <c r="H38" s="107" t="s">
        <v>152</v>
      </c>
      <c r="I38" s="107" t="s">
        <v>152</v>
      </c>
      <c r="J38" s="107" t="s">
        <v>152</v>
      </c>
      <c r="K38" s="107" t="s">
        <v>152</v>
      </c>
      <c r="L38" s="107" t="s">
        <v>152</v>
      </c>
      <c r="M38" s="107" t="s">
        <v>152</v>
      </c>
      <c r="N38" s="107" t="s">
        <v>152</v>
      </c>
      <c r="O38" s="107" t="s">
        <v>152</v>
      </c>
      <c r="P38" s="107" t="s">
        <v>152</v>
      </c>
      <c r="Q38" s="107" t="s">
        <v>152</v>
      </c>
      <c r="R38" s="287">
        <v>0</v>
      </c>
    </row>
    <row r="39" spans="1:18" s="63" customFormat="1" ht="15.6" x14ac:dyDescent="0.3">
      <c r="A39" s="75" t="s">
        <v>26</v>
      </c>
      <c r="B39" s="170" t="s">
        <v>152</v>
      </c>
      <c r="C39" s="67" t="s">
        <v>152</v>
      </c>
      <c r="D39" s="67" t="s">
        <v>152</v>
      </c>
      <c r="E39" s="67" t="s">
        <v>152</v>
      </c>
      <c r="F39" s="67" t="s">
        <v>152</v>
      </c>
      <c r="G39" s="107" t="s">
        <v>152</v>
      </c>
      <c r="H39" s="107" t="s">
        <v>152</v>
      </c>
      <c r="I39" s="107" t="s">
        <v>152</v>
      </c>
      <c r="J39" s="107" t="s">
        <v>152</v>
      </c>
      <c r="K39" s="107" t="s">
        <v>152</v>
      </c>
      <c r="L39" s="107" t="s">
        <v>152</v>
      </c>
      <c r="M39" s="107" t="s">
        <v>152</v>
      </c>
      <c r="N39" s="107" t="s">
        <v>152</v>
      </c>
      <c r="O39" s="107" t="s">
        <v>152</v>
      </c>
      <c r="P39" s="107" t="s">
        <v>152</v>
      </c>
      <c r="Q39" s="107" t="s">
        <v>152</v>
      </c>
      <c r="R39" s="287">
        <v>0</v>
      </c>
    </row>
    <row r="40" spans="1:18" s="63" customFormat="1" ht="15.6" x14ac:dyDescent="0.3">
      <c r="A40" s="75" t="s">
        <v>27</v>
      </c>
      <c r="B40" s="170" t="s">
        <v>152</v>
      </c>
      <c r="C40" s="67" t="s">
        <v>152</v>
      </c>
      <c r="D40" s="67" t="s">
        <v>152</v>
      </c>
      <c r="E40" s="67" t="s">
        <v>152</v>
      </c>
      <c r="F40" s="67" t="s">
        <v>152</v>
      </c>
      <c r="G40" s="107" t="s">
        <v>152</v>
      </c>
      <c r="H40" s="107" t="s">
        <v>152</v>
      </c>
      <c r="I40" s="107" t="s">
        <v>152</v>
      </c>
      <c r="J40" s="107" t="s">
        <v>152</v>
      </c>
      <c r="K40" s="107" t="s">
        <v>152</v>
      </c>
      <c r="L40" s="107" t="s">
        <v>152</v>
      </c>
      <c r="M40" s="107" t="s">
        <v>152</v>
      </c>
      <c r="N40" s="107" t="s">
        <v>152</v>
      </c>
      <c r="O40" s="107" t="s">
        <v>152</v>
      </c>
      <c r="P40" s="107" t="s">
        <v>152</v>
      </c>
      <c r="Q40" s="174" t="s">
        <v>152</v>
      </c>
      <c r="R40" s="287">
        <v>0</v>
      </c>
    </row>
    <row r="41" spans="1:18" s="63" customFormat="1" ht="15.6" x14ac:dyDescent="0.3">
      <c r="A41" s="75" t="s">
        <v>28</v>
      </c>
      <c r="B41" s="170" t="s">
        <v>152</v>
      </c>
      <c r="C41" s="67" t="s">
        <v>152</v>
      </c>
      <c r="D41" s="67" t="s">
        <v>152</v>
      </c>
      <c r="E41" s="67" t="s">
        <v>152</v>
      </c>
      <c r="F41" s="67" t="s">
        <v>152</v>
      </c>
      <c r="G41" s="107" t="s">
        <v>152</v>
      </c>
      <c r="H41" s="107" t="s">
        <v>152</v>
      </c>
      <c r="I41" s="107" t="s">
        <v>152</v>
      </c>
      <c r="J41" s="107" t="s">
        <v>152</v>
      </c>
      <c r="K41" s="107" t="s">
        <v>152</v>
      </c>
      <c r="L41" s="107" t="s">
        <v>152</v>
      </c>
      <c r="M41" s="107" t="s">
        <v>152</v>
      </c>
      <c r="N41" s="107" t="s">
        <v>152</v>
      </c>
      <c r="O41" s="107" t="s">
        <v>152</v>
      </c>
      <c r="P41" s="107" t="s">
        <v>152</v>
      </c>
      <c r="Q41" s="107" t="s">
        <v>152</v>
      </c>
      <c r="R41" s="287">
        <v>0</v>
      </c>
    </row>
    <row r="42" spans="1:18" s="63" customFormat="1" ht="15.6" x14ac:dyDescent="0.3">
      <c r="A42" s="75" t="s">
        <v>29</v>
      </c>
      <c r="B42" s="170" t="s">
        <v>152</v>
      </c>
      <c r="C42" s="67" t="s">
        <v>152</v>
      </c>
      <c r="D42" s="67" t="s">
        <v>152</v>
      </c>
      <c r="E42" s="67" t="s">
        <v>152</v>
      </c>
      <c r="F42" s="67" t="s">
        <v>152</v>
      </c>
      <c r="G42" s="107" t="s">
        <v>152</v>
      </c>
      <c r="H42" s="107" t="s">
        <v>152</v>
      </c>
      <c r="I42" s="107" t="s">
        <v>152</v>
      </c>
      <c r="J42" s="107" t="s">
        <v>152</v>
      </c>
      <c r="K42" s="107" t="s">
        <v>152</v>
      </c>
      <c r="L42" s="107" t="s">
        <v>152</v>
      </c>
      <c r="M42" s="107" t="s">
        <v>152</v>
      </c>
      <c r="N42" s="107" t="s">
        <v>152</v>
      </c>
      <c r="O42" s="107" t="s">
        <v>152</v>
      </c>
      <c r="P42" s="107" t="s">
        <v>152</v>
      </c>
      <c r="Q42" s="107" t="s">
        <v>152</v>
      </c>
      <c r="R42" s="287">
        <v>0</v>
      </c>
    </row>
    <row r="43" spans="1:18" s="63" customFormat="1" ht="15.6" x14ac:dyDescent="0.3">
      <c r="A43" s="75" t="s">
        <v>30</v>
      </c>
      <c r="B43" s="170" t="s">
        <v>152</v>
      </c>
      <c r="C43" s="67" t="s">
        <v>152</v>
      </c>
      <c r="D43" s="67" t="s">
        <v>152</v>
      </c>
      <c r="E43" s="67" t="s">
        <v>152</v>
      </c>
      <c r="F43" s="67" t="s">
        <v>152</v>
      </c>
      <c r="G43" s="107" t="s">
        <v>152</v>
      </c>
      <c r="H43" s="107" t="s">
        <v>152</v>
      </c>
      <c r="I43" s="107" t="s">
        <v>152</v>
      </c>
      <c r="J43" s="107" t="s">
        <v>152</v>
      </c>
      <c r="K43" s="107" t="s">
        <v>152</v>
      </c>
      <c r="L43" s="107" t="s">
        <v>152</v>
      </c>
      <c r="M43" s="107" t="s">
        <v>152</v>
      </c>
      <c r="N43" s="107" t="s">
        <v>152</v>
      </c>
      <c r="O43" s="107" t="s">
        <v>152</v>
      </c>
      <c r="P43" s="107" t="s">
        <v>152</v>
      </c>
      <c r="Q43" s="107" t="s">
        <v>152</v>
      </c>
      <c r="R43" s="291" t="s">
        <v>152</v>
      </c>
    </row>
    <row r="44" spans="1:18" s="63" customFormat="1" ht="15.6" x14ac:dyDescent="0.3">
      <c r="A44" s="75" t="s">
        <v>31</v>
      </c>
      <c r="B44" s="170" t="s">
        <v>152</v>
      </c>
      <c r="C44" s="67" t="s">
        <v>152</v>
      </c>
      <c r="D44" s="67" t="s">
        <v>152</v>
      </c>
      <c r="E44" s="67" t="s">
        <v>152</v>
      </c>
      <c r="F44" s="67" t="s">
        <v>152</v>
      </c>
      <c r="G44" s="107" t="s">
        <v>152</v>
      </c>
      <c r="H44" s="107" t="s">
        <v>152</v>
      </c>
      <c r="I44" s="107" t="s">
        <v>152</v>
      </c>
      <c r="J44" s="107" t="s">
        <v>152</v>
      </c>
      <c r="K44" s="107" t="s">
        <v>152</v>
      </c>
      <c r="L44" s="107" t="s">
        <v>152</v>
      </c>
      <c r="M44" s="107" t="s">
        <v>152</v>
      </c>
      <c r="N44" s="107" t="s">
        <v>152</v>
      </c>
      <c r="O44" s="107" t="s">
        <v>152</v>
      </c>
      <c r="P44" s="107" t="s">
        <v>152</v>
      </c>
      <c r="Q44" s="107" t="s">
        <v>152</v>
      </c>
      <c r="R44" s="295" t="s">
        <v>152</v>
      </c>
    </row>
    <row r="45" spans="1:18" s="63" customFormat="1" ht="15.6" x14ac:dyDescent="0.3">
      <c r="A45" s="75" t="s">
        <v>32</v>
      </c>
      <c r="B45" s="170" t="s">
        <v>152</v>
      </c>
      <c r="C45" s="67" t="s">
        <v>152</v>
      </c>
      <c r="D45" s="67" t="s">
        <v>152</v>
      </c>
      <c r="E45" s="67" t="s">
        <v>152</v>
      </c>
      <c r="F45" s="67" t="s">
        <v>152</v>
      </c>
      <c r="G45" s="107" t="s">
        <v>152</v>
      </c>
      <c r="H45" s="107" t="s">
        <v>152</v>
      </c>
      <c r="I45" s="107" t="s">
        <v>152</v>
      </c>
      <c r="J45" s="107" t="s">
        <v>152</v>
      </c>
      <c r="K45" s="107" t="s">
        <v>152</v>
      </c>
      <c r="L45" s="107" t="s">
        <v>152</v>
      </c>
      <c r="M45" s="107" t="s">
        <v>152</v>
      </c>
      <c r="N45" s="107" t="s">
        <v>152</v>
      </c>
      <c r="O45" s="107" t="s">
        <v>152</v>
      </c>
      <c r="P45" s="107" t="s">
        <v>152</v>
      </c>
      <c r="Q45" s="107" t="s">
        <v>152</v>
      </c>
      <c r="R45" s="295" t="s">
        <v>152</v>
      </c>
    </row>
    <row r="46" spans="1:18" s="63" customFormat="1" ht="15.6" x14ac:dyDescent="0.3">
      <c r="A46" s="75" t="s">
        <v>33</v>
      </c>
      <c r="B46" s="170" t="s">
        <v>152</v>
      </c>
      <c r="C46" s="67" t="s">
        <v>152</v>
      </c>
      <c r="D46" s="67" t="s">
        <v>152</v>
      </c>
      <c r="E46" s="67" t="s">
        <v>152</v>
      </c>
      <c r="F46" s="67" t="s">
        <v>152</v>
      </c>
      <c r="G46" s="107" t="s">
        <v>152</v>
      </c>
      <c r="H46" s="107" t="s">
        <v>152</v>
      </c>
      <c r="I46" s="107" t="s">
        <v>152</v>
      </c>
      <c r="J46" s="107" t="s">
        <v>152</v>
      </c>
      <c r="K46" s="107" t="s">
        <v>152</v>
      </c>
      <c r="L46" s="107" t="s">
        <v>152</v>
      </c>
      <c r="M46" s="107" t="s">
        <v>152</v>
      </c>
      <c r="N46" s="107" t="s">
        <v>152</v>
      </c>
      <c r="O46" s="107" t="s">
        <v>152</v>
      </c>
      <c r="P46" s="107" t="s">
        <v>152</v>
      </c>
      <c r="Q46" s="107" t="s">
        <v>152</v>
      </c>
      <c r="R46" s="295" t="s">
        <v>152</v>
      </c>
    </row>
    <row r="47" spans="1:18" s="63" customFormat="1" ht="15.6" x14ac:dyDescent="0.3">
      <c r="A47" s="75" t="s">
        <v>34</v>
      </c>
      <c r="B47" s="170" t="s">
        <v>152</v>
      </c>
      <c r="C47" s="67" t="s">
        <v>152</v>
      </c>
      <c r="D47" s="67" t="s">
        <v>152</v>
      </c>
      <c r="E47" s="67" t="s">
        <v>152</v>
      </c>
      <c r="F47" s="67" t="s">
        <v>152</v>
      </c>
      <c r="G47" s="107" t="s">
        <v>152</v>
      </c>
      <c r="H47" s="107" t="s">
        <v>152</v>
      </c>
      <c r="I47" s="107" t="s">
        <v>152</v>
      </c>
      <c r="J47" s="107" t="s">
        <v>152</v>
      </c>
      <c r="K47" s="107" t="s">
        <v>152</v>
      </c>
      <c r="L47" s="107" t="s">
        <v>152</v>
      </c>
      <c r="M47" s="107" t="s">
        <v>152</v>
      </c>
      <c r="N47" s="107" t="s">
        <v>152</v>
      </c>
      <c r="O47" s="107" t="s">
        <v>152</v>
      </c>
      <c r="P47" s="107" t="s">
        <v>152</v>
      </c>
      <c r="Q47" s="107" t="s">
        <v>152</v>
      </c>
      <c r="R47" s="295" t="s">
        <v>152</v>
      </c>
    </row>
    <row r="48" spans="1:18" s="63" customFormat="1" ht="16.2" thickBot="1" x14ac:dyDescent="0.35">
      <c r="A48" s="88" t="s">
        <v>36</v>
      </c>
      <c r="B48" s="87" t="s">
        <v>152</v>
      </c>
      <c r="C48" s="72" t="s">
        <v>152</v>
      </c>
      <c r="D48" s="72" t="s">
        <v>152</v>
      </c>
      <c r="E48" s="72" t="s">
        <v>152</v>
      </c>
      <c r="F48" s="72" t="s">
        <v>152</v>
      </c>
      <c r="G48" s="192" t="s">
        <v>152</v>
      </c>
      <c r="H48" s="192" t="s">
        <v>152</v>
      </c>
      <c r="I48" s="192" t="s">
        <v>152</v>
      </c>
      <c r="J48" s="192" t="s">
        <v>152</v>
      </c>
      <c r="K48" s="192" t="s">
        <v>152</v>
      </c>
      <c r="L48" s="192" t="s">
        <v>152</v>
      </c>
      <c r="M48" s="192" t="s">
        <v>152</v>
      </c>
      <c r="N48" s="192" t="s">
        <v>152</v>
      </c>
      <c r="O48" s="192" t="s">
        <v>152</v>
      </c>
      <c r="P48" s="192" t="s">
        <v>152</v>
      </c>
      <c r="Q48" s="192" t="s">
        <v>152</v>
      </c>
      <c r="R48" s="292" t="s">
        <v>152</v>
      </c>
    </row>
    <row r="49" spans="1:21" s="63" customFormat="1" ht="16.2" thickTop="1" x14ac:dyDescent="0.3">
      <c r="A49" s="89" t="s">
        <v>37</v>
      </c>
      <c r="B49" s="90" t="s">
        <v>152</v>
      </c>
      <c r="C49" s="73" t="s">
        <v>152</v>
      </c>
      <c r="D49" s="73" t="s">
        <v>152</v>
      </c>
      <c r="E49" s="73" t="s">
        <v>152</v>
      </c>
      <c r="F49" s="73" t="s">
        <v>152</v>
      </c>
      <c r="G49" s="273">
        <f t="shared" ref="G49:R49" si="2">SUM(G37:G48)</f>
        <v>0</v>
      </c>
      <c r="H49" s="273">
        <f t="shared" si="2"/>
        <v>0</v>
      </c>
      <c r="I49" s="273">
        <f t="shared" si="2"/>
        <v>0</v>
      </c>
      <c r="J49" s="273">
        <f t="shared" si="2"/>
        <v>0</v>
      </c>
      <c r="K49" s="273">
        <f t="shared" si="2"/>
        <v>0</v>
      </c>
      <c r="L49" s="273">
        <f t="shared" si="2"/>
        <v>0</v>
      </c>
      <c r="M49" s="273">
        <f t="shared" si="2"/>
        <v>0</v>
      </c>
      <c r="N49" s="273">
        <f t="shared" si="2"/>
        <v>0</v>
      </c>
      <c r="O49" s="273">
        <f t="shared" si="2"/>
        <v>0</v>
      </c>
      <c r="P49" s="273">
        <f t="shared" si="2"/>
        <v>0</v>
      </c>
      <c r="Q49" s="273">
        <f t="shared" si="2"/>
        <v>0</v>
      </c>
      <c r="R49" s="288">
        <f t="shared" si="2"/>
        <v>0</v>
      </c>
    </row>
    <row r="50" spans="1:21" s="113" customFormat="1" ht="6.6" x14ac:dyDescent="0.3">
      <c r="A50" s="371" t="s">
        <v>174</v>
      </c>
      <c r="B50" s="371"/>
      <c r="C50" s="371"/>
      <c r="D50" s="371"/>
      <c r="E50" s="371"/>
      <c r="F50" s="371"/>
      <c r="G50" s="371"/>
      <c r="H50" s="371"/>
      <c r="I50" s="371"/>
      <c r="J50" s="371"/>
      <c r="K50" s="371"/>
      <c r="L50" s="371"/>
      <c r="M50" s="371"/>
      <c r="N50" s="371"/>
      <c r="O50" s="371"/>
      <c r="P50" s="371"/>
      <c r="Q50" s="371"/>
      <c r="R50" s="371"/>
    </row>
    <row r="51" spans="1:21" s="111" customFormat="1" ht="13.8" x14ac:dyDescent="0.3">
      <c r="A51" s="373" t="s">
        <v>263</v>
      </c>
      <c r="B51" s="373"/>
      <c r="C51" s="373"/>
      <c r="D51" s="373"/>
      <c r="E51" s="373"/>
      <c r="F51" s="373"/>
      <c r="G51" s="373"/>
      <c r="H51" s="373"/>
      <c r="I51" s="373"/>
      <c r="J51" s="373"/>
      <c r="K51" s="373"/>
      <c r="L51" s="373"/>
      <c r="M51" s="373"/>
      <c r="N51" s="373"/>
      <c r="O51" s="373"/>
      <c r="P51" s="373"/>
      <c r="Q51" s="373"/>
      <c r="R51" s="373"/>
      <c r="S51" s="373"/>
      <c r="T51" s="373"/>
    </row>
    <row r="52" spans="1:21" s="111" customFormat="1" ht="13.8" x14ac:dyDescent="0.3">
      <c r="A52" s="384" t="str">
        <f>'Local SUT'!A60</f>
        <v>Source:  Minnesota Department of Revenue, Tax Research Division, February 2021</v>
      </c>
      <c r="B52" s="384"/>
      <c r="C52" s="384"/>
      <c r="D52" s="384"/>
      <c r="E52" s="384"/>
      <c r="F52" s="384"/>
      <c r="G52" s="384"/>
      <c r="H52" s="384"/>
      <c r="I52" s="384"/>
      <c r="J52" s="384"/>
      <c r="K52" s="384"/>
      <c r="L52" s="384"/>
      <c r="M52" s="384"/>
      <c r="N52" s="384"/>
      <c r="O52" s="384"/>
      <c r="P52" s="384"/>
      <c r="Q52" s="384"/>
      <c r="R52" s="384"/>
      <c r="S52" s="384"/>
      <c r="T52" s="384"/>
      <c r="U52" s="384"/>
    </row>
    <row r="53" spans="1:21" s="111" customFormat="1" ht="13.8" x14ac:dyDescent="0.3">
      <c r="A53" s="379" t="s">
        <v>151</v>
      </c>
      <c r="B53" s="379"/>
      <c r="C53" s="379"/>
      <c r="D53" s="379"/>
      <c r="E53" s="379"/>
      <c r="F53" s="379"/>
      <c r="G53" s="379"/>
      <c r="H53" s="379"/>
      <c r="I53" s="379"/>
      <c r="J53" s="379"/>
      <c r="K53" s="379"/>
      <c r="L53" s="379"/>
      <c r="M53" s="379"/>
      <c r="N53" s="379"/>
      <c r="O53" s="379"/>
      <c r="P53" s="379"/>
      <c r="Q53" s="379"/>
      <c r="R53" s="379"/>
    </row>
    <row r="54" spans="1:21" x14ac:dyDescent="0.3">
      <c r="R54" s="117"/>
    </row>
  </sheetData>
  <mergeCells count="11">
    <mergeCell ref="A34:R34"/>
    <mergeCell ref="A1:V1"/>
    <mergeCell ref="A2:R2"/>
    <mergeCell ref="A3:S3"/>
    <mergeCell ref="A18:R18"/>
    <mergeCell ref="A19:S19"/>
    <mergeCell ref="A35:R35"/>
    <mergeCell ref="A50:R50"/>
    <mergeCell ref="A51:T51"/>
    <mergeCell ref="A52:U52"/>
    <mergeCell ref="A53:R53"/>
  </mergeCells>
  <pageMargins left="0.5" right="0" top="0.75" bottom="0.75" header="0.3" footer="0.3"/>
  <pageSetup scale="86"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3B045-9F17-4DFE-A13D-E6C6B6F5AE77}">
  <sheetPr codeName="Sheet51">
    <pageSetUpPr fitToPage="1"/>
  </sheetPr>
  <dimension ref="A1:V54"/>
  <sheetViews>
    <sheetView showGridLines="0" zoomScaleNormal="100" workbookViewId="0">
      <pane ySplit="1" topLeftCell="A2" activePane="bottomLeft" state="frozen"/>
      <selection pane="bottomLeft" sqref="A1:V1"/>
    </sheetView>
  </sheetViews>
  <sheetFormatPr defaultColWidth="12.5546875" defaultRowHeight="14.4" x14ac:dyDescent="0.3"/>
  <cols>
    <col min="1" max="1" width="12.5546875" style="180" customWidth="1"/>
    <col min="2" max="17" width="13.5546875" style="173" hidden="1" customWidth="1"/>
    <col min="18" max="18" width="13.5546875" style="145" customWidth="1"/>
    <col min="19" max="16384" width="12.5546875" style="173"/>
  </cols>
  <sheetData>
    <row r="1" spans="1:22" s="112" customFormat="1" ht="21" x14ac:dyDescent="0.3">
      <c r="A1" s="380" t="s">
        <v>281</v>
      </c>
      <c r="B1" s="380"/>
      <c r="C1" s="380"/>
      <c r="D1" s="380"/>
      <c r="E1" s="380"/>
      <c r="F1" s="380"/>
      <c r="G1" s="380"/>
      <c r="H1" s="380"/>
      <c r="I1" s="380"/>
      <c r="J1" s="380"/>
      <c r="K1" s="380"/>
      <c r="L1" s="380"/>
      <c r="M1" s="380"/>
      <c r="N1" s="380"/>
      <c r="O1" s="380"/>
      <c r="P1" s="380"/>
      <c r="Q1" s="380"/>
      <c r="R1" s="380"/>
      <c r="S1" s="380"/>
      <c r="T1" s="380"/>
      <c r="U1" s="380"/>
      <c r="V1" s="380"/>
    </row>
    <row r="2" spans="1:22" s="106" customFormat="1" ht="18" x14ac:dyDescent="0.3">
      <c r="A2" s="381" t="str">
        <f>'Local SUT'!A2</f>
        <v>CY 2004-2020</v>
      </c>
      <c r="B2" s="381"/>
      <c r="C2" s="381"/>
      <c r="D2" s="381"/>
      <c r="E2" s="381"/>
      <c r="F2" s="381"/>
      <c r="G2" s="381"/>
      <c r="H2" s="381"/>
      <c r="I2" s="381"/>
      <c r="J2" s="381"/>
      <c r="K2" s="381"/>
      <c r="L2" s="381"/>
      <c r="M2" s="381"/>
      <c r="N2" s="381"/>
      <c r="O2" s="381"/>
      <c r="P2" s="381"/>
      <c r="Q2" s="381"/>
      <c r="R2" s="381"/>
    </row>
    <row r="3" spans="1:22" s="106" customFormat="1" ht="18" x14ac:dyDescent="0.3">
      <c r="A3" s="385" t="s">
        <v>280</v>
      </c>
      <c r="B3" s="385"/>
      <c r="C3" s="385"/>
      <c r="D3" s="385"/>
      <c r="E3" s="385"/>
      <c r="F3" s="385"/>
      <c r="G3" s="385"/>
      <c r="H3" s="385"/>
      <c r="I3" s="385"/>
      <c r="J3" s="385"/>
      <c r="K3" s="385"/>
      <c r="L3" s="385"/>
      <c r="M3" s="385"/>
      <c r="N3" s="385"/>
      <c r="O3" s="385"/>
      <c r="P3" s="385"/>
      <c r="Q3" s="385"/>
      <c r="R3" s="385"/>
      <c r="S3" s="385"/>
    </row>
    <row r="4" spans="1:22" s="63" customFormat="1" ht="15.6" x14ac:dyDescent="0.3">
      <c r="A4" s="77" t="s">
        <v>23</v>
      </c>
      <c r="B4" s="91">
        <v>2004</v>
      </c>
      <c r="C4" s="64">
        <v>2005</v>
      </c>
      <c r="D4" s="64">
        <v>2006</v>
      </c>
      <c r="E4" s="64">
        <v>2007</v>
      </c>
      <c r="F4" s="64">
        <v>2008</v>
      </c>
      <c r="G4" s="64">
        <v>2009</v>
      </c>
      <c r="H4" s="64">
        <v>2010</v>
      </c>
      <c r="I4" s="64">
        <v>2011</v>
      </c>
      <c r="J4" s="65">
        <v>2012</v>
      </c>
      <c r="K4" s="65">
        <v>2013</v>
      </c>
      <c r="L4" s="65">
        <v>2014</v>
      </c>
      <c r="M4" s="65">
        <v>2015</v>
      </c>
      <c r="N4" s="65">
        <v>2016</v>
      </c>
      <c r="O4" s="65">
        <v>2017</v>
      </c>
      <c r="P4" s="65">
        <v>2018</v>
      </c>
      <c r="Q4" s="336">
        <v>2019</v>
      </c>
      <c r="R4" s="337">
        <v>2020</v>
      </c>
    </row>
    <row r="5" spans="1:22" s="63" customFormat="1" ht="15.6" x14ac:dyDescent="0.3">
      <c r="A5" s="76" t="s">
        <v>24</v>
      </c>
      <c r="B5" s="108" t="s">
        <v>152</v>
      </c>
      <c r="C5" s="107" t="s">
        <v>152</v>
      </c>
      <c r="D5" s="107" t="s">
        <v>152</v>
      </c>
      <c r="E5" s="107" t="s">
        <v>152</v>
      </c>
      <c r="F5" s="107" t="s">
        <v>152</v>
      </c>
      <c r="G5" s="107" t="s">
        <v>152</v>
      </c>
      <c r="H5" s="107" t="s">
        <v>152</v>
      </c>
      <c r="I5" s="107" t="s">
        <v>152</v>
      </c>
      <c r="J5" s="107" t="s">
        <v>152</v>
      </c>
      <c r="K5" s="107" t="s">
        <v>152</v>
      </c>
      <c r="L5" s="107" t="s">
        <v>152</v>
      </c>
      <c r="M5" s="107" t="s">
        <v>152</v>
      </c>
      <c r="N5" s="107" t="s">
        <v>152</v>
      </c>
      <c r="O5" s="107" t="s">
        <v>152</v>
      </c>
      <c r="P5" s="107" t="s">
        <v>152</v>
      </c>
      <c r="Q5" s="107" t="s">
        <v>152</v>
      </c>
      <c r="R5" s="286">
        <v>0</v>
      </c>
    </row>
    <row r="6" spans="1:22" s="63" customFormat="1" ht="15.6" x14ac:dyDescent="0.3">
      <c r="A6" s="75" t="s">
        <v>25</v>
      </c>
      <c r="B6" s="170" t="s">
        <v>152</v>
      </c>
      <c r="C6" s="67" t="s">
        <v>152</v>
      </c>
      <c r="D6" s="67" t="s">
        <v>152</v>
      </c>
      <c r="E6" s="67" t="s">
        <v>152</v>
      </c>
      <c r="F6" s="67" t="s">
        <v>152</v>
      </c>
      <c r="G6" s="107" t="s">
        <v>152</v>
      </c>
      <c r="H6" s="107" t="s">
        <v>152</v>
      </c>
      <c r="I6" s="107" t="s">
        <v>152</v>
      </c>
      <c r="J6" s="107" t="s">
        <v>152</v>
      </c>
      <c r="K6" s="107" t="s">
        <v>152</v>
      </c>
      <c r="L6" s="107" t="s">
        <v>152</v>
      </c>
      <c r="M6" s="107" t="s">
        <v>152</v>
      </c>
      <c r="N6" s="107" t="s">
        <v>152</v>
      </c>
      <c r="O6" s="107" t="s">
        <v>152</v>
      </c>
      <c r="P6" s="107" t="s">
        <v>152</v>
      </c>
      <c r="Q6" s="107" t="s">
        <v>152</v>
      </c>
      <c r="R6" s="287">
        <v>2693</v>
      </c>
    </row>
    <row r="7" spans="1:22" s="63" customFormat="1" ht="15.6" x14ac:dyDescent="0.3">
      <c r="A7" s="75" t="s">
        <v>26</v>
      </c>
      <c r="B7" s="170" t="s">
        <v>152</v>
      </c>
      <c r="C7" s="67" t="s">
        <v>152</v>
      </c>
      <c r="D7" s="67" t="s">
        <v>152</v>
      </c>
      <c r="E7" s="67" t="s">
        <v>152</v>
      </c>
      <c r="F7" s="67" t="s">
        <v>152</v>
      </c>
      <c r="G7" s="107" t="s">
        <v>152</v>
      </c>
      <c r="H7" s="107" t="s">
        <v>152</v>
      </c>
      <c r="I7" s="107" t="s">
        <v>152</v>
      </c>
      <c r="J7" s="107" t="s">
        <v>152</v>
      </c>
      <c r="K7" s="107" t="s">
        <v>152</v>
      </c>
      <c r="L7" s="107" t="s">
        <v>152</v>
      </c>
      <c r="M7" s="107" t="s">
        <v>152</v>
      </c>
      <c r="N7" s="107" t="s">
        <v>152</v>
      </c>
      <c r="O7" s="107" t="s">
        <v>152</v>
      </c>
      <c r="P7" s="107" t="s">
        <v>152</v>
      </c>
      <c r="Q7" s="107" t="s">
        <v>152</v>
      </c>
      <c r="R7" s="287">
        <v>2860</v>
      </c>
    </row>
    <row r="8" spans="1:22" s="63" customFormat="1" ht="15.6" x14ac:dyDescent="0.3">
      <c r="A8" s="75" t="s">
        <v>27</v>
      </c>
      <c r="B8" s="170" t="s">
        <v>152</v>
      </c>
      <c r="C8" s="67" t="s">
        <v>152</v>
      </c>
      <c r="D8" s="67" t="s">
        <v>152</v>
      </c>
      <c r="E8" s="67" t="s">
        <v>152</v>
      </c>
      <c r="F8" s="67" t="s">
        <v>152</v>
      </c>
      <c r="G8" s="107" t="s">
        <v>152</v>
      </c>
      <c r="H8" s="107" t="s">
        <v>152</v>
      </c>
      <c r="I8" s="107" t="s">
        <v>152</v>
      </c>
      <c r="J8" s="107" t="s">
        <v>152</v>
      </c>
      <c r="K8" s="107" t="s">
        <v>152</v>
      </c>
      <c r="L8" s="107" t="s">
        <v>152</v>
      </c>
      <c r="M8" s="107" t="s">
        <v>152</v>
      </c>
      <c r="N8" s="107" t="s">
        <v>152</v>
      </c>
      <c r="O8" s="107" t="s">
        <v>152</v>
      </c>
      <c r="P8" s="107" t="s">
        <v>152</v>
      </c>
      <c r="Q8" s="107" t="s">
        <v>152</v>
      </c>
      <c r="R8" s="287">
        <v>3167</v>
      </c>
    </row>
    <row r="9" spans="1:22" s="63" customFormat="1" ht="15.6" x14ac:dyDescent="0.3">
      <c r="A9" s="75" t="s">
        <v>28</v>
      </c>
      <c r="B9" s="170" t="s">
        <v>152</v>
      </c>
      <c r="C9" s="67" t="s">
        <v>152</v>
      </c>
      <c r="D9" s="67" t="s">
        <v>152</v>
      </c>
      <c r="E9" s="67" t="s">
        <v>152</v>
      </c>
      <c r="F9" s="67" t="s">
        <v>152</v>
      </c>
      <c r="G9" s="107" t="s">
        <v>152</v>
      </c>
      <c r="H9" s="107" t="s">
        <v>152</v>
      </c>
      <c r="I9" s="107" t="s">
        <v>152</v>
      </c>
      <c r="J9" s="107" t="s">
        <v>152</v>
      </c>
      <c r="K9" s="107" t="s">
        <v>152</v>
      </c>
      <c r="L9" s="107" t="s">
        <v>152</v>
      </c>
      <c r="M9" s="107" t="s">
        <v>152</v>
      </c>
      <c r="N9" s="107" t="s">
        <v>152</v>
      </c>
      <c r="O9" s="107" t="s">
        <v>152</v>
      </c>
      <c r="P9" s="107" t="s">
        <v>152</v>
      </c>
      <c r="Q9" s="107" t="s">
        <v>152</v>
      </c>
      <c r="R9" s="287">
        <v>2888</v>
      </c>
    </row>
    <row r="10" spans="1:22" s="63" customFormat="1" ht="15.6" x14ac:dyDescent="0.3">
      <c r="A10" s="75" t="s">
        <v>29</v>
      </c>
      <c r="B10" s="170" t="s">
        <v>152</v>
      </c>
      <c r="C10" s="67" t="s">
        <v>152</v>
      </c>
      <c r="D10" s="67" t="s">
        <v>152</v>
      </c>
      <c r="E10" s="67" t="s">
        <v>152</v>
      </c>
      <c r="F10" s="67" t="s">
        <v>152</v>
      </c>
      <c r="G10" s="107" t="s">
        <v>152</v>
      </c>
      <c r="H10" s="107" t="s">
        <v>152</v>
      </c>
      <c r="I10" s="107" t="s">
        <v>152</v>
      </c>
      <c r="J10" s="107" t="s">
        <v>152</v>
      </c>
      <c r="K10" s="107" t="s">
        <v>152</v>
      </c>
      <c r="L10" s="107" t="s">
        <v>152</v>
      </c>
      <c r="M10" s="107" t="s">
        <v>152</v>
      </c>
      <c r="N10" s="107" t="s">
        <v>152</v>
      </c>
      <c r="O10" s="107" t="s">
        <v>152</v>
      </c>
      <c r="P10" s="107" t="s">
        <v>152</v>
      </c>
      <c r="Q10" s="107" t="s">
        <v>152</v>
      </c>
      <c r="R10" s="287">
        <v>2942</v>
      </c>
    </row>
    <row r="11" spans="1:22" s="63" customFormat="1" ht="15.6" x14ac:dyDescent="0.3">
      <c r="A11" s="75" t="s">
        <v>30</v>
      </c>
      <c r="B11" s="170" t="s">
        <v>152</v>
      </c>
      <c r="C11" s="67" t="s">
        <v>152</v>
      </c>
      <c r="D11" s="67" t="s">
        <v>152</v>
      </c>
      <c r="E11" s="67" t="s">
        <v>152</v>
      </c>
      <c r="F11" s="67" t="s">
        <v>152</v>
      </c>
      <c r="G11" s="107" t="s">
        <v>152</v>
      </c>
      <c r="H11" s="107" t="s">
        <v>152</v>
      </c>
      <c r="I11" s="107" t="s">
        <v>152</v>
      </c>
      <c r="J11" s="107" t="s">
        <v>152</v>
      </c>
      <c r="K11" s="107" t="s">
        <v>152</v>
      </c>
      <c r="L11" s="107" t="s">
        <v>152</v>
      </c>
      <c r="M11" s="107" t="s">
        <v>152</v>
      </c>
      <c r="N11" s="107" t="s">
        <v>152</v>
      </c>
      <c r="O11" s="107" t="s">
        <v>152</v>
      </c>
      <c r="P11" s="107" t="s">
        <v>152</v>
      </c>
      <c r="Q11" s="107" t="s">
        <v>152</v>
      </c>
      <c r="R11" s="291" t="s">
        <v>152</v>
      </c>
    </row>
    <row r="12" spans="1:22" s="63" customFormat="1" ht="15.6" x14ac:dyDescent="0.3">
      <c r="A12" s="75" t="s">
        <v>31</v>
      </c>
      <c r="B12" s="170" t="s">
        <v>152</v>
      </c>
      <c r="C12" s="67" t="s">
        <v>152</v>
      </c>
      <c r="D12" s="67" t="s">
        <v>152</v>
      </c>
      <c r="E12" s="67" t="s">
        <v>152</v>
      </c>
      <c r="F12" s="67" t="s">
        <v>152</v>
      </c>
      <c r="G12" s="107" t="s">
        <v>152</v>
      </c>
      <c r="H12" s="107" t="s">
        <v>152</v>
      </c>
      <c r="I12" s="107" t="s">
        <v>152</v>
      </c>
      <c r="J12" s="107" t="s">
        <v>152</v>
      </c>
      <c r="K12" s="107" t="s">
        <v>152</v>
      </c>
      <c r="L12" s="107" t="s">
        <v>152</v>
      </c>
      <c r="M12" s="107" t="s">
        <v>152</v>
      </c>
      <c r="N12" s="107" t="s">
        <v>152</v>
      </c>
      <c r="O12" s="107" t="s">
        <v>152</v>
      </c>
      <c r="P12" s="107" t="s">
        <v>152</v>
      </c>
      <c r="Q12" s="174" t="s">
        <v>152</v>
      </c>
      <c r="R12" s="295" t="s">
        <v>152</v>
      </c>
    </row>
    <row r="13" spans="1:22" s="63" customFormat="1" ht="15.6" x14ac:dyDescent="0.3">
      <c r="A13" s="75" t="s">
        <v>32</v>
      </c>
      <c r="B13" s="170" t="s">
        <v>152</v>
      </c>
      <c r="C13" s="67" t="s">
        <v>152</v>
      </c>
      <c r="D13" s="67" t="s">
        <v>152</v>
      </c>
      <c r="E13" s="67" t="s">
        <v>152</v>
      </c>
      <c r="F13" s="67" t="s">
        <v>152</v>
      </c>
      <c r="G13" s="107" t="s">
        <v>152</v>
      </c>
      <c r="H13" s="107" t="s">
        <v>152</v>
      </c>
      <c r="I13" s="107" t="s">
        <v>152</v>
      </c>
      <c r="J13" s="107" t="s">
        <v>152</v>
      </c>
      <c r="K13" s="107" t="s">
        <v>152</v>
      </c>
      <c r="L13" s="107" t="s">
        <v>152</v>
      </c>
      <c r="M13" s="107" t="s">
        <v>152</v>
      </c>
      <c r="N13" s="107" t="s">
        <v>152</v>
      </c>
      <c r="O13" s="107" t="s">
        <v>152</v>
      </c>
      <c r="P13" s="107" t="s">
        <v>152</v>
      </c>
      <c r="Q13" s="107" t="s">
        <v>152</v>
      </c>
      <c r="R13" s="295" t="s">
        <v>152</v>
      </c>
    </row>
    <row r="14" spans="1:22" s="63" customFormat="1" ht="15.6" x14ac:dyDescent="0.3">
      <c r="A14" s="75" t="s">
        <v>33</v>
      </c>
      <c r="B14" s="170" t="s">
        <v>152</v>
      </c>
      <c r="C14" s="67" t="s">
        <v>152</v>
      </c>
      <c r="D14" s="67" t="s">
        <v>152</v>
      </c>
      <c r="E14" s="67" t="s">
        <v>152</v>
      </c>
      <c r="F14" s="67" t="s">
        <v>152</v>
      </c>
      <c r="G14" s="107" t="s">
        <v>152</v>
      </c>
      <c r="H14" s="107" t="s">
        <v>152</v>
      </c>
      <c r="I14" s="107" t="s">
        <v>152</v>
      </c>
      <c r="J14" s="107" t="s">
        <v>152</v>
      </c>
      <c r="K14" s="107" t="s">
        <v>152</v>
      </c>
      <c r="L14" s="107" t="s">
        <v>152</v>
      </c>
      <c r="M14" s="107" t="s">
        <v>152</v>
      </c>
      <c r="N14" s="107" t="s">
        <v>152</v>
      </c>
      <c r="O14" s="107" t="s">
        <v>152</v>
      </c>
      <c r="P14" s="107" t="s">
        <v>152</v>
      </c>
      <c r="Q14" s="107" t="s">
        <v>152</v>
      </c>
      <c r="R14" s="295" t="s">
        <v>152</v>
      </c>
    </row>
    <row r="15" spans="1:22" s="63" customFormat="1" ht="15.6" x14ac:dyDescent="0.3">
      <c r="A15" s="75" t="s">
        <v>34</v>
      </c>
      <c r="B15" s="170" t="s">
        <v>152</v>
      </c>
      <c r="C15" s="67" t="s">
        <v>152</v>
      </c>
      <c r="D15" s="67" t="s">
        <v>152</v>
      </c>
      <c r="E15" s="67" t="s">
        <v>152</v>
      </c>
      <c r="F15" s="67" t="s">
        <v>152</v>
      </c>
      <c r="G15" s="107" t="s">
        <v>152</v>
      </c>
      <c r="H15" s="107" t="s">
        <v>152</v>
      </c>
      <c r="I15" s="107" t="s">
        <v>152</v>
      </c>
      <c r="J15" s="107" t="s">
        <v>152</v>
      </c>
      <c r="K15" s="107" t="s">
        <v>152</v>
      </c>
      <c r="L15" s="107" t="s">
        <v>152</v>
      </c>
      <c r="M15" s="107" t="s">
        <v>152</v>
      </c>
      <c r="N15" s="107" t="s">
        <v>152</v>
      </c>
      <c r="O15" s="107" t="s">
        <v>152</v>
      </c>
      <c r="P15" s="107" t="s">
        <v>152</v>
      </c>
      <c r="Q15" s="107" t="s">
        <v>152</v>
      </c>
      <c r="R15" s="295" t="s">
        <v>152</v>
      </c>
    </row>
    <row r="16" spans="1:22" s="63" customFormat="1" ht="16.2" thickBot="1" x14ac:dyDescent="0.35">
      <c r="A16" s="88" t="s">
        <v>36</v>
      </c>
      <c r="B16" s="87" t="s">
        <v>152</v>
      </c>
      <c r="C16" s="72" t="s">
        <v>152</v>
      </c>
      <c r="D16" s="72" t="s">
        <v>152</v>
      </c>
      <c r="E16" s="72" t="s">
        <v>152</v>
      </c>
      <c r="F16" s="72" t="s">
        <v>152</v>
      </c>
      <c r="G16" s="192" t="s">
        <v>152</v>
      </c>
      <c r="H16" s="192" t="s">
        <v>152</v>
      </c>
      <c r="I16" s="192" t="s">
        <v>152</v>
      </c>
      <c r="J16" s="192" t="s">
        <v>152</v>
      </c>
      <c r="K16" s="192" t="s">
        <v>152</v>
      </c>
      <c r="L16" s="192" t="s">
        <v>152</v>
      </c>
      <c r="M16" s="192" t="s">
        <v>152</v>
      </c>
      <c r="N16" s="192" t="s">
        <v>152</v>
      </c>
      <c r="O16" s="192" t="s">
        <v>152</v>
      </c>
      <c r="P16" s="192" t="s">
        <v>152</v>
      </c>
      <c r="Q16" s="192" t="s">
        <v>152</v>
      </c>
      <c r="R16" s="292" t="s">
        <v>152</v>
      </c>
    </row>
    <row r="17" spans="1:19" s="63" customFormat="1" ht="16.2" thickTop="1" x14ac:dyDescent="0.3">
      <c r="A17" s="89" t="s">
        <v>37</v>
      </c>
      <c r="B17" s="90" t="s">
        <v>152</v>
      </c>
      <c r="C17" s="73" t="s">
        <v>152</v>
      </c>
      <c r="D17" s="73" t="s">
        <v>152</v>
      </c>
      <c r="E17" s="73" t="s">
        <v>152</v>
      </c>
      <c r="F17" s="73" t="s">
        <v>152</v>
      </c>
      <c r="G17" s="273">
        <f t="shared" ref="G17:R17" si="0">SUM(G5:G16)</f>
        <v>0</v>
      </c>
      <c r="H17" s="273">
        <f t="shared" si="0"/>
        <v>0</v>
      </c>
      <c r="I17" s="273">
        <f t="shared" si="0"/>
        <v>0</v>
      </c>
      <c r="J17" s="273">
        <f t="shared" si="0"/>
        <v>0</v>
      </c>
      <c r="K17" s="273">
        <f t="shared" si="0"/>
        <v>0</v>
      </c>
      <c r="L17" s="273">
        <f t="shared" si="0"/>
        <v>0</v>
      </c>
      <c r="M17" s="273">
        <f t="shared" si="0"/>
        <v>0</v>
      </c>
      <c r="N17" s="273">
        <f t="shared" si="0"/>
        <v>0</v>
      </c>
      <c r="O17" s="273">
        <f t="shared" si="0"/>
        <v>0</v>
      </c>
      <c r="P17" s="273">
        <f t="shared" si="0"/>
        <v>0</v>
      </c>
      <c r="Q17" s="273">
        <f t="shared" si="0"/>
        <v>0</v>
      </c>
      <c r="R17" s="288">
        <f t="shared" si="0"/>
        <v>14550</v>
      </c>
    </row>
    <row r="18" spans="1:19" s="113" customFormat="1" ht="6.6" x14ac:dyDescent="0.3">
      <c r="A18" s="371" t="s">
        <v>174</v>
      </c>
      <c r="B18" s="371"/>
      <c r="C18" s="371"/>
      <c r="D18" s="371"/>
      <c r="E18" s="371"/>
      <c r="F18" s="371"/>
      <c r="G18" s="371"/>
      <c r="H18" s="371"/>
      <c r="I18" s="371"/>
      <c r="J18" s="371"/>
      <c r="K18" s="371"/>
      <c r="L18" s="371"/>
      <c r="M18" s="371"/>
      <c r="N18" s="371"/>
      <c r="O18" s="371"/>
      <c r="P18" s="371"/>
      <c r="Q18" s="371"/>
      <c r="R18" s="371"/>
    </row>
    <row r="19" spans="1:19" s="106" customFormat="1" ht="18" x14ac:dyDescent="0.3">
      <c r="A19" s="396" t="s">
        <v>279</v>
      </c>
      <c r="B19" s="396"/>
      <c r="C19" s="396"/>
      <c r="D19" s="396"/>
      <c r="E19" s="396"/>
      <c r="F19" s="396"/>
      <c r="G19" s="396"/>
      <c r="H19" s="396"/>
      <c r="I19" s="396"/>
      <c r="J19" s="396"/>
      <c r="K19" s="396"/>
      <c r="L19" s="396"/>
      <c r="M19" s="396"/>
      <c r="N19" s="396"/>
      <c r="O19" s="396"/>
      <c r="P19" s="396"/>
      <c r="Q19" s="396"/>
      <c r="R19" s="396"/>
      <c r="S19" s="396"/>
    </row>
    <row r="20" spans="1:19" s="63" customFormat="1" ht="15.6" x14ac:dyDescent="0.3">
      <c r="A20" s="77" t="s">
        <v>23</v>
      </c>
      <c r="B20" s="91">
        <v>2005</v>
      </c>
      <c r="C20" s="64">
        <v>2005</v>
      </c>
      <c r="D20" s="64">
        <v>2006</v>
      </c>
      <c r="E20" s="64">
        <v>2007</v>
      </c>
      <c r="F20" s="64">
        <v>2008</v>
      </c>
      <c r="G20" s="64">
        <v>2009</v>
      </c>
      <c r="H20" s="64">
        <v>2010</v>
      </c>
      <c r="I20" s="64">
        <v>2011</v>
      </c>
      <c r="J20" s="65">
        <v>2012</v>
      </c>
      <c r="K20" s="65">
        <v>2013</v>
      </c>
      <c r="L20" s="65">
        <v>2014</v>
      </c>
      <c r="M20" s="65">
        <v>2015</v>
      </c>
      <c r="N20" s="65">
        <v>2016</v>
      </c>
      <c r="O20" s="65">
        <v>2017</v>
      </c>
      <c r="P20" s="65">
        <v>2018</v>
      </c>
      <c r="Q20" s="336">
        <v>2019</v>
      </c>
      <c r="R20" s="337">
        <v>2020</v>
      </c>
    </row>
    <row r="21" spans="1:19" s="63" customFormat="1" ht="15.6" x14ac:dyDescent="0.3">
      <c r="A21" s="76" t="s">
        <v>24</v>
      </c>
      <c r="B21" s="108" t="s">
        <v>152</v>
      </c>
      <c r="C21" s="107" t="s">
        <v>152</v>
      </c>
      <c r="D21" s="107" t="s">
        <v>152</v>
      </c>
      <c r="E21" s="107" t="s">
        <v>152</v>
      </c>
      <c r="F21" s="107" t="s">
        <v>152</v>
      </c>
      <c r="G21" s="107" t="s">
        <v>152</v>
      </c>
      <c r="H21" s="107" t="s">
        <v>152</v>
      </c>
      <c r="I21" s="107" t="s">
        <v>152</v>
      </c>
      <c r="J21" s="107" t="s">
        <v>152</v>
      </c>
      <c r="K21" s="107" t="s">
        <v>152</v>
      </c>
      <c r="L21" s="107" t="s">
        <v>152</v>
      </c>
      <c r="M21" s="107" t="s">
        <v>152</v>
      </c>
      <c r="N21" s="107" t="s">
        <v>152</v>
      </c>
      <c r="O21" s="107" t="s">
        <v>152</v>
      </c>
      <c r="P21" s="107" t="s">
        <v>152</v>
      </c>
      <c r="Q21" s="107" t="s">
        <v>152</v>
      </c>
      <c r="R21" s="286">
        <v>0</v>
      </c>
    </row>
    <row r="22" spans="1:19" s="63" customFormat="1" ht="15.6" x14ac:dyDescent="0.3">
      <c r="A22" s="75" t="s">
        <v>25</v>
      </c>
      <c r="B22" s="170" t="s">
        <v>152</v>
      </c>
      <c r="C22" s="67" t="s">
        <v>152</v>
      </c>
      <c r="D22" s="67" t="s">
        <v>152</v>
      </c>
      <c r="E22" s="67" t="s">
        <v>152</v>
      </c>
      <c r="F22" s="67" t="s">
        <v>152</v>
      </c>
      <c r="G22" s="107" t="s">
        <v>152</v>
      </c>
      <c r="H22" s="107" t="s">
        <v>152</v>
      </c>
      <c r="I22" s="107" t="s">
        <v>152</v>
      </c>
      <c r="J22" s="107" t="s">
        <v>152</v>
      </c>
      <c r="K22" s="107" t="s">
        <v>152</v>
      </c>
      <c r="L22" s="107" t="s">
        <v>152</v>
      </c>
      <c r="M22" s="107" t="s">
        <v>152</v>
      </c>
      <c r="N22" s="107" t="s">
        <v>152</v>
      </c>
      <c r="O22" s="107" t="s">
        <v>152</v>
      </c>
      <c r="P22" s="107" t="s">
        <v>152</v>
      </c>
      <c r="Q22" s="107" t="s">
        <v>152</v>
      </c>
      <c r="R22" s="287">
        <v>42</v>
      </c>
    </row>
    <row r="23" spans="1:19" s="63" customFormat="1" ht="15.6" x14ac:dyDescent="0.3">
      <c r="A23" s="75" t="s">
        <v>26</v>
      </c>
      <c r="B23" s="170" t="s">
        <v>152</v>
      </c>
      <c r="C23" s="67" t="s">
        <v>152</v>
      </c>
      <c r="D23" s="67" t="s">
        <v>152</v>
      </c>
      <c r="E23" s="67" t="s">
        <v>152</v>
      </c>
      <c r="F23" s="67" t="s">
        <v>152</v>
      </c>
      <c r="G23" s="107" t="s">
        <v>152</v>
      </c>
      <c r="H23" s="107" t="s">
        <v>152</v>
      </c>
      <c r="I23" s="107" t="s">
        <v>152</v>
      </c>
      <c r="J23" s="107" t="s">
        <v>152</v>
      </c>
      <c r="K23" s="107" t="s">
        <v>152</v>
      </c>
      <c r="L23" s="107" t="s">
        <v>152</v>
      </c>
      <c r="M23" s="107" t="s">
        <v>152</v>
      </c>
      <c r="N23" s="107" t="s">
        <v>152</v>
      </c>
      <c r="O23" s="107" t="s">
        <v>152</v>
      </c>
      <c r="P23" s="107" t="s">
        <v>152</v>
      </c>
      <c r="Q23" s="107" t="s">
        <v>152</v>
      </c>
      <c r="R23" s="287">
        <v>20</v>
      </c>
    </row>
    <row r="24" spans="1:19" s="63" customFormat="1" ht="15.6" x14ac:dyDescent="0.3">
      <c r="A24" s="75" t="s">
        <v>27</v>
      </c>
      <c r="B24" s="170" t="s">
        <v>152</v>
      </c>
      <c r="C24" s="67" t="s">
        <v>152</v>
      </c>
      <c r="D24" s="67" t="s">
        <v>152</v>
      </c>
      <c r="E24" s="67" t="s">
        <v>152</v>
      </c>
      <c r="F24" s="67" t="s">
        <v>152</v>
      </c>
      <c r="G24" s="107" t="s">
        <v>152</v>
      </c>
      <c r="H24" s="107" t="s">
        <v>152</v>
      </c>
      <c r="I24" s="107" t="s">
        <v>152</v>
      </c>
      <c r="J24" s="107" t="s">
        <v>152</v>
      </c>
      <c r="K24" s="107" t="s">
        <v>152</v>
      </c>
      <c r="L24" s="107" t="s">
        <v>152</v>
      </c>
      <c r="M24" s="107" t="s">
        <v>152</v>
      </c>
      <c r="N24" s="107" t="s">
        <v>152</v>
      </c>
      <c r="O24" s="107" t="s">
        <v>152</v>
      </c>
      <c r="P24" s="107" t="s">
        <v>152</v>
      </c>
      <c r="Q24" s="107" t="s">
        <v>152</v>
      </c>
      <c r="R24" s="287">
        <v>35</v>
      </c>
    </row>
    <row r="25" spans="1:19" s="63" customFormat="1" ht="15.6" x14ac:dyDescent="0.3">
      <c r="A25" s="75" t="s">
        <v>28</v>
      </c>
      <c r="B25" s="170" t="s">
        <v>152</v>
      </c>
      <c r="C25" s="67" t="s">
        <v>152</v>
      </c>
      <c r="D25" s="67" t="s">
        <v>152</v>
      </c>
      <c r="E25" s="67" t="s">
        <v>152</v>
      </c>
      <c r="F25" s="67" t="s">
        <v>152</v>
      </c>
      <c r="G25" s="107" t="s">
        <v>152</v>
      </c>
      <c r="H25" s="107" t="s">
        <v>152</v>
      </c>
      <c r="I25" s="107" t="s">
        <v>152</v>
      </c>
      <c r="J25" s="107" t="s">
        <v>152</v>
      </c>
      <c r="K25" s="107" t="s">
        <v>152</v>
      </c>
      <c r="L25" s="107" t="s">
        <v>152</v>
      </c>
      <c r="M25" s="107" t="s">
        <v>152</v>
      </c>
      <c r="N25" s="107" t="s">
        <v>152</v>
      </c>
      <c r="O25" s="107" t="s">
        <v>152</v>
      </c>
      <c r="P25" s="107" t="s">
        <v>152</v>
      </c>
      <c r="Q25" s="107" t="s">
        <v>152</v>
      </c>
      <c r="R25" s="287">
        <v>50</v>
      </c>
    </row>
    <row r="26" spans="1:19" s="63" customFormat="1" ht="15.6" x14ac:dyDescent="0.3">
      <c r="A26" s="75" t="s">
        <v>29</v>
      </c>
      <c r="B26" s="170" t="s">
        <v>152</v>
      </c>
      <c r="C26" s="67" t="s">
        <v>152</v>
      </c>
      <c r="D26" s="67" t="s">
        <v>152</v>
      </c>
      <c r="E26" s="67" t="s">
        <v>152</v>
      </c>
      <c r="F26" s="67" t="s">
        <v>152</v>
      </c>
      <c r="G26" s="107" t="s">
        <v>152</v>
      </c>
      <c r="H26" s="107" t="s">
        <v>152</v>
      </c>
      <c r="I26" s="107" t="s">
        <v>152</v>
      </c>
      <c r="J26" s="107" t="s">
        <v>152</v>
      </c>
      <c r="K26" s="107" t="s">
        <v>152</v>
      </c>
      <c r="L26" s="107" t="s">
        <v>152</v>
      </c>
      <c r="M26" s="107" t="s">
        <v>152</v>
      </c>
      <c r="N26" s="107" t="s">
        <v>152</v>
      </c>
      <c r="O26" s="107" t="s">
        <v>152</v>
      </c>
      <c r="P26" s="107" t="s">
        <v>152</v>
      </c>
      <c r="Q26" s="107" t="s">
        <v>152</v>
      </c>
      <c r="R26" s="287">
        <v>15</v>
      </c>
    </row>
    <row r="27" spans="1:19" s="63" customFormat="1" ht="15.6" x14ac:dyDescent="0.3">
      <c r="A27" s="75" t="s">
        <v>30</v>
      </c>
      <c r="B27" s="170" t="s">
        <v>152</v>
      </c>
      <c r="C27" s="67" t="s">
        <v>152</v>
      </c>
      <c r="D27" s="67" t="s">
        <v>152</v>
      </c>
      <c r="E27" s="67" t="s">
        <v>152</v>
      </c>
      <c r="F27" s="67" t="s">
        <v>152</v>
      </c>
      <c r="G27" s="107" t="s">
        <v>152</v>
      </c>
      <c r="H27" s="107" t="s">
        <v>152</v>
      </c>
      <c r="I27" s="107" t="s">
        <v>152</v>
      </c>
      <c r="J27" s="107" t="s">
        <v>152</v>
      </c>
      <c r="K27" s="107" t="s">
        <v>152</v>
      </c>
      <c r="L27" s="107" t="s">
        <v>152</v>
      </c>
      <c r="M27" s="107" t="s">
        <v>152</v>
      </c>
      <c r="N27" s="107" t="s">
        <v>152</v>
      </c>
      <c r="O27" s="107" t="s">
        <v>152</v>
      </c>
      <c r="P27" s="107" t="s">
        <v>152</v>
      </c>
      <c r="Q27" s="174" t="s">
        <v>152</v>
      </c>
      <c r="R27" s="291" t="s">
        <v>152</v>
      </c>
    </row>
    <row r="28" spans="1:19" s="63" customFormat="1" ht="15.6" x14ac:dyDescent="0.3">
      <c r="A28" s="75" t="s">
        <v>31</v>
      </c>
      <c r="B28" s="170" t="s">
        <v>152</v>
      </c>
      <c r="C28" s="67" t="s">
        <v>152</v>
      </c>
      <c r="D28" s="67" t="s">
        <v>152</v>
      </c>
      <c r="E28" s="67" t="s">
        <v>152</v>
      </c>
      <c r="F28" s="67" t="s">
        <v>152</v>
      </c>
      <c r="G28" s="107" t="s">
        <v>152</v>
      </c>
      <c r="H28" s="107" t="s">
        <v>152</v>
      </c>
      <c r="I28" s="107" t="s">
        <v>152</v>
      </c>
      <c r="J28" s="107" t="s">
        <v>152</v>
      </c>
      <c r="K28" s="107" t="s">
        <v>152</v>
      </c>
      <c r="L28" s="107" t="s">
        <v>152</v>
      </c>
      <c r="M28" s="107" t="s">
        <v>152</v>
      </c>
      <c r="N28" s="107" t="s">
        <v>152</v>
      </c>
      <c r="O28" s="107" t="s">
        <v>152</v>
      </c>
      <c r="P28" s="107" t="s">
        <v>152</v>
      </c>
      <c r="Q28" s="107" t="s">
        <v>152</v>
      </c>
      <c r="R28" s="295" t="s">
        <v>152</v>
      </c>
    </row>
    <row r="29" spans="1:19" s="63" customFormat="1" ht="15.6" x14ac:dyDescent="0.3">
      <c r="A29" s="75" t="s">
        <v>32</v>
      </c>
      <c r="B29" s="170" t="s">
        <v>152</v>
      </c>
      <c r="C29" s="67" t="s">
        <v>152</v>
      </c>
      <c r="D29" s="67" t="s">
        <v>152</v>
      </c>
      <c r="E29" s="67" t="s">
        <v>152</v>
      </c>
      <c r="F29" s="67" t="s">
        <v>152</v>
      </c>
      <c r="G29" s="107" t="s">
        <v>152</v>
      </c>
      <c r="H29" s="107" t="s">
        <v>152</v>
      </c>
      <c r="I29" s="107" t="s">
        <v>152</v>
      </c>
      <c r="J29" s="107" t="s">
        <v>152</v>
      </c>
      <c r="K29" s="107" t="s">
        <v>152</v>
      </c>
      <c r="L29" s="107" t="s">
        <v>152</v>
      </c>
      <c r="M29" s="107" t="s">
        <v>152</v>
      </c>
      <c r="N29" s="107" t="s">
        <v>152</v>
      </c>
      <c r="O29" s="107" t="s">
        <v>152</v>
      </c>
      <c r="P29" s="107" t="s">
        <v>152</v>
      </c>
      <c r="Q29" s="107" t="s">
        <v>152</v>
      </c>
      <c r="R29" s="295" t="s">
        <v>152</v>
      </c>
    </row>
    <row r="30" spans="1:19" s="63" customFormat="1" ht="15.6" x14ac:dyDescent="0.3">
      <c r="A30" s="75" t="s">
        <v>33</v>
      </c>
      <c r="B30" s="170" t="s">
        <v>152</v>
      </c>
      <c r="C30" s="67" t="s">
        <v>152</v>
      </c>
      <c r="D30" s="67" t="s">
        <v>152</v>
      </c>
      <c r="E30" s="67" t="s">
        <v>152</v>
      </c>
      <c r="F30" s="67" t="s">
        <v>152</v>
      </c>
      <c r="G30" s="107" t="s">
        <v>152</v>
      </c>
      <c r="H30" s="107" t="s">
        <v>152</v>
      </c>
      <c r="I30" s="107" t="s">
        <v>152</v>
      </c>
      <c r="J30" s="107" t="s">
        <v>152</v>
      </c>
      <c r="K30" s="107" t="s">
        <v>152</v>
      </c>
      <c r="L30" s="107" t="s">
        <v>152</v>
      </c>
      <c r="M30" s="107" t="s">
        <v>152</v>
      </c>
      <c r="N30" s="107" t="s">
        <v>152</v>
      </c>
      <c r="O30" s="107" t="s">
        <v>152</v>
      </c>
      <c r="P30" s="107" t="s">
        <v>152</v>
      </c>
      <c r="Q30" s="107" t="s">
        <v>152</v>
      </c>
      <c r="R30" s="295" t="s">
        <v>152</v>
      </c>
    </row>
    <row r="31" spans="1:19" s="63" customFormat="1" ht="15.6" x14ac:dyDescent="0.3">
      <c r="A31" s="75" t="s">
        <v>34</v>
      </c>
      <c r="B31" s="170" t="s">
        <v>152</v>
      </c>
      <c r="C31" s="67" t="s">
        <v>152</v>
      </c>
      <c r="D31" s="67" t="s">
        <v>152</v>
      </c>
      <c r="E31" s="67" t="s">
        <v>152</v>
      </c>
      <c r="F31" s="67" t="s">
        <v>152</v>
      </c>
      <c r="G31" s="107" t="s">
        <v>152</v>
      </c>
      <c r="H31" s="107" t="s">
        <v>152</v>
      </c>
      <c r="I31" s="107" t="s">
        <v>152</v>
      </c>
      <c r="J31" s="107" t="s">
        <v>152</v>
      </c>
      <c r="K31" s="107" t="s">
        <v>152</v>
      </c>
      <c r="L31" s="107" t="s">
        <v>152</v>
      </c>
      <c r="M31" s="107" t="s">
        <v>152</v>
      </c>
      <c r="N31" s="107" t="s">
        <v>152</v>
      </c>
      <c r="O31" s="107" t="s">
        <v>152</v>
      </c>
      <c r="P31" s="107" t="s">
        <v>152</v>
      </c>
      <c r="Q31" s="107" t="s">
        <v>152</v>
      </c>
      <c r="R31" s="295" t="s">
        <v>152</v>
      </c>
    </row>
    <row r="32" spans="1:19" s="63" customFormat="1" ht="16.2" thickBot="1" x14ac:dyDescent="0.35">
      <c r="A32" s="88" t="s">
        <v>36</v>
      </c>
      <c r="B32" s="87" t="s">
        <v>152</v>
      </c>
      <c r="C32" s="72" t="s">
        <v>152</v>
      </c>
      <c r="D32" s="72" t="s">
        <v>152</v>
      </c>
      <c r="E32" s="72" t="s">
        <v>152</v>
      </c>
      <c r="F32" s="72" t="s">
        <v>152</v>
      </c>
      <c r="G32" s="192" t="s">
        <v>152</v>
      </c>
      <c r="H32" s="192" t="s">
        <v>152</v>
      </c>
      <c r="I32" s="192" t="s">
        <v>152</v>
      </c>
      <c r="J32" s="192" t="s">
        <v>152</v>
      </c>
      <c r="K32" s="192" t="s">
        <v>152</v>
      </c>
      <c r="L32" s="192" t="s">
        <v>152</v>
      </c>
      <c r="M32" s="192" t="s">
        <v>152</v>
      </c>
      <c r="N32" s="192" t="s">
        <v>152</v>
      </c>
      <c r="O32" s="192" t="s">
        <v>152</v>
      </c>
      <c r="P32" s="192" t="s">
        <v>152</v>
      </c>
      <c r="Q32" s="192" t="s">
        <v>152</v>
      </c>
      <c r="R32" s="292" t="s">
        <v>152</v>
      </c>
    </row>
    <row r="33" spans="1:18" s="63" customFormat="1" ht="16.2" thickTop="1" x14ac:dyDescent="0.3">
      <c r="A33" s="89" t="s">
        <v>37</v>
      </c>
      <c r="B33" s="90" t="s">
        <v>152</v>
      </c>
      <c r="C33" s="73" t="s">
        <v>152</v>
      </c>
      <c r="D33" s="73" t="s">
        <v>152</v>
      </c>
      <c r="E33" s="73" t="s">
        <v>152</v>
      </c>
      <c r="F33" s="73" t="s">
        <v>152</v>
      </c>
      <c r="G33" s="273">
        <f t="shared" ref="G33:R33" si="1">SUM(G21:G32)</f>
        <v>0</v>
      </c>
      <c r="H33" s="273">
        <f t="shared" si="1"/>
        <v>0</v>
      </c>
      <c r="I33" s="273">
        <f t="shared" si="1"/>
        <v>0</v>
      </c>
      <c r="J33" s="273">
        <f t="shared" si="1"/>
        <v>0</v>
      </c>
      <c r="K33" s="273">
        <f t="shared" si="1"/>
        <v>0</v>
      </c>
      <c r="L33" s="273">
        <f t="shared" si="1"/>
        <v>0</v>
      </c>
      <c r="M33" s="273">
        <f t="shared" si="1"/>
        <v>0</v>
      </c>
      <c r="N33" s="273">
        <f t="shared" si="1"/>
        <v>0</v>
      </c>
      <c r="O33" s="273">
        <f t="shared" si="1"/>
        <v>0</v>
      </c>
      <c r="P33" s="273">
        <f t="shared" si="1"/>
        <v>0</v>
      </c>
      <c r="Q33" s="273">
        <f t="shared" si="1"/>
        <v>0</v>
      </c>
      <c r="R33" s="288">
        <f t="shared" si="1"/>
        <v>162</v>
      </c>
    </row>
    <row r="34" spans="1:18" s="113" customFormat="1" ht="6.6" x14ac:dyDescent="0.3">
      <c r="A34" s="371" t="s">
        <v>174</v>
      </c>
      <c r="B34" s="371"/>
      <c r="C34" s="371"/>
      <c r="D34" s="371"/>
      <c r="E34" s="371"/>
      <c r="F34" s="371"/>
      <c r="G34" s="371"/>
      <c r="H34" s="371"/>
      <c r="I34" s="371"/>
      <c r="J34" s="371"/>
      <c r="K34" s="371"/>
      <c r="L34" s="371"/>
      <c r="M34" s="371"/>
      <c r="N34" s="371"/>
      <c r="O34" s="371"/>
      <c r="P34" s="371"/>
      <c r="Q34" s="371"/>
      <c r="R34" s="371"/>
    </row>
    <row r="35" spans="1:18" s="106" customFormat="1" ht="18" x14ac:dyDescent="0.3">
      <c r="A35" s="370" t="s">
        <v>278</v>
      </c>
      <c r="B35" s="370"/>
      <c r="C35" s="370"/>
      <c r="D35" s="370"/>
      <c r="E35" s="370"/>
      <c r="F35" s="370"/>
      <c r="G35" s="370"/>
      <c r="H35" s="370"/>
      <c r="I35" s="370"/>
      <c r="J35" s="370"/>
      <c r="K35" s="370"/>
      <c r="L35" s="370"/>
      <c r="M35" s="370"/>
      <c r="N35" s="370"/>
      <c r="O35" s="370"/>
      <c r="P35" s="370"/>
      <c r="Q35" s="370"/>
      <c r="R35" s="370"/>
    </row>
    <row r="36" spans="1:18" s="63" customFormat="1" ht="15.6" x14ac:dyDescent="0.3">
      <c r="A36" s="77" t="s">
        <v>23</v>
      </c>
      <c r="B36" s="91">
        <v>2005</v>
      </c>
      <c r="C36" s="64">
        <v>2005</v>
      </c>
      <c r="D36" s="64">
        <v>2006</v>
      </c>
      <c r="E36" s="64">
        <v>2007</v>
      </c>
      <c r="F36" s="64">
        <v>2008</v>
      </c>
      <c r="G36" s="64">
        <v>2009</v>
      </c>
      <c r="H36" s="64">
        <v>2010</v>
      </c>
      <c r="I36" s="64">
        <v>2011</v>
      </c>
      <c r="J36" s="65">
        <v>2012</v>
      </c>
      <c r="K36" s="65">
        <v>2013</v>
      </c>
      <c r="L36" s="65">
        <v>2014</v>
      </c>
      <c r="M36" s="65">
        <v>2015</v>
      </c>
      <c r="N36" s="65">
        <v>2016</v>
      </c>
      <c r="O36" s="65">
        <v>2017</v>
      </c>
      <c r="P36" s="65">
        <v>2018</v>
      </c>
      <c r="Q36" s="336">
        <v>2019</v>
      </c>
      <c r="R36" s="337">
        <v>2020</v>
      </c>
    </row>
    <row r="37" spans="1:18" s="63" customFormat="1" ht="15.6" x14ac:dyDescent="0.3">
      <c r="A37" s="76" t="s">
        <v>24</v>
      </c>
      <c r="B37" s="108" t="s">
        <v>152</v>
      </c>
      <c r="C37" s="107" t="s">
        <v>152</v>
      </c>
      <c r="D37" s="107" t="s">
        <v>152</v>
      </c>
      <c r="E37" s="107" t="s">
        <v>152</v>
      </c>
      <c r="F37" s="107" t="s">
        <v>152</v>
      </c>
      <c r="G37" s="107" t="s">
        <v>152</v>
      </c>
      <c r="H37" s="107" t="s">
        <v>152</v>
      </c>
      <c r="I37" s="107" t="s">
        <v>152</v>
      </c>
      <c r="J37" s="107" t="s">
        <v>152</v>
      </c>
      <c r="K37" s="107" t="s">
        <v>152</v>
      </c>
      <c r="L37" s="107" t="s">
        <v>152</v>
      </c>
      <c r="M37" s="107" t="s">
        <v>152</v>
      </c>
      <c r="N37" s="107" t="s">
        <v>152</v>
      </c>
      <c r="O37" s="107" t="s">
        <v>152</v>
      </c>
      <c r="P37" s="107" t="s">
        <v>152</v>
      </c>
      <c r="Q37" s="107" t="s">
        <v>152</v>
      </c>
      <c r="R37" s="286">
        <v>0</v>
      </c>
    </row>
    <row r="38" spans="1:18" s="63" customFormat="1" ht="15.6" x14ac:dyDescent="0.3">
      <c r="A38" s="75" t="s">
        <v>25</v>
      </c>
      <c r="B38" s="170" t="s">
        <v>152</v>
      </c>
      <c r="C38" s="67" t="s">
        <v>152</v>
      </c>
      <c r="D38" s="67" t="s">
        <v>152</v>
      </c>
      <c r="E38" s="67" t="s">
        <v>152</v>
      </c>
      <c r="F38" s="67" t="s">
        <v>152</v>
      </c>
      <c r="G38" s="107" t="s">
        <v>152</v>
      </c>
      <c r="H38" s="107" t="s">
        <v>152</v>
      </c>
      <c r="I38" s="107" t="s">
        <v>152</v>
      </c>
      <c r="J38" s="107" t="s">
        <v>152</v>
      </c>
      <c r="K38" s="107" t="s">
        <v>152</v>
      </c>
      <c r="L38" s="107" t="s">
        <v>152</v>
      </c>
      <c r="M38" s="107" t="s">
        <v>152</v>
      </c>
      <c r="N38" s="107" t="s">
        <v>152</v>
      </c>
      <c r="O38" s="107" t="s">
        <v>152</v>
      </c>
      <c r="P38" s="107" t="s">
        <v>152</v>
      </c>
      <c r="Q38" s="107" t="s">
        <v>152</v>
      </c>
      <c r="R38" s="287">
        <v>0</v>
      </c>
    </row>
    <row r="39" spans="1:18" s="63" customFormat="1" ht="15.6" x14ac:dyDescent="0.3">
      <c r="A39" s="75" t="s">
        <v>26</v>
      </c>
      <c r="B39" s="170" t="s">
        <v>152</v>
      </c>
      <c r="C39" s="67" t="s">
        <v>152</v>
      </c>
      <c r="D39" s="67" t="s">
        <v>152</v>
      </c>
      <c r="E39" s="67" t="s">
        <v>152</v>
      </c>
      <c r="F39" s="67" t="s">
        <v>152</v>
      </c>
      <c r="G39" s="107" t="s">
        <v>152</v>
      </c>
      <c r="H39" s="107" t="s">
        <v>152</v>
      </c>
      <c r="I39" s="107" t="s">
        <v>152</v>
      </c>
      <c r="J39" s="107" t="s">
        <v>152</v>
      </c>
      <c r="K39" s="107" t="s">
        <v>152</v>
      </c>
      <c r="L39" s="107" t="s">
        <v>152</v>
      </c>
      <c r="M39" s="107" t="s">
        <v>152</v>
      </c>
      <c r="N39" s="107" t="s">
        <v>152</v>
      </c>
      <c r="O39" s="107" t="s">
        <v>152</v>
      </c>
      <c r="P39" s="107" t="s">
        <v>152</v>
      </c>
      <c r="Q39" s="107" t="s">
        <v>152</v>
      </c>
      <c r="R39" s="287">
        <v>0</v>
      </c>
    </row>
    <row r="40" spans="1:18" s="63" customFormat="1" ht="15.6" x14ac:dyDescent="0.3">
      <c r="A40" s="75" t="s">
        <v>27</v>
      </c>
      <c r="B40" s="170" t="s">
        <v>152</v>
      </c>
      <c r="C40" s="67" t="s">
        <v>152</v>
      </c>
      <c r="D40" s="67" t="s">
        <v>152</v>
      </c>
      <c r="E40" s="67" t="s">
        <v>152</v>
      </c>
      <c r="F40" s="67" t="s">
        <v>152</v>
      </c>
      <c r="G40" s="107" t="s">
        <v>152</v>
      </c>
      <c r="H40" s="107" t="s">
        <v>152</v>
      </c>
      <c r="I40" s="107" t="s">
        <v>152</v>
      </c>
      <c r="J40" s="107" t="s">
        <v>152</v>
      </c>
      <c r="K40" s="107" t="s">
        <v>152</v>
      </c>
      <c r="L40" s="107" t="s">
        <v>152</v>
      </c>
      <c r="M40" s="107" t="s">
        <v>152</v>
      </c>
      <c r="N40" s="107" t="s">
        <v>152</v>
      </c>
      <c r="O40" s="107" t="s">
        <v>152</v>
      </c>
      <c r="P40" s="107" t="s">
        <v>152</v>
      </c>
      <c r="Q40" s="174" t="s">
        <v>152</v>
      </c>
      <c r="R40" s="287">
        <v>0</v>
      </c>
    </row>
    <row r="41" spans="1:18" s="63" customFormat="1" ht="15.6" x14ac:dyDescent="0.3">
      <c r="A41" s="75" t="s">
        <v>28</v>
      </c>
      <c r="B41" s="170" t="s">
        <v>152</v>
      </c>
      <c r="C41" s="67" t="s">
        <v>152</v>
      </c>
      <c r="D41" s="67" t="s">
        <v>152</v>
      </c>
      <c r="E41" s="67" t="s">
        <v>152</v>
      </c>
      <c r="F41" s="67" t="s">
        <v>152</v>
      </c>
      <c r="G41" s="107" t="s">
        <v>152</v>
      </c>
      <c r="H41" s="107" t="s">
        <v>152</v>
      </c>
      <c r="I41" s="107" t="s">
        <v>152</v>
      </c>
      <c r="J41" s="107" t="s">
        <v>152</v>
      </c>
      <c r="K41" s="107" t="s">
        <v>152</v>
      </c>
      <c r="L41" s="107" t="s">
        <v>152</v>
      </c>
      <c r="M41" s="107" t="s">
        <v>152</v>
      </c>
      <c r="N41" s="107" t="s">
        <v>152</v>
      </c>
      <c r="O41" s="107" t="s">
        <v>152</v>
      </c>
      <c r="P41" s="107" t="s">
        <v>152</v>
      </c>
      <c r="Q41" s="107" t="s">
        <v>152</v>
      </c>
      <c r="R41" s="287">
        <v>0</v>
      </c>
    </row>
    <row r="42" spans="1:18" s="63" customFormat="1" ht="15.6" x14ac:dyDescent="0.3">
      <c r="A42" s="75" t="s">
        <v>29</v>
      </c>
      <c r="B42" s="170" t="s">
        <v>152</v>
      </c>
      <c r="C42" s="67" t="s">
        <v>152</v>
      </c>
      <c r="D42" s="67" t="s">
        <v>152</v>
      </c>
      <c r="E42" s="67" t="s">
        <v>152</v>
      </c>
      <c r="F42" s="67" t="s">
        <v>152</v>
      </c>
      <c r="G42" s="107" t="s">
        <v>152</v>
      </c>
      <c r="H42" s="107" t="s">
        <v>152</v>
      </c>
      <c r="I42" s="107" t="s">
        <v>152</v>
      </c>
      <c r="J42" s="107" t="s">
        <v>152</v>
      </c>
      <c r="K42" s="107" t="s">
        <v>152</v>
      </c>
      <c r="L42" s="107" t="s">
        <v>152</v>
      </c>
      <c r="M42" s="107" t="s">
        <v>152</v>
      </c>
      <c r="N42" s="107" t="s">
        <v>152</v>
      </c>
      <c r="O42" s="107" t="s">
        <v>152</v>
      </c>
      <c r="P42" s="107" t="s">
        <v>152</v>
      </c>
      <c r="Q42" s="107" t="s">
        <v>152</v>
      </c>
      <c r="R42" s="287">
        <v>0</v>
      </c>
    </row>
    <row r="43" spans="1:18" s="63" customFormat="1" ht="15.6" x14ac:dyDescent="0.3">
      <c r="A43" s="75" t="s">
        <v>30</v>
      </c>
      <c r="B43" s="170" t="s">
        <v>152</v>
      </c>
      <c r="C43" s="67" t="s">
        <v>152</v>
      </c>
      <c r="D43" s="67" t="s">
        <v>152</v>
      </c>
      <c r="E43" s="67" t="s">
        <v>152</v>
      </c>
      <c r="F43" s="67" t="s">
        <v>152</v>
      </c>
      <c r="G43" s="107" t="s">
        <v>152</v>
      </c>
      <c r="H43" s="107" t="s">
        <v>152</v>
      </c>
      <c r="I43" s="107" t="s">
        <v>152</v>
      </c>
      <c r="J43" s="107" t="s">
        <v>152</v>
      </c>
      <c r="K43" s="107" t="s">
        <v>152</v>
      </c>
      <c r="L43" s="107" t="s">
        <v>152</v>
      </c>
      <c r="M43" s="107" t="s">
        <v>152</v>
      </c>
      <c r="N43" s="107" t="s">
        <v>152</v>
      </c>
      <c r="O43" s="107" t="s">
        <v>152</v>
      </c>
      <c r="P43" s="107" t="s">
        <v>152</v>
      </c>
      <c r="Q43" s="107" t="s">
        <v>152</v>
      </c>
      <c r="R43" s="291" t="s">
        <v>152</v>
      </c>
    </row>
    <row r="44" spans="1:18" s="63" customFormat="1" ht="15.6" x14ac:dyDescent="0.3">
      <c r="A44" s="75" t="s">
        <v>31</v>
      </c>
      <c r="B44" s="170" t="s">
        <v>152</v>
      </c>
      <c r="C44" s="67" t="s">
        <v>152</v>
      </c>
      <c r="D44" s="67" t="s">
        <v>152</v>
      </c>
      <c r="E44" s="67" t="s">
        <v>152</v>
      </c>
      <c r="F44" s="67" t="s">
        <v>152</v>
      </c>
      <c r="G44" s="107" t="s">
        <v>152</v>
      </c>
      <c r="H44" s="107" t="s">
        <v>152</v>
      </c>
      <c r="I44" s="107" t="s">
        <v>152</v>
      </c>
      <c r="J44" s="107" t="s">
        <v>152</v>
      </c>
      <c r="K44" s="107" t="s">
        <v>152</v>
      </c>
      <c r="L44" s="107" t="s">
        <v>152</v>
      </c>
      <c r="M44" s="107" t="s">
        <v>152</v>
      </c>
      <c r="N44" s="107" t="s">
        <v>152</v>
      </c>
      <c r="O44" s="107" t="s">
        <v>152</v>
      </c>
      <c r="P44" s="107" t="s">
        <v>152</v>
      </c>
      <c r="Q44" s="107" t="s">
        <v>152</v>
      </c>
      <c r="R44" s="295" t="s">
        <v>152</v>
      </c>
    </row>
    <row r="45" spans="1:18" s="63" customFormat="1" ht="15.6" x14ac:dyDescent="0.3">
      <c r="A45" s="75" t="s">
        <v>32</v>
      </c>
      <c r="B45" s="170" t="s">
        <v>152</v>
      </c>
      <c r="C45" s="67" t="s">
        <v>152</v>
      </c>
      <c r="D45" s="67" t="s">
        <v>152</v>
      </c>
      <c r="E45" s="67" t="s">
        <v>152</v>
      </c>
      <c r="F45" s="67" t="s">
        <v>152</v>
      </c>
      <c r="G45" s="107" t="s">
        <v>152</v>
      </c>
      <c r="H45" s="107" t="s">
        <v>152</v>
      </c>
      <c r="I45" s="107" t="s">
        <v>152</v>
      </c>
      <c r="J45" s="107" t="s">
        <v>152</v>
      </c>
      <c r="K45" s="107" t="s">
        <v>152</v>
      </c>
      <c r="L45" s="107" t="s">
        <v>152</v>
      </c>
      <c r="M45" s="107" t="s">
        <v>152</v>
      </c>
      <c r="N45" s="107" t="s">
        <v>152</v>
      </c>
      <c r="O45" s="107" t="s">
        <v>152</v>
      </c>
      <c r="P45" s="107" t="s">
        <v>152</v>
      </c>
      <c r="Q45" s="107" t="s">
        <v>152</v>
      </c>
      <c r="R45" s="295" t="s">
        <v>152</v>
      </c>
    </row>
    <row r="46" spans="1:18" s="63" customFormat="1" ht="15.6" x14ac:dyDescent="0.3">
      <c r="A46" s="75" t="s">
        <v>33</v>
      </c>
      <c r="B46" s="170" t="s">
        <v>152</v>
      </c>
      <c r="C46" s="67" t="s">
        <v>152</v>
      </c>
      <c r="D46" s="67" t="s">
        <v>152</v>
      </c>
      <c r="E46" s="67" t="s">
        <v>152</v>
      </c>
      <c r="F46" s="67" t="s">
        <v>152</v>
      </c>
      <c r="G46" s="107" t="s">
        <v>152</v>
      </c>
      <c r="H46" s="107" t="s">
        <v>152</v>
      </c>
      <c r="I46" s="107" t="s">
        <v>152</v>
      </c>
      <c r="J46" s="107" t="s">
        <v>152</v>
      </c>
      <c r="K46" s="107" t="s">
        <v>152</v>
      </c>
      <c r="L46" s="107" t="s">
        <v>152</v>
      </c>
      <c r="M46" s="107" t="s">
        <v>152</v>
      </c>
      <c r="N46" s="107" t="s">
        <v>152</v>
      </c>
      <c r="O46" s="107" t="s">
        <v>152</v>
      </c>
      <c r="P46" s="107" t="s">
        <v>152</v>
      </c>
      <c r="Q46" s="107" t="s">
        <v>152</v>
      </c>
      <c r="R46" s="295" t="s">
        <v>152</v>
      </c>
    </row>
    <row r="47" spans="1:18" s="63" customFormat="1" ht="15.6" x14ac:dyDescent="0.3">
      <c r="A47" s="75" t="s">
        <v>34</v>
      </c>
      <c r="B47" s="170" t="s">
        <v>152</v>
      </c>
      <c r="C47" s="67" t="s">
        <v>152</v>
      </c>
      <c r="D47" s="67" t="s">
        <v>152</v>
      </c>
      <c r="E47" s="67" t="s">
        <v>152</v>
      </c>
      <c r="F47" s="67" t="s">
        <v>152</v>
      </c>
      <c r="G47" s="107" t="s">
        <v>152</v>
      </c>
      <c r="H47" s="107" t="s">
        <v>152</v>
      </c>
      <c r="I47" s="107" t="s">
        <v>152</v>
      </c>
      <c r="J47" s="107" t="s">
        <v>152</v>
      </c>
      <c r="K47" s="107" t="s">
        <v>152</v>
      </c>
      <c r="L47" s="107" t="s">
        <v>152</v>
      </c>
      <c r="M47" s="107" t="s">
        <v>152</v>
      </c>
      <c r="N47" s="107" t="s">
        <v>152</v>
      </c>
      <c r="O47" s="107" t="s">
        <v>152</v>
      </c>
      <c r="P47" s="107" t="s">
        <v>152</v>
      </c>
      <c r="Q47" s="107" t="s">
        <v>152</v>
      </c>
      <c r="R47" s="295" t="s">
        <v>152</v>
      </c>
    </row>
    <row r="48" spans="1:18" s="63" customFormat="1" ht="16.2" thickBot="1" x14ac:dyDescent="0.35">
      <c r="A48" s="88" t="s">
        <v>36</v>
      </c>
      <c r="B48" s="87" t="s">
        <v>152</v>
      </c>
      <c r="C48" s="72" t="s">
        <v>152</v>
      </c>
      <c r="D48" s="72" t="s">
        <v>152</v>
      </c>
      <c r="E48" s="72" t="s">
        <v>152</v>
      </c>
      <c r="F48" s="72" t="s">
        <v>152</v>
      </c>
      <c r="G48" s="192" t="s">
        <v>152</v>
      </c>
      <c r="H48" s="192" t="s">
        <v>152</v>
      </c>
      <c r="I48" s="192" t="s">
        <v>152</v>
      </c>
      <c r="J48" s="192" t="s">
        <v>152</v>
      </c>
      <c r="K48" s="192" t="s">
        <v>152</v>
      </c>
      <c r="L48" s="192" t="s">
        <v>152</v>
      </c>
      <c r="M48" s="192" t="s">
        <v>152</v>
      </c>
      <c r="N48" s="192" t="s">
        <v>152</v>
      </c>
      <c r="O48" s="192" t="s">
        <v>152</v>
      </c>
      <c r="P48" s="192" t="s">
        <v>152</v>
      </c>
      <c r="Q48" s="192" t="s">
        <v>152</v>
      </c>
      <c r="R48" s="292" t="s">
        <v>152</v>
      </c>
    </row>
    <row r="49" spans="1:21" s="63" customFormat="1" ht="16.2" thickTop="1" x14ac:dyDescent="0.3">
      <c r="A49" s="89" t="s">
        <v>37</v>
      </c>
      <c r="B49" s="90" t="s">
        <v>152</v>
      </c>
      <c r="C49" s="73" t="s">
        <v>152</v>
      </c>
      <c r="D49" s="73" t="s">
        <v>152</v>
      </c>
      <c r="E49" s="73" t="s">
        <v>152</v>
      </c>
      <c r="F49" s="73" t="s">
        <v>152</v>
      </c>
      <c r="G49" s="273">
        <f t="shared" ref="G49:R49" si="2">SUM(G37:G48)</f>
        <v>0</v>
      </c>
      <c r="H49" s="273">
        <f t="shared" si="2"/>
        <v>0</v>
      </c>
      <c r="I49" s="273">
        <f t="shared" si="2"/>
        <v>0</v>
      </c>
      <c r="J49" s="273">
        <f t="shared" si="2"/>
        <v>0</v>
      </c>
      <c r="K49" s="273">
        <f t="shared" si="2"/>
        <v>0</v>
      </c>
      <c r="L49" s="273">
        <f t="shared" si="2"/>
        <v>0</v>
      </c>
      <c r="M49" s="273">
        <f t="shared" si="2"/>
        <v>0</v>
      </c>
      <c r="N49" s="273">
        <f t="shared" si="2"/>
        <v>0</v>
      </c>
      <c r="O49" s="273">
        <f t="shared" si="2"/>
        <v>0</v>
      </c>
      <c r="P49" s="273">
        <f t="shared" si="2"/>
        <v>0</v>
      </c>
      <c r="Q49" s="273">
        <f t="shared" si="2"/>
        <v>0</v>
      </c>
      <c r="R49" s="288">
        <f t="shared" si="2"/>
        <v>0</v>
      </c>
    </row>
    <row r="50" spans="1:21" s="113" customFormat="1" ht="6.6" x14ac:dyDescent="0.3">
      <c r="A50" s="371" t="s">
        <v>174</v>
      </c>
      <c r="B50" s="371"/>
      <c r="C50" s="371"/>
      <c r="D50" s="371"/>
      <c r="E50" s="371"/>
      <c r="F50" s="371"/>
      <c r="G50" s="371"/>
      <c r="H50" s="371"/>
      <c r="I50" s="371"/>
      <c r="J50" s="371"/>
      <c r="K50" s="371"/>
      <c r="L50" s="371"/>
      <c r="M50" s="371"/>
      <c r="N50" s="371"/>
      <c r="O50" s="371"/>
      <c r="P50" s="371"/>
      <c r="Q50" s="371"/>
      <c r="R50" s="371"/>
    </row>
    <row r="51" spans="1:21" s="111" customFormat="1" ht="13.8" x14ac:dyDescent="0.3">
      <c r="A51" s="373" t="s">
        <v>263</v>
      </c>
      <c r="B51" s="373"/>
      <c r="C51" s="373"/>
      <c r="D51" s="373"/>
      <c r="E51" s="373"/>
      <c r="F51" s="373"/>
      <c r="G51" s="373"/>
      <c r="H51" s="373"/>
      <c r="I51" s="373"/>
      <c r="J51" s="373"/>
      <c r="K51" s="373"/>
      <c r="L51" s="373"/>
      <c r="M51" s="373"/>
      <c r="N51" s="373"/>
      <c r="O51" s="373"/>
      <c r="P51" s="373"/>
      <c r="Q51" s="373"/>
      <c r="R51" s="373"/>
      <c r="S51" s="373"/>
      <c r="T51" s="373"/>
    </row>
    <row r="52" spans="1:21" s="111" customFormat="1" ht="13.8" x14ac:dyDescent="0.3">
      <c r="A52" s="384" t="str">
        <f>'Local SUT'!A60</f>
        <v>Source:  Minnesota Department of Revenue, Tax Research Division, February 2021</v>
      </c>
      <c r="B52" s="384"/>
      <c r="C52" s="384"/>
      <c r="D52" s="384"/>
      <c r="E52" s="384"/>
      <c r="F52" s="384"/>
      <c r="G52" s="384"/>
      <c r="H52" s="384"/>
      <c r="I52" s="384"/>
      <c r="J52" s="384"/>
      <c r="K52" s="384"/>
      <c r="L52" s="384"/>
      <c r="M52" s="384"/>
      <c r="N52" s="384"/>
      <c r="O52" s="384"/>
      <c r="P52" s="384"/>
      <c r="Q52" s="384"/>
      <c r="R52" s="384"/>
      <c r="S52" s="384"/>
      <c r="T52" s="384"/>
      <c r="U52" s="384"/>
    </row>
    <row r="53" spans="1:21" s="111" customFormat="1" ht="13.8" x14ac:dyDescent="0.3">
      <c r="A53" s="379" t="s">
        <v>151</v>
      </c>
      <c r="B53" s="379"/>
      <c r="C53" s="379"/>
      <c r="D53" s="379"/>
      <c r="E53" s="379"/>
      <c r="F53" s="379"/>
      <c r="G53" s="379"/>
      <c r="H53" s="379"/>
      <c r="I53" s="379"/>
      <c r="J53" s="379"/>
      <c r="K53" s="379"/>
      <c r="L53" s="379"/>
      <c r="M53" s="379"/>
      <c r="N53" s="379"/>
      <c r="O53" s="379"/>
      <c r="P53" s="379"/>
      <c r="Q53" s="379"/>
      <c r="R53" s="379"/>
    </row>
    <row r="54" spans="1:21" x14ac:dyDescent="0.3">
      <c r="R54" s="117"/>
    </row>
  </sheetData>
  <mergeCells count="11">
    <mergeCell ref="A34:R34"/>
    <mergeCell ref="A1:V1"/>
    <mergeCell ref="A2:R2"/>
    <mergeCell ref="A3:S3"/>
    <mergeCell ref="A18:R18"/>
    <mergeCell ref="A19:S19"/>
    <mergeCell ref="A35:R35"/>
    <mergeCell ref="A50:R50"/>
    <mergeCell ref="A51:T51"/>
    <mergeCell ref="A52:U52"/>
    <mergeCell ref="A53:R53"/>
  </mergeCells>
  <pageMargins left="0.5" right="0" top="0.75" bottom="0.75" header="0.3" footer="0.3"/>
  <pageSetup scale="86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LongProperties xmlns="http://schemas.microsoft.com/office/2006/metadata/longProperties"/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escription0 xmlns="211dd078-3235-44cf-a109-48483326b644">Updated through 2015 and added tax rate</Description0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59984EA796BA24EA9AA4FECFFC2E6E4" ma:contentTypeVersion="1" ma:contentTypeDescription="Create a new document." ma:contentTypeScope="" ma:versionID="3ae0548c45599630c3e8153d7a41aebb">
  <xsd:schema xmlns:xsd="http://www.w3.org/2001/XMLSchema" xmlns:xs="http://www.w3.org/2001/XMLSchema" xmlns:p="http://schemas.microsoft.com/office/2006/metadata/properties" xmlns:ns2="9130277e-1076-48d8-8826-9168779647ca" xmlns:ns3="211dd078-3235-44cf-a109-48483326b644" targetNamespace="http://schemas.microsoft.com/office/2006/metadata/properties" ma:root="true" ma:fieldsID="d2869cca4aef90b173db35f1901a7eb0" ns2:_="" ns3:_="">
    <xsd:import namespace="9130277e-1076-48d8-8826-9168779647ca"/>
    <xsd:import namespace="211dd078-3235-44cf-a109-48483326b64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Description0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30277e-1076-48d8-8826-9168779647ca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11dd078-3235-44cf-a109-48483326b644" elementFormDefault="qualified">
    <xsd:import namespace="http://schemas.microsoft.com/office/2006/documentManagement/types"/>
    <xsd:import namespace="http://schemas.microsoft.com/office/infopath/2007/PartnerControls"/>
    <xsd:element name="Description0" ma:index="11" nillable="true" ma:displayName="Description" ma:internalName="Description0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5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Assembly>Microsoft.Office.DocumentManagement, Version=14.0.0.0, Culture=neutral, PublicKeyToken=71e9bce111e9429c</Assembly>
    <Class>Microsoft.Office.DocumentManagement.Internal.DocIdHandler</Class>
    <Data/>
    <Filter/>
  </Receiver>
</spe:Receivers>
</file>

<file path=customXml/itemProps1.xml><?xml version="1.0" encoding="utf-8"?>
<ds:datastoreItem xmlns:ds="http://schemas.openxmlformats.org/officeDocument/2006/customXml" ds:itemID="{ED9B9F63-0F60-4D7E-B425-FF880CBD3677}">
  <ds:schemaRefs>
    <ds:schemaRef ds:uri="http://schemas.microsoft.com/office/2006/metadata/longProperties"/>
  </ds:schemaRefs>
</ds:datastoreItem>
</file>

<file path=customXml/itemProps2.xml><?xml version="1.0" encoding="utf-8"?>
<ds:datastoreItem xmlns:ds="http://schemas.openxmlformats.org/officeDocument/2006/customXml" ds:itemID="{3EFD98FF-994E-49CE-BC58-29222F17B774}">
  <ds:schemaRefs>
    <ds:schemaRef ds:uri="http://schemas.microsoft.com/office/2006/documentManagement/types"/>
    <ds:schemaRef ds:uri="http://schemas.microsoft.com/office/2006/metadata/properties"/>
    <ds:schemaRef ds:uri="211dd078-3235-44cf-a109-48483326b644"/>
    <ds:schemaRef ds:uri="http://purl.org/dc/terms/"/>
    <ds:schemaRef ds:uri="9130277e-1076-48d8-8826-9168779647ca"/>
    <ds:schemaRef ds:uri="http://purl.org/dc/dcmitype/"/>
    <ds:schemaRef ds:uri="http://schemas.openxmlformats.org/package/2006/metadata/core-properties"/>
    <ds:schemaRef ds:uri="http://schemas.microsoft.com/office/infopath/2007/PartnerControls"/>
    <ds:schemaRef ds:uri="http://www.w3.org/XML/1998/namespace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A2A018D6-88AD-4526-8422-6A7DDAAA74D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130277e-1076-48d8-8826-9168779647ca"/>
    <ds:schemaRef ds:uri="211dd078-3235-44cf-a109-48483326b64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30E0D410-2B52-4533-8A79-95FC9F21C083}">
  <ds:schemaRefs>
    <ds:schemaRef ds:uri="http://schemas.microsoft.com/sharepoint/v3/contenttype/forms"/>
  </ds:schemaRefs>
</ds:datastoreItem>
</file>

<file path=customXml/itemProps5.xml><?xml version="1.0" encoding="utf-8"?>
<ds:datastoreItem xmlns:ds="http://schemas.openxmlformats.org/officeDocument/2006/customXml" ds:itemID="{C8975768-259E-4FCD-AAF3-D1607A0E3EEC}">
  <ds:schemaRefs>
    <ds:schemaRef ds:uri="http://schemas.microsoft.com/sharepoint/event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48</vt:i4>
      </vt:variant>
      <vt:variant>
        <vt:lpstr>Named Ranges</vt:lpstr>
      </vt:variant>
      <vt:variant>
        <vt:i4>12</vt:i4>
      </vt:variant>
    </vt:vector>
  </HeadingPairs>
  <TitlesOfParts>
    <vt:vector size="60" baseType="lpstr">
      <vt:lpstr>Local SUT</vt:lpstr>
      <vt:lpstr>Albert Lea</vt:lpstr>
      <vt:lpstr>Austin</vt:lpstr>
      <vt:lpstr>Baxter</vt:lpstr>
      <vt:lpstr>Bemidji</vt:lpstr>
      <vt:lpstr>Brainerd</vt:lpstr>
      <vt:lpstr>Clearwater</vt:lpstr>
      <vt:lpstr>Cloquet</vt:lpstr>
      <vt:lpstr>Detroit Lakes</vt:lpstr>
      <vt:lpstr>Duluth</vt:lpstr>
      <vt:lpstr>East Grand Forks</vt:lpstr>
      <vt:lpstr>Fairmont</vt:lpstr>
      <vt:lpstr>Fergus Falls</vt:lpstr>
      <vt:lpstr>GKWMLL Sanitary</vt:lpstr>
      <vt:lpstr>Hermantown</vt:lpstr>
      <vt:lpstr>Hutchinson</vt:lpstr>
      <vt:lpstr>Lanesboro</vt:lpstr>
      <vt:lpstr>Mankato</vt:lpstr>
      <vt:lpstr>Marshall</vt:lpstr>
      <vt:lpstr>Medford</vt:lpstr>
      <vt:lpstr>Minneapolis</vt:lpstr>
      <vt:lpstr>Moose Lake</vt:lpstr>
      <vt:lpstr>New London</vt:lpstr>
      <vt:lpstr>New Ulm</vt:lpstr>
      <vt:lpstr>North Mankato</vt:lpstr>
      <vt:lpstr>Owatonna</vt:lpstr>
      <vt:lpstr>Proctor</vt:lpstr>
      <vt:lpstr>Rochester</vt:lpstr>
      <vt:lpstr>Spicer</vt:lpstr>
      <vt:lpstr>St. Cloud Area</vt:lpstr>
      <vt:lpstr>St. Paul</vt:lpstr>
      <vt:lpstr>Two Harbors</vt:lpstr>
      <vt:lpstr>Walker</vt:lpstr>
      <vt:lpstr>Willmar</vt:lpstr>
      <vt:lpstr>Worthington</vt:lpstr>
      <vt:lpstr>Avon</vt:lpstr>
      <vt:lpstr>Blue Earth</vt:lpstr>
      <vt:lpstr>Cambridge</vt:lpstr>
      <vt:lpstr>Elk River</vt:lpstr>
      <vt:lpstr>Excelsior</vt:lpstr>
      <vt:lpstr>Int. Falls</vt:lpstr>
      <vt:lpstr>Rogers</vt:lpstr>
      <vt:lpstr>Glenwood</vt:lpstr>
      <vt:lpstr>Perham</vt:lpstr>
      <vt:lpstr>Virginia</vt:lpstr>
      <vt:lpstr>West St. Paul</vt:lpstr>
      <vt:lpstr>Sauk Centre</vt:lpstr>
      <vt:lpstr>Scanlon</vt:lpstr>
      <vt:lpstr>Cloquet!Print_Area</vt:lpstr>
      <vt:lpstr>'Detroit Lakes'!Print_Area</vt:lpstr>
      <vt:lpstr>'Local SUT'!Print_Area</vt:lpstr>
      <vt:lpstr>Minneapolis!Print_Area</vt:lpstr>
      <vt:lpstr>Rochester!Print_Area</vt:lpstr>
      <vt:lpstr>'St. Paul'!Print_Area</vt:lpstr>
      <vt:lpstr>Mankato!Print_Titles</vt:lpstr>
      <vt:lpstr>Marshall!Print_Titles</vt:lpstr>
      <vt:lpstr>Medford!Print_Titles</vt:lpstr>
      <vt:lpstr>Minneapolis!Print_Titles</vt:lpstr>
      <vt:lpstr>Rochester!Print_Titles</vt:lpstr>
      <vt:lpstr>'St. Paul'!Print_Titles</vt:lpstr>
    </vt:vector>
  </TitlesOfParts>
  <Company>Minnesota Department of Revenue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Local Sales and Use Tax Total Collections, CY 2007-2013</dc:title>
  <dc:creator>randy sanford</dc:creator>
  <cp:lastModifiedBy>Mitchell Schroeder</cp:lastModifiedBy>
  <cp:lastPrinted>2019-03-14T13:17:48Z</cp:lastPrinted>
  <dcterms:created xsi:type="dcterms:W3CDTF">2012-11-29T17:18:26Z</dcterms:created>
  <dcterms:modified xsi:type="dcterms:W3CDTF">2021-02-04T22:32:36Z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dlc_DocId">
    <vt:lpwstr>EHMXPVJQYS55-268-34</vt:lpwstr>
  </property>
  <property fmtid="{D5CDD505-2E9C-101B-9397-08002B2CF9AE}" pid="3" name="_dlc_DocIdItemGuid">
    <vt:lpwstr>79fb230d-ba90-4904-8218-cd0a9df15549</vt:lpwstr>
  </property>
  <property fmtid="{D5CDD505-2E9C-101B-9397-08002B2CF9AE}" pid="4" name="_dlc_DocIdUrl">
    <vt:lpwstr>http://extprod/research_stats/_layouts/DocIdRedir.aspx?ID=EHMXPVJQYS55-268-34, EHMXPVJQYS55-268-34</vt:lpwstr>
  </property>
</Properties>
</file>