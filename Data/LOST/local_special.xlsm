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TaxRes\Private\TaxRes Users\MSchroeder\Main File Repository\Local SUT\CY2020 through June\"/>
    </mc:Choice>
  </mc:AlternateContent>
  <xr:revisionPtr revIDLastSave="0" documentId="13_ncr:1_{4DF420D4-4205-46E7-B714-25725388EC76}" xr6:coauthVersionLast="45" xr6:coauthVersionMax="45" xr10:uidLastSave="{00000000-0000-0000-0000-000000000000}"/>
  <bookViews>
    <workbookView xWindow="-28920" yWindow="-120" windowWidth="29040" windowHeight="15990" tabRatio="862" xr2:uid="{00000000-000D-0000-FFFF-FFFF00000000}"/>
  </bookViews>
  <sheets>
    <sheet name="Lod&amp;Liq" sheetId="42" r:id="rId1"/>
    <sheet name="Goodhue" sheetId="68" state="hidden" r:id="rId2"/>
    <sheet name="Locally Administered" sheetId="60" state="hidden" r:id="rId3"/>
    <sheet name="Anoka" sheetId="61" state="hidden" r:id="rId4"/>
    <sheet name="Carver" sheetId="62" state="hidden" r:id="rId5"/>
    <sheet name="Dakota" sheetId="63" state="hidden" r:id="rId6"/>
    <sheet name="Hennepin" sheetId="64" state="hidden" r:id="rId7"/>
    <sheet name="Proctor" sheetId="57" state="hidden" r:id="rId8"/>
    <sheet name="Kandiyohi" sheetId="67" state="hidden" r:id="rId9"/>
    <sheet name="Ramsey" sheetId="65" state="hidden" r:id="rId10"/>
    <sheet name="Scott" sheetId="55" state="hidden" r:id="rId11"/>
    <sheet name="St. Louis" sheetId="56" state="hidden" r:id="rId12"/>
    <sheet name="Washington" sheetId="66" state="hidden" r:id="rId13"/>
    <sheet name="Otter Tail" sheetId="54" state="hidden" r:id="rId14"/>
    <sheet name="Carlton" sheetId="53" state="hidden" r:id="rId15"/>
    <sheet name="Beltrami" sheetId="52" state="hidden" r:id="rId16"/>
    <sheet name="Detroit Lakes" sheetId="43" state="hidden" r:id="rId17"/>
    <sheet name="Giants Ridge" sheetId="44" state="hidden" r:id="rId18"/>
    <sheet name="Mankato" sheetId="45" state="hidden" r:id="rId19"/>
    <sheet name="Minneapolis" sheetId="46" state="hidden" r:id="rId20"/>
    <sheet name="Marshall" sheetId="51" state="hidden" r:id="rId21"/>
    <sheet name="Rochester" sheetId="47" state="hidden" r:id="rId22"/>
    <sheet name="North Mankato" sheetId="71" state="hidden" r:id="rId23"/>
    <sheet name="St. Cloud" sheetId="48" state="hidden" r:id="rId24"/>
    <sheet name="St. Paul" sheetId="49" state="hidden" r:id="rId25"/>
    <sheet name="Metro Area Transit" sheetId="50" state="hidden" r:id="rId26"/>
    <sheet name="Willmar" sheetId="70" state="hidden" r:id="rId27"/>
    <sheet name="Rogers" sheetId="72" state="hidden" r:id="rId28"/>
    <sheet name="Sauk Centre" sheetId="73" state="hidden" r:id="rId29"/>
  </sheets>
  <definedNames>
    <definedName name="_xlnm.Print_Area" localSheetId="0">'Lod&amp;Liq'!$A$1:$I$65</definedName>
    <definedName name="_xlnm.Print_Area" localSheetId="20">Marshall!$A$1:$P$21</definedName>
    <definedName name="_xlnm.Print_Area" localSheetId="22">'North Mankato'!$A$1:$P$21</definedName>
    <definedName name="_xlnm.Print_Area" localSheetId="7">Proctor!$A$1:$P$21</definedName>
    <definedName name="_xlnm.Print_Titles" localSheetId="0">'Lod&amp;Liq'!$1:$2</definedName>
    <definedName name="_xlnm.Print_Titles" localSheetId="19">Minneapolis!$1:$2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0" i="73" l="1"/>
  <c r="R17" i="73"/>
  <c r="Q17" i="73"/>
  <c r="P17" i="73"/>
  <c r="O17" i="73"/>
  <c r="N17" i="73"/>
  <c r="M17" i="73"/>
  <c r="L17" i="73"/>
  <c r="K17" i="73"/>
  <c r="J17" i="73"/>
  <c r="I17" i="73"/>
  <c r="H17" i="73"/>
  <c r="G17" i="73"/>
  <c r="F17" i="73"/>
  <c r="E17" i="73"/>
  <c r="D17" i="73"/>
  <c r="C17" i="73"/>
  <c r="B17" i="73"/>
  <c r="A2" i="73"/>
  <c r="A20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C17" i="72"/>
  <c r="B17" i="72"/>
  <c r="A2" i="72"/>
  <c r="G16" i="42"/>
  <c r="G14" i="42"/>
  <c r="A20" i="71" l="1"/>
  <c r="R17" i="71"/>
  <c r="Q17" i="71"/>
  <c r="P17" i="71"/>
  <c r="O17" i="71"/>
  <c r="N17" i="71"/>
  <c r="M17" i="71"/>
  <c r="L17" i="71"/>
  <c r="K17" i="71"/>
  <c r="A2" i="71"/>
  <c r="G9" i="42"/>
  <c r="A20" i="70"/>
  <c r="R17" i="70"/>
  <c r="Q17" i="70"/>
  <c r="P17" i="70"/>
  <c r="O17" i="70"/>
  <c r="N17" i="70"/>
  <c r="M17" i="70"/>
  <c r="L17" i="70"/>
  <c r="K17" i="70"/>
  <c r="J17" i="70"/>
  <c r="I17" i="70"/>
  <c r="H17" i="70"/>
  <c r="G17" i="70"/>
  <c r="F17" i="70"/>
  <c r="E17" i="70"/>
  <c r="D17" i="70"/>
  <c r="C17" i="70"/>
  <c r="B17" i="70"/>
  <c r="A2" i="70"/>
  <c r="G19" i="42"/>
  <c r="A2" i="50" l="1"/>
  <c r="A2" i="66"/>
  <c r="A2" i="56"/>
  <c r="A2" i="55"/>
  <c r="A2" i="65"/>
  <c r="A2" i="54"/>
  <c r="A2" i="67"/>
  <c r="A2" i="64"/>
  <c r="A2" i="68"/>
  <c r="A2" i="63"/>
  <c r="A2" i="53"/>
  <c r="A2" i="62"/>
  <c r="A2" i="52"/>
  <c r="A2" i="61"/>
  <c r="A2" i="49"/>
  <c r="A2" i="48"/>
  <c r="A2" i="47"/>
  <c r="A2" i="57"/>
  <c r="A2" i="46"/>
  <c r="A2" i="51"/>
  <c r="A2" i="45"/>
  <c r="A2" i="44"/>
  <c r="A2" i="43" l="1"/>
  <c r="R17" i="50" l="1"/>
  <c r="R17" i="66"/>
  <c r="R17" i="56"/>
  <c r="R17" i="55"/>
  <c r="R17" i="65"/>
  <c r="R17" i="54"/>
  <c r="R17" i="67"/>
  <c r="R17" i="64"/>
  <c r="R17" i="68"/>
  <c r="R17" i="63"/>
  <c r="R17" i="53"/>
  <c r="R17" i="62"/>
  <c r="R17" i="52"/>
  <c r="R17" i="61"/>
  <c r="R33" i="49"/>
  <c r="R17" i="49"/>
  <c r="R33" i="48"/>
  <c r="R17" i="48"/>
  <c r="R17" i="47"/>
  <c r="R17" i="57"/>
  <c r="R65" i="46"/>
  <c r="R49" i="46"/>
  <c r="R33" i="46"/>
  <c r="R17" i="46"/>
  <c r="R17" i="51"/>
  <c r="R33" i="45"/>
  <c r="R17" i="45"/>
  <c r="R49" i="44"/>
  <c r="R33" i="44"/>
  <c r="R17" i="44"/>
  <c r="R17" i="43"/>
  <c r="O33" i="60" l="1"/>
  <c r="O23" i="60"/>
  <c r="O20" i="60"/>
  <c r="O16" i="60"/>
  <c r="O13" i="60"/>
  <c r="G52" i="42" l="1"/>
  <c r="Q17" i="56"/>
  <c r="A20" i="68" l="1"/>
  <c r="Q17" i="68"/>
  <c r="G45" i="42"/>
  <c r="Q17" i="50" l="1"/>
  <c r="Q17" i="66"/>
  <c r="Q17" i="55"/>
  <c r="Q17" i="65"/>
  <c r="Q17" i="54"/>
  <c r="Q17" i="67"/>
  <c r="Q17" i="64"/>
  <c r="Q17" i="63"/>
  <c r="Q17" i="53"/>
  <c r="Q17" i="62"/>
  <c r="Q17" i="52"/>
  <c r="Q17" i="61"/>
  <c r="C23" i="60" l="1"/>
  <c r="D23" i="60"/>
  <c r="E23" i="60"/>
  <c r="F23" i="60"/>
  <c r="G23" i="60"/>
  <c r="H23" i="60"/>
  <c r="I23" i="60"/>
  <c r="J23" i="60"/>
  <c r="K23" i="60"/>
  <c r="L23" i="60"/>
  <c r="M23" i="60"/>
  <c r="N23" i="60"/>
  <c r="B23" i="60"/>
  <c r="C16" i="60"/>
  <c r="D16" i="60"/>
  <c r="E16" i="60"/>
  <c r="F16" i="60"/>
  <c r="G16" i="60"/>
  <c r="H16" i="60"/>
  <c r="I16" i="60"/>
  <c r="J16" i="60"/>
  <c r="K16" i="60"/>
  <c r="L16" i="60"/>
  <c r="M16" i="60"/>
  <c r="N16" i="60"/>
  <c r="B16" i="60"/>
  <c r="C33" i="60"/>
  <c r="D33" i="60"/>
  <c r="E33" i="60"/>
  <c r="F33" i="60"/>
  <c r="G33" i="60"/>
  <c r="H33" i="60"/>
  <c r="I33" i="60"/>
  <c r="J33" i="60"/>
  <c r="K33" i="60"/>
  <c r="L33" i="60"/>
  <c r="M33" i="60"/>
  <c r="N33" i="60"/>
  <c r="B33" i="60"/>
  <c r="C20" i="60"/>
  <c r="D20" i="60"/>
  <c r="E20" i="60"/>
  <c r="F20" i="60"/>
  <c r="G20" i="60"/>
  <c r="H20" i="60"/>
  <c r="I20" i="60"/>
  <c r="J20" i="60"/>
  <c r="K20" i="60"/>
  <c r="L20" i="60"/>
  <c r="M20" i="60"/>
  <c r="N20" i="60"/>
  <c r="B20" i="60"/>
  <c r="C13" i="60"/>
  <c r="D13" i="60"/>
  <c r="E13" i="60"/>
  <c r="H13" i="60"/>
  <c r="I13" i="60"/>
  <c r="J13" i="60"/>
  <c r="K13" i="60"/>
  <c r="L13" i="60"/>
  <c r="M13" i="60"/>
  <c r="N13" i="60"/>
  <c r="B13" i="60"/>
  <c r="Q33" i="49" l="1"/>
  <c r="Q17" i="49"/>
  <c r="Q33" i="48"/>
  <c r="Q17" i="48"/>
  <c r="Q17" i="47"/>
  <c r="Q17" i="57"/>
  <c r="Q65" i="46"/>
  <c r="Q49" i="46"/>
  <c r="Q33" i="46"/>
  <c r="Q17" i="46"/>
  <c r="Q17" i="51"/>
  <c r="Q33" i="45"/>
  <c r="Q17" i="45"/>
  <c r="Q49" i="44"/>
  <c r="Q33" i="44"/>
  <c r="Q17" i="44"/>
  <c r="Q17" i="43" l="1"/>
  <c r="G47" i="42" l="1"/>
  <c r="G48" i="42" l="1"/>
  <c r="P17" i="50" l="1"/>
  <c r="P17" i="66"/>
  <c r="P17" i="56"/>
  <c r="P17" i="55"/>
  <c r="P17" i="54"/>
  <c r="P17" i="65"/>
  <c r="P17" i="67"/>
  <c r="P17" i="64"/>
  <c r="P17" i="63"/>
  <c r="P17" i="53"/>
  <c r="P17" i="62"/>
  <c r="P17" i="52"/>
  <c r="P17" i="61"/>
  <c r="P33" i="49" l="1"/>
  <c r="P17" i="49"/>
  <c r="P33" i="48"/>
  <c r="P17" i="48"/>
  <c r="P17" i="47"/>
  <c r="P17" i="57"/>
  <c r="P65" i="46" l="1"/>
  <c r="P49" i="46"/>
  <c r="P33" i="46"/>
  <c r="P17" i="46"/>
  <c r="P17" i="51"/>
  <c r="P33" i="45"/>
  <c r="P17" i="45"/>
  <c r="P49" i="44"/>
  <c r="P33" i="44"/>
  <c r="P17" i="44"/>
  <c r="A20" i="67" l="1"/>
  <c r="P17" i="43" l="1"/>
  <c r="E55" i="42" l="1"/>
  <c r="D55" i="42"/>
  <c r="C55" i="42"/>
  <c r="G49" i="42" l="1"/>
  <c r="G46" i="42"/>
  <c r="G44" i="42"/>
  <c r="G42" i="42" l="1"/>
  <c r="G40" i="42"/>
  <c r="A20" i="66" l="1"/>
  <c r="O17" i="66"/>
  <c r="A20" i="65"/>
  <c r="O17" i="65"/>
  <c r="A20" i="64"/>
  <c r="O17" i="64"/>
  <c r="A20" i="63"/>
  <c r="O17" i="63"/>
  <c r="A20" i="62"/>
  <c r="O17" i="62"/>
  <c r="A20" i="61"/>
  <c r="O17" i="61"/>
  <c r="O17" i="50" l="1"/>
  <c r="O17" i="56"/>
  <c r="O17" i="55"/>
  <c r="O17" i="54"/>
  <c r="O17" i="53"/>
  <c r="O17" i="52"/>
  <c r="O33" i="49"/>
  <c r="O17" i="49"/>
  <c r="O33" i="48"/>
  <c r="O17" i="48"/>
  <c r="O17" i="47"/>
  <c r="O17" i="57"/>
  <c r="O65" i="46"/>
  <c r="O49" i="46"/>
  <c r="O33" i="46"/>
  <c r="O17" i="46"/>
  <c r="O17" i="51"/>
  <c r="O33" i="45"/>
  <c r="O17" i="45"/>
  <c r="O49" i="44"/>
  <c r="O33" i="44"/>
  <c r="O17" i="44"/>
  <c r="O17" i="43"/>
  <c r="G56" i="42" l="1"/>
  <c r="G33" i="42"/>
  <c r="G32" i="42"/>
  <c r="G29" i="42"/>
  <c r="G51" i="42"/>
  <c r="G50" i="42"/>
  <c r="G43" i="42"/>
  <c r="G13" i="42"/>
  <c r="A36" i="60"/>
  <c r="G11" i="60"/>
  <c r="F11" i="60"/>
  <c r="G9" i="60"/>
  <c r="F9" i="60"/>
  <c r="A20" i="57"/>
  <c r="N17" i="57"/>
  <c r="M17" i="57"/>
  <c r="N17" i="50"/>
  <c r="A20" i="53"/>
  <c r="A20" i="52"/>
  <c r="A20" i="56"/>
  <c r="N17" i="56"/>
  <c r="M17" i="56"/>
  <c r="A20" i="55"/>
  <c r="N17" i="55"/>
  <c r="M17" i="55"/>
  <c r="A20" i="54"/>
  <c r="N17" i="54"/>
  <c r="N17" i="53"/>
  <c r="M17" i="53"/>
  <c r="N17" i="52"/>
  <c r="M17" i="52"/>
  <c r="L17" i="52"/>
  <c r="F55" i="42"/>
  <c r="B55" i="42"/>
  <c r="G41" i="42"/>
  <c r="G54" i="42"/>
  <c r="B33" i="49"/>
  <c r="B17" i="49"/>
  <c r="B33" i="48"/>
  <c r="B17" i="48"/>
  <c r="B17" i="47"/>
  <c r="B65" i="46"/>
  <c r="B49" i="46"/>
  <c r="B33" i="46"/>
  <c r="B17" i="46"/>
  <c r="N33" i="49"/>
  <c r="N17" i="49"/>
  <c r="N33" i="48"/>
  <c r="N17" i="48"/>
  <c r="N17" i="47"/>
  <c r="N65" i="46"/>
  <c r="N33" i="46"/>
  <c r="N49" i="46"/>
  <c r="N17" i="46"/>
  <c r="N17" i="51"/>
  <c r="N33" i="45"/>
  <c r="N17" i="45"/>
  <c r="N49" i="44"/>
  <c r="N33" i="44"/>
  <c r="N17" i="44"/>
  <c r="N17" i="43"/>
  <c r="M17" i="50"/>
  <c r="M33" i="49"/>
  <c r="M17" i="49"/>
  <c r="M33" i="48"/>
  <c r="M17" i="48"/>
  <c r="M17" i="47"/>
  <c r="M65" i="46"/>
  <c r="M49" i="46"/>
  <c r="M33" i="46"/>
  <c r="M17" i="46"/>
  <c r="M17" i="51"/>
  <c r="M17" i="45"/>
  <c r="M33" i="45"/>
  <c r="M49" i="44"/>
  <c r="M33" i="44"/>
  <c r="M17" i="44"/>
  <c r="M17" i="43"/>
  <c r="L17" i="50"/>
  <c r="L33" i="49"/>
  <c r="L17" i="49"/>
  <c r="L33" i="48"/>
  <c r="L17" i="48"/>
  <c r="L17" i="47"/>
  <c r="L65" i="46"/>
  <c r="L49" i="46"/>
  <c r="L33" i="46"/>
  <c r="L17" i="46"/>
  <c r="L17" i="51"/>
  <c r="L33" i="45"/>
  <c r="L17" i="45"/>
  <c r="L49" i="44"/>
  <c r="L33" i="44"/>
  <c r="L17" i="44"/>
  <c r="A20" i="43"/>
  <c r="L17" i="43"/>
  <c r="G22" i="42"/>
  <c r="G25" i="42"/>
  <c r="K17" i="51"/>
  <c r="A20" i="51"/>
  <c r="G11" i="42"/>
  <c r="G18" i="42"/>
  <c r="F37" i="42"/>
  <c r="E37" i="42"/>
  <c r="E57" i="42" s="1"/>
  <c r="D37" i="42"/>
  <c r="D57" i="42" s="1"/>
  <c r="C37" i="42"/>
  <c r="C57" i="42" s="1"/>
  <c r="B37" i="42"/>
  <c r="I17" i="50"/>
  <c r="H17" i="50"/>
  <c r="G17" i="50"/>
  <c r="F17" i="50"/>
  <c r="J17" i="50"/>
  <c r="K17" i="50"/>
  <c r="A22" i="50"/>
  <c r="I33" i="49"/>
  <c r="H33" i="49"/>
  <c r="G33" i="49"/>
  <c r="F33" i="49"/>
  <c r="E33" i="49"/>
  <c r="D33" i="49"/>
  <c r="C33" i="49"/>
  <c r="J33" i="49"/>
  <c r="K33" i="49"/>
  <c r="I17" i="49"/>
  <c r="H17" i="49"/>
  <c r="G17" i="49"/>
  <c r="F17" i="49"/>
  <c r="E17" i="49"/>
  <c r="D17" i="49"/>
  <c r="C17" i="49"/>
  <c r="J17" i="49"/>
  <c r="K17" i="49"/>
  <c r="A36" i="49"/>
  <c r="I33" i="48"/>
  <c r="H33" i="48"/>
  <c r="G33" i="48"/>
  <c r="F33" i="48"/>
  <c r="E33" i="48"/>
  <c r="D33" i="48"/>
  <c r="C33" i="48"/>
  <c r="J33" i="48"/>
  <c r="K33" i="48"/>
  <c r="I17" i="48"/>
  <c r="H17" i="48"/>
  <c r="G17" i="48"/>
  <c r="F17" i="48"/>
  <c r="E17" i="48"/>
  <c r="D17" i="48"/>
  <c r="C17" i="48"/>
  <c r="J17" i="48"/>
  <c r="K17" i="48"/>
  <c r="A36" i="48"/>
  <c r="I17" i="47"/>
  <c r="H17" i="47"/>
  <c r="G17" i="47"/>
  <c r="F17" i="47"/>
  <c r="E17" i="47"/>
  <c r="D17" i="47"/>
  <c r="C17" i="47"/>
  <c r="J17" i="47"/>
  <c r="K17" i="47"/>
  <c r="A20" i="47"/>
  <c r="I65" i="46"/>
  <c r="H65" i="46"/>
  <c r="G65" i="46"/>
  <c r="F65" i="46"/>
  <c r="E65" i="46"/>
  <c r="D65" i="46"/>
  <c r="C65" i="46"/>
  <c r="J65" i="46"/>
  <c r="K65" i="46"/>
  <c r="I49" i="46"/>
  <c r="H49" i="46"/>
  <c r="G49" i="46"/>
  <c r="F49" i="46"/>
  <c r="E49" i="46"/>
  <c r="D49" i="46"/>
  <c r="C49" i="46"/>
  <c r="J49" i="46"/>
  <c r="K49" i="46"/>
  <c r="I33" i="46"/>
  <c r="H33" i="46"/>
  <c r="G33" i="46"/>
  <c r="F33" i="46"/>
  <c r="E33" i="46"/>
  <c r="D33" i="46"/>
  <c r="C33" i="46"/>
  <c r="J33" i="46"/>
  <c r="K33" i="46"/>
  <c r="I17" i="46"/>
  <c r="H17" i="46"/>
  <c r="G17" i="46"/>
  <c r="F17" i="46"/>
  <c r="E17" i="46"/>
  <c r="D17" i="46"/>
  <c r="C17" i="46"/>
  <c r="J17" i="46"/>
  <c r="K17" i="46"/>
  <c r="A68" i="46"/>
  <c r="I33" i="45"/>
  <c r="H33" i="45"/>
  <c r="G33" i="45"/>
  <c r="J33" i="45"/>
  <c r="K33" i="45"/>
  <c r="I17" i="45"/>
  <c r="H17" i="45"/>
  <c r="G17" i="45"/>
  <c r="J17" i="45"/>
  <c r="K17" i="45"/>
  <c r="A36" i="45"/>
  <c r="I49" i="44"/>
  <c r="J49" i="44"/>
  <c r="K49" i="44"/>
  <c r="I33" i="44"/>
  <c r="J33" i="44"/>
  <c r="K33" i="44"/>
  <c r="A52" i="44"/>
  <c r="I17" i="44"/>
  <c r="J17" i="44"/>
  <c r="K17" i="44"/>
  <c r="I17" i="43"/>
  <c r="J17" i="43"/>
  <c r="K17" i="43"/>
  <c r="G10" i="42"/>
  <c r="G8" i="42"/>
  <c r="G7" i="42"/>
  <c r="G35" i="42"/>
  <c r="G15" i="42"/>
  <c r="G36" i="42"/>
  <c r="G34" i="42"/>
  <c r="G31" i="42"/>
  <c r="G30" i="42"/>
  <c r="G28" i="42"/>
  <c r="G27" i="42"/>
  <c r="G26" i="42"/>
  <c r="G24" i="42"/>
  <c r="G23" i="42"/>
  <c r="G21" i="42"/>
  <c r="G17" i="42"/>
  <c r="G12" i="42"/>
  <c r="F13" i="60" l="1"/>
  <c r="G13" i="60"/>
  <c r="G55" i="42"/>
  <c r="B57" i="42"/>
  <c r="F57" i="42"/>
  <c r="G37" i="42"/>
  <c r="G57" i="42" l="1"/>
</calcChain>
</file>

<file path=xl/sharedStrings.xml><?xml version="1.0" encoding="utf-8"?>
<sst xmlns="http://schemas.openxmlformats.org/spreadsheetml/2006/main" count="5093" uniqueCount="171">
  <si>
    <t>Rochester</t>
  </si>
  <si>
    <t>Duluth</t>
  </si>
  <si>
    <t>Mankato</t>
  </si>
  <si>
    <t>Minneapolis</t>
  </si>
  <si>
    <t>New Ulm</t>
  </si>
  <si>
    <t>Proctor</t>
  </si>
  <si>
    <t>St. Cloud</t>
  </si>
  <si>
    <t>St. Paul</t>
  </si>
  <si>
    <t>Total</t>
  </si>
  <si>
    <t>Liquor</t>
  </si>
  <si>
    <t>Food &amp; Beverage</t>
  </si>
  <si>
    <t>Entertainment</t>
  </si>
  <si>
    <t>Bloomington</t>
  </si>
  <si>
    <t>Winona</t>
  </si>
  <si>
    <t>Cook County</t>
  </si>
  <si>
    <t>Little Falls</t>
  </si>
  <si>
    <t>Two Harbors</t>
  </si>
  <si>
    <t>Detroit Lakes</t>
  </si>
  <si>
    <t>Month</t>
  </si>
  <si>
    <t xml:space="preserve">January 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</si>
  <si>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</si>
  <si>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</si>
  <si>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</si>
  <si>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</si>
  <si>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</si>
  <si>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</si>
  <si>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</si>
  <si>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</si>
  <si>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</si>
  <si>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 xml:space="preserve">November </t>
  </si>
  <si>
    <t>December</t>
  </si>
  <si>
    <t>Mankato Local Entertainment Tax (0.5%)</t>
  </si>
  <si>
    <t>Minneapolis Downtown Liquor Tax (3.0%)</t>
  </si>
  <si>
    <t xml:space="preserve">*  </t>
  </si>
  <si>
    <t>*Collections for November 2008 are included in December totals due to a new processing system.</t>
  </si>
  <si>
    <t>Minneapolis Downtown Restaurant (3.0%)</t>
  </si>
  <si>
    <t>*</t>
  </si>
  <si>
    <t>St. Cloud Local Liquor Tax (1.0%)</t>
  </si>
  <si>
    <t>Giants Ridge</t>
  </si>
  <si>
    <t>Brainerd</t>
  </si>
  <si>
    <t>Clearwater</t>
  </si>
  <si>
    <t>Worthington</t>
  </si>
  <si>
    <t>Baxter</t>
  </si>
  <si>
    <t>Metro Area Transit Improvement Local Excise Tax (Vehicle Excise)</t>
  </si>
  <si>
    <t xml:space="preserve">* </t>
  </si>
  <si>
    <t>Brooklyn Center</t>
  </si>
  <si>
    <t>Marshall</t>
  </si>
  <si>
    <t>Hutchinson</t>
  </si>
  <si>
    <t>Biwabik (Giants Ridge) Local Entertainment Tax (2.0%)</t>
  </si>
  <si>
    <t>Biwabik (Giants Ridge) Local Lodging Tax (2.0%)</t>
  </si>
  <si>
    <t>Rochester Local Lodging Tax (7.0%)</t>
  </si>
  <si>
    <t xml:space="preserve">  impose a tax of up to 3% under a general authorization provided in Minnesota Statutes, Section 469.190 for a local convention </t>
  </si>
  <si>
    <t xml:space="preserve">  or tourism bureau.  About 120 cities and towns levy lodging taxes under this general authorization that are not included here. </t>
  </si>
  <si>
    <t>Scott</t>
  </si>
  <si>
    <t>Metro Area Transit</t>
  </si>
  <si>
    <t>Beltrami</t>
  </si>
  <si>
    <t>City Total</t>
  </si>
  <si>
    <t>County Total</t>
  </si>
  <si>
    <t xml:space="preserve">All Subdivisions Total </t>
  </si>
  <si>
    <t>Carlton</t>
  </si>
  <si>
    <t>Otter Tail</t>
  </si>
  <si>
    <t>St. Louis</t>
  </si>
  <si>
    <t>Proctor Food &amp; Beverage Tax ( 1.0%)</t>
  </si>
  <si>
    <t>Locally Administered</t>
  </si>
  <si>
    <t xml:space="preserve">City </t>
  </si>
  <si>
    <t>Vehicle
Excise</t>
  </si>
  <si>
    <t>Anoka</t>
  </si>
  <si>
    <t>Carver</t>
  </si>
  <si>
    <t>Dakota</t>
  </si>
  <si>
    <t>Hennepin</t>
  </si>
  <si>
    <t>Ramsey</t>
  </si>
  <si>
    <t>Washington</t>
  </si>
  <si>
    <t>Minneapolis Local Lodging Tax (2.625% from 4/1/02 to 9/30/17; 2.125% starting 10/1/17) in addition to 3.0% Entertainment Tax</t>
  </si>
  <si>
    <t>end of worksheet</t>
  </si>
  <si>
    <t>-</t>
  </si>
  <si>
    <t>Kandiyohi</t>
  </si>
  <si>
    <r>
      <t>Lodging</t>
    </r>
    <r>
      <rPr>
        <b/>
        <vertAlign val="superscript"/>
        <sz val="12"/>
        <rFont val="Calibri"/>
        <family val="2"/>
        <scheme val="minor"/>
      </rPr>
      <t>2</t>
    </r>
  </si>
  <si>
    <r>
      <rPr>
        <vertAlign val="superscript"/>
        <sz val="10"/>
        <rFont val="Calibri"/>
        <family val="2"/>
        <scheme val="minor"/>
      </rPr>
      <t>1</t>
    </r>
    <r>
      <rPr>
        <sz val="10"/>
        <rFont val="Calibri"/>
        <family val="2"/>
        <scheme val="minor"/>
      </rPr>
      <t>Monthly collection data provided only for taxes administered by the Department of Revenue.</t>
    </r>
  </si>
  <si>
    <r>
      <rPr>
        <b/>
        <vertAlign val="super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 xml:space="preserve">Local lodging taxes are included in this table only if they are authorized under </t>
    </r>
    <r>
      <rPr>
        <i/>
        <sz val="10"/>
        <rFont val="Calibri"/>
        <family val="2"/>
        <scheme val="minor"/>
      </rPr>
      <t>special law</t>
    </r>
    <r>
      <rPr>
        <sz val="10"/>
        <rFont val="Calibri"/>
        <family val="2"/>
        <scheme val="minor"/>
      </rPr>
      <t>.  For lodging, a city or town may also</t>
    </r>
  </si>
  <si>
    <t>County</t>
  </si>
  <si>
    <t>Detroit Lakes Monthly Detail for Minnesota Special Sales &amp; Use Tax</t>
  </si>
  <si>
    <t>Detroit Lakes Local Restaurant Food &amp; Beverage Tax (1.0%)</t>
  </si>
  <si>
    <t>Hidden columns B-H do not contain any data for CY 2004-2010</t>
  </si>
  <si>
    <t>Biwabik (Giants Ridge) Monthly Detail for Minnesota Special Sales &amp; Use Tax</t>
  </si>
  <si>
    <t>This cell intentionally left blank</t>
  </si>
  <si>
    <t>Mankato Monthly Detail for Minnesota Special Sales &amp; Use Tax</t>
  </si>
  <si>
    <t>Hidden columns B-F do not contain any data for CY 2004-2008</t>
  </si>
  <si>
    <t>Hidden columns B-J do not contain any data for CY 2004-2012</t>
  </si>
  <si>
    <t>Marshall Monthly Detail for Minnesota Special Sales &amp; Use Tax</t>
  </si>
  <si>
    <t>Minneapolis Monthly Detail for Minnesota Special Sales &amp; Use Tax</t>
  </si>
  <si>
    <t>Hidden columns B-L do not contain any data for CY 2004-2014</t>
  </si>
  <si>
    <t xml:space="preserve">Proctor Monthly Detail for Minnesota Special Sales &amp; Use Tax </t>
  </si>
  <si>
    <t>Rochester Monthly Detail for Minnesota Special Sales &amp; Use Tax</t>
  </si>
  <si>
    <t>St. Cloud Monthly Detail for Minnesota Special Sales &amp; Use Tax</t>
  </si>
  <si>
    <t>St. Paul Monthly Detail for Minnesota Special Sales &amp; Use Tax</t>
  </si>
  <si>
    <t>Locally Administered Selective Sales &amp; Use Taxes</t>
  </si>
  <si>
    <t>Lodging Total</t>
  </si>
  <si>
    <t>Food &amp; Beverage Total</t>
  </si>
  <si>
    <t>Entertainment:</t>
  </si>
  <si>
    <t>Food &amp; Beverage:</t>
  </si>
  <si>
    <t>Liquor:</t>
  </si>
  <si>
    <t>Lodging:</t>
  </si>
  <si>
    <t>Entertainment Total</t>
  </si>
  <si>
    <t>Liquor Total</t>
  </si>
  <si>
    <t>Hidden columns B-N do not contain any data for CY 2004-2016</t>
  </si>
  <si>
    <t>Hidden columns B-K do not contain any data for CY 2004-2013</t>
  </si>
  <si>
    <t>Hidden columns B-O do not contain any data for CY 2004-2017</t>
  </si>
  <si>
    <t>Hidden columns B-M do not contain any data for CY 2004-2015</t>
  </si>
  <si>
    <t>Note: Tax ended September 30, 2017. Collections in later months are late tax payments or refunds.</t>
  </si>
  <si>
    <t>Hidden columns B-E do not contain any data for CY 2004-2007</t>
  </si>
  <si>
    <t>DOR administered</t>
  </si>
  <si>
    <t>Metro Area Transit Monthly Detail for Minnesota Special Sales &amp; Use Tax</t>
  </si>
  <si>
    <t>Table 4. Local Selective Sales &amp; Use Tax</t>
  </si>
  <si>
    <t>Anoka County Monthly Detail for Minnesota Local Sales &amp; Use Tax</t>
  </si>
  <si>
    <t>Beltrami County Monthly Detail for Minnesota Local Sales &amp; Use Tax</t>
  </si>
  <si>
    <t>Carver County Monthly Detail for Minnesota Local Sales &amp; Use Tax</t>
  </si>
  <si>
    <t>Carlton County Monthly Detail for Minnesota Local Sales &amp; Use Tax</t>
  </si>
  <si>
    <t>Dakota County Monthly Detail for Minnesota Local Sales &amp; Use Tax</t>
  </si>
  <si>
    <t>Hennepin County Monthly Detail for Minnesota Local Sales &amp; Use Tax</t>
  </si>
  <si>
    <t>Kandiyohi County Monthly Detail for Minnesota Local Sales &amp; Use Tax</t>
  </si>
  <si>
    <t>Otter Tail County Monthly Detail for Minnesota Local Sales &amp; Use Tax</t>
  </si>
  <si>
    <t>Ramsey County Monthly Detail for Minnesota Local Sales &amp; Use Tax</t>
  </si>
  <si>
    <t>Scott County Monthly Detail for Minnesota Local Sales &amp; Use Tax</t>
  </si>
  <si>
    <t>St. Louis County Monthly Detail for Minnesota Local Sales &amp; Use Tax</t>
  </si>
  <si>
    <t>Washington County Monthly Detail for Minnesota Local Sales &amp; Use Tax</t>
  </si>
  <si>
    <t xml:space="preserve">Note: Local Sales &amp; Use Tax for Worthington ended September 30, 2018. </t>
  </si>
  <si>
    <t>Note: Metro Area Transit Tax includes Anoka, Dakota, Hennepin, Ramsey, &amp; Washington Counties.</t>
  </si>
  <si>
    <t>Biwabik (Giants Ridge) Local Food &amp; Beverage Tax (1.0%)</t>
  </si>
  <si>
    <t>Mankato Local Food &amp; Beverage Tax (0.5%)</t>
  </si>
  <si>
    <t>Marshall Local Food &amp; Beverage Tax (1.5%)</t>
  </si>
  <si>
    <t>St. Cloud Local Food &amp; Beverage Tax (1.0%)</t>
  </si>
  <si>
    <t>St. Paul Local Lodging Tax - Less than 50 Rooms (3.0%)</t>
  </si>
  <si>
    <t>St. Paul Local Lodging Tax - 50 Rooms or More (6.0%)</t>
  </si>
  <si>
    <t>Anoka County Transit Vehicle Excise Tax ($20)</t>
  </si>
  <si>
    <t>Beltrami County Transit Vehicle Excise Tax ($20)</t>
  </si>
  <si>
    <t>Carver County Transit Vehicle Excise Tax ($20)</t>
  </si>
  <si>
    <t>Carlton County Transit Vehicle Excise Tax ($20)</t>
  </si>
  <si>
    <t>Dakota County Transit Vehicle Excise Tax ($20)</t>
  </si>
  <si>
    <t>Hennepin County Transit Vehicle Excise Tax ($20)</t>
  </si>
  <si>
    <t xml:space="preserve">Kandiyohi County Transit Vehicle Excise Tax ($20) </t>
  </si>
  <si>
    <t>Otter Tail County Transit Vehicle Excise Tax ($20)</t>
  </si>
  <si>
    <t>Ramsey County Transit Vehicle Excise Tax ($20)</t>
  </si>
  <si>
    <t>Scott County Transit Vehicle Excise Tax ($20)</t>
  </si>
  <si>
    <t>St. Louis County Transit Vehicle Excise Tax ($20)</t>
  </si>
  <si>
    <t>Washington County Transit Vehicle Excise Tax ($20)</t>
  </si>
  <si>
    <t>Goodhue</t>
  </si>
  <si>
    <t>Goodhue County Transit Vehicle Excise Tax ($20)</t>
  </si>
  <si>
    <t>Goodhue County Monthly Detail for Minnesota Local Sales &amp; Use Tax</t>
  </si>
  <si>
    <t>This cell is intentionally left blank</t>
  </si>
  <si>
    <t>Minneapolis Local Entertainment Tax - Includes Lodging (3%)</t>
  </si>
  <si>
    <t>CY 2006-2019</t>
  </si>
  <si>
    <t>Vehicle Excise - Cities Total</t>
  </si>
  <si>
    <t>Vehicle Excise - Cities:</t>
  </si>
  <si>
    <r>
      <t xml:space="preserve"> Locally Administered: For annual collections (2006 through 2019), </t>
    </r>
    <r>
      <rPr>
        <b/>
        <i/>
        <u/>
        <sz val="12"/>
        <rFont val="Calibri"/>
        <family val="2"/>
        <scheme val="minor"/>
      </rPr>
      <t>double</t>
    </r>
    <r>
      <rPr>
        <b/>
        <sz val="12"/>
        <rFont val="Calibri"/>
        <family val="2"/>
        <scheme val="minor"/>
      </rPr>
      <t xml:space="preserve"> click on link.</t>
    </r>
  </si>
  <si>
    <r>
      <t xml:space="preserve"> DOR Administered: For monthly collections (2004 through June 2020), </t>
    </r>
    <r>
      <rPr>
        <b/>
        <i/>
        <u/>
        <sz val="12"/>
        <rFont val="Calibri"/>
        <family val="2"/>
        <scheme val="minor"/>
      </rPr>
      <t>double</t>
    </r>
    <r>
      <rPr>
        <b/>
        <sz val="12"/>
        <rFont val="Calibri"/>
        <family val="2"/>
        <scheme val="minor"/>
      </rPr>
      <t xml:space="preserve"> click on links.</t>
    </r>
    <r>
      <rPr>
        <b/>
        <vertAlign val="superscript"/>
        <sz val="12"/>
        <rFont val="Calibri"/>
        <family val="2"/>
        <scheme val="minor"/>
      </rPr>
      <t>1</t>
    </r>
  </si>
  <si>
    <t>CY 2004-2020</t>
  </si>
  <si>
    <t>Willmar</t>
  </si>
  <si>
    <t>Willmar Monthly Detail for Minnesota Special Sales &amp; Use Tax</t>
  </si>
  <si>
    <t>Willmar Vehicle Excise ($20)</t>
  </si>
  <si>
    <t>North Mankato</t>
  </si>
  <si>
    <t>North Mankato Monthly Detail for Minnesota Special Sales &amp; Use Tax</t>
  </si>
  <si>
    <t>Hidden columns B-Q do not contain any data for CY 2004-2019</t>
  </si>
  <si>
    <t>North Mankato Local Food &amp; Beverage Tax (0.5%)</t>
  </si>
  <si>
    <t>Hidden columns B-P do not contain any data for CY 2004-2018</t>
  </si>
  <si>
    <t>Rogers</t>
  </si>
  <si>
    <t>Sauk Centre</t>
  </si>
  <si>
    <t>Rogers Monthly Detail for Minnesota Special Sales &amp; Use Tax</t>
  </si>
  <si>
    <t>Rogers Vehicle Excise ($20)</t>
  </si>
  <si>
    <t>Sauk Centre Monthly Detail for Minnesota Special Sales &amp; Use Tax</t>
  </si>
  <si>
    <t>Sauk Centre Vehicle Excise ($20)</t>
  </si>
  <si>
    <t>Source:  Minnesota Department of Revenue, Tax Research Division, February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</si>
</sst>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0_);_(@_)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Arial"/>
      <family val="2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color indexed="12"/>
      <name val="Calibri"/>
      <family val="2"/>
      <scheme val="minor"/>
    </font>
    <font>
      <sz val="12"/>
      <name val="Calibri"/>
      <family val="2"/>
      <scheme val="minor"/>
    </font>
    <font>
      <sz val="4"/>
      <name val="Calibri"/>
      <family val="2"/>
      <scheme val="minor"/>
    </font>
    <font>
      <i/>
      <sz val="10"/>
      <name val="Calibri"/>
      <family val="2"/>
      <scheme val="minor"/>
    </font>
    <font>
      <i/>
      <sz val="12"/>
      <name val="Calibri"/>
      <family val="2"/>
      <scheme val="minor"/>
    </font>
    <font>
      <b/>
      <i/>
      <u/>
      <sz val="12"/>
      <name val="Calibri"/>
      <family val="2"/>
      <scheme val="minor"/>
    </font>
    <font>
      <b/>
      <vertAlign val="superscript"/>
      <sz val="12"/>
      <name val="Calibri"/>
      <family val="2"/>
      <scheme val="minor"/>
    </font>
    <font>
      <b/>
      <sz val="4"/>
      <name val="Calibri"/>
      <family val="2"/>
      <scheme val="minor"/>
    </font>
    <font>
      <vertAlign val="superscript"/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i/>
      <u/>
      <sz val="12"/>
      <color indexed="12"/>
      <name val="Calibri"/>
      <family val="2"/>
      <scheme val="minor"/>
    </font>
    <font>
      <sz val="16"/>
      <name val="Calibri"/>
      <family val="2"/>
      <scheme val="minor"/>
    </font>
    <font>
      <sz val="4"/>
      <color theme="0"/>
      <name val="Calibri"/>
      <family val="2"/>
      <scheme val="minor"/>
    </font>
    <font>
      <sz val="14"/>
      <name val="Arial"/>
      <family val="2"/>
    </font>
    <font>
      <sz val="4"/>
      <name val="Arial"/>
      <family val="2"/>
    </font>
    <font>
      <sz val="12"/>
      <name val="Arial"/>
      <family val="2"/>
    </font>
    <font>
      <sz val="16"/>
      <name val="Arial"/>
      <family val="2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BCBEB"/>
        <bgColor indexed="64"/>
      </patternFill>
    </fill>
    <fill>
      <patternFill patternType="solid">
        <fgColor rgb="FF78BE21"/>
        <bgColor indexed="64"/>
      </patternFill>
    </fill>
    <fill>
      <patternFill patternType="solid">
        <fgColor rgb="FFD9D9D6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thin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dashed">
        <color indexed="64"/>
      </right>
      <top/>
      <bottom style="slantDashDot">
        <color indexed="64"/>
      </bottom>
      <diagonal/>
    </border>
    <border>
      <left style="dashed">
        <color indexed="64"/>
      </left>
      <right style="dashed">
        <color indexed="64"/>
      </right>
      <top/>
      <bottom style="slantDashDot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slantDashDot">
        <color indexed="64"/>
      </bottom>
      <diagonal/>
    </border>
    <border>
      <left/>
      <right/>
      <top style="thin">
        <color indexed="64"/>
      </top>
      <bottom style="slantDashDot">
        <color indexed="64"/>
      </bottom>
      <diagonal/>
    </border>
    <border>
      <left style="dashed">
        <color indexed="64"/>
      </left>
      <right/>
      <top style="thin">
        <color indexed="64"/>
      </top>
      <bottom style="slantDashDot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slantDashDot">
        <color indexed="64"/>
      </bottom>
      <diagonal/>
    </border>
    <border>
      <left/>
      <right style="thin">
        <color indexed="64"/>
      </right>
      <top style="thin">
        <color indexed="64"/>
      </top>
      <bottom style="slantDashDot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dashed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</borders>
  <cellStyleXfs count="10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0">
    <xf numFmtId="0" fontId="0" fillId="0" borderId="0" xfId="0"/>
    <xf numFmtId="0" fontId="5" fillId="0" borderId="0" xfId="0" applyFont="1" applyAlignment="1">
      <alignment vertical="center"/>
    </xf>
    <xf numFmtId="0" fontId="16" fillId="0" borderId="9" xfId="0" applyFont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center" vertical="center" wrapText="1"/>
      <protection locked="0"/>
    </xf>
    <xf numFmtId="0" fontId="13" fillId="0" borderId="11" xfId="0" applyFont="1" applyBorder="1" applyAlignment="1" applyProtection="1">
      <alignment horizontal="left" vertical="center" indent="1"/>
      <protection locked="0"/>
    </xf>
    <xf numFmtId="0" fontId="13" fillId="0" borderId="11" xfId="0" applyFont="1" applyFill="1" applyBorder="1" applyAlignment="1" applyProtection="1">
      <alignment horizontal="left" vertical="center" indent="1"/>
      <protection locked="0"/>
    </xf>
    <xf numFmtId="0" fontId="13" fillId="0" borderId="11" xfId="3" applyFont="1" applyBorder="1" applyAlignment="1" applyProtection="1">
      <alignment horizontal="left" vertical="center" indent="1"/>
      <protection locked="0"/>
    </xf>
    <xf numFmtId="0" fontId="11" fillId="3" borderId="13" xfId="0" applyFont="1" applyFill="1" applyBorder="1" applyAlignment="1" applyProtection="1">
      <alignment horizontal="center" vertical="center" wrapText="1"/>
      <protection locked="0"/>
    </xf>
    <xf numFmtId="0" fontId="11" fillId="3" borderId="8" xfId="0" applyFont="1" applyFill="1" applyBorder="1" applyAlignment="1" applyProtection="1">
      <alignment horizontal="center" vertical="center" wrapText="1"/>
      <protection locked="0"/>
    </xf>
    <xf numFmtId="0" fontId="11" fillId="3" borderId="14" xfId="0" applyFont="1" applyFill="1" applyBorder="1" applyAlignment="1" applyProtection="1">
      <alignment horizontal="center" vertical="center" wrapText="1"/>
      <protection locked="0"/>
    </xf>
    <xf numFmtId="0" fontId="11" fillId="3" borderId="15" xfId="0" applyFont="1" applyFill="1" applyBorder="1" applyAlignment="1" applyProtection="1">
      <alignment horizontal="center" vertical="center" wrapText="1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16" xfId="0" applyFont="1" applyFill="1" applyBorder="1" applyAlignment="1" applyProtection="1">
      <alignment horizontal="center" vertical="center" wrapText="1"/>
      <protection locked="0"/>
    </xf>
    <xf numFmtId="37" fontId="13" fillId="0" borderId="19" xfId="0" applyNumberFormat="1" applyFont="1" applyFill="1" applyBorder="1" applyAlignment="1" applyProtection="1">
      <alignment horizontal="right" vertical="center"/>
      <protection locked="0"/>
    </xf>
    <xf numFmtId="37" fontId="13" fillId="0" borderId="22" xfId="0" applyNumberFormat="1" applyFont="1" applyFill="1" applyBorder="1" applyAlignment="1" applyProtection="1">
      <alignment horizontal="right" vertical="center"/>
      <protection locked="0"/>
    </xf>
    <xf numFmtId="37" fontId="13" fillId="0" borderId="23" xfId="0" applyNumberFormat="1" applyFont="1" applyBorder="1" applyAlignment="1" applyProtection="1">
      <alignment horizontal="right" vertical="center"/>
      <protection locked="0"/>
    </xf>
    <xf numFmtId="37" fontId="13" fillId="0" borderId="23" xfId="1" applyNumberFormat="1" applyFont="1" applyBorder="1" applyAlignment="1" applyProtection="1">
      <alignment horizontal="right" vertical="center"/>
      <protection locked="0"/>
    </xf>
    <xf numFmtId="37" fontId="13" fillId="0" borderId="24" xfId="1" applyNumberFormat="1" applyFont="1" applyBorder="1" applyAlignment="1" applyProtection="1">
      <alignment vertical="center"/>
      <protection locked="0"/>
    </xf>
    <xf numFmtId="0" fontId="13" fillId="0" borderId="3" xfId="0" applyFont="1" applyBorder="1" applyAlignment="1" applyProtection="1">
      <alignment horizontal="left" vertical="center" indent="1"/>
      <protection locked="0"/>
    </xf>
    <xf numFmtId="37" fontId="13" fillId="0" borderId="26" xfId="1" applyNumberFormat="1" applyFont="1" applyBorder="1" applyAlignment="1" applyProtection="1">
      <alignment vertical="center"/>
      <protection locked="0"/>
    </xf>
    <xf numFmtId="37" fontId="13" fillId="0" borderId="28" xfId="0" applyNumberFormat="1" applyFont="1" applyFill="1" applyBorder="1" applyAlignment="1" applyProtection="1">
      <alignment horizontal="right" vertical="center"/>
      <protection locked="0"/>
    </xf>
    <xf numFmtId="37" fontId="13" fillId="0" borderId="4" xfId="1" applyNumberFormat="1" applyFont="1" applyBorder="1" applyAlignment="1" applyProtection="1">
      <alignment vertical="center"/>
      <protection locked="0"/>
    </xf>
    <xf numFmtId="37" fontId="13" fillId="0" borderId="20" xfId="0" applyNumberFormat="1" applyFont="1" applyFill="1" applyBorder="1" applyAlignment="1" applyProtection="1">
      <alignment horizontal="right" vertical="center"/>
      <protection locked="0"/>
    </xf>
    <xf numFmtId="37" fontId="13" fillId="0" borderId="22" xfId="0" applyNumberFormat="1" applyFont="1" applyBorder="1" applyAlignment="1" applyProtection="1">
      <alignment horizontal="right" vertical="center"/>
      <protection locked="0"/>
    </xf>
    <xf numFmtId="37" fontId="13" fillId="0" borderId="23" xfId="0" applyNumberFormat="1" applyFont="1" applyFill="1" applyBorder="1" applyAlignment="1" applyProtection="1">
      <alignment horizontal="right" vertical="center"/>
      <protection locked="0"/>
    </xf>
    <xf numFmtId="37" fontId="13" fillId="0" borderId="20" xfId="1" applyNumberFormat="1" applyFont="1" applyFill="1" applyBorder="1" applyAlignment="1" applyProtection="1">
      <alignment horizontal="right" vertical="center"/>
      <protection locked="0"/>
    </xf>
    <xf numFmtId="37" fontId="13" fillId="0" borderId="23" xfId="1" applyNumberFormat="1" applyFont="1" applyFill="1" applyBorder="1" applyAlignment="1" applyProtection="1">
      <alignment horizontal="right" vertical="center"/>
      <protection locked="0"/>
    </xf>
    <xf numFmtId="5" fontId="13" fillId="0" borderId="25" xfId="0" applyNumberFormat="1" applyFont="1" applyFill="1" applyBorder="1" applyAlignment="1" applyProtection="1">
      <alignment horizontal="right" vertical="center"/>
      <protection locked="0"/>
    </xf>
    <xf numFmtId="5" fontId="13" fillId="0" borderId="23" xfId="0" applyNumberFormat="1" applyFont="1" applyFill="1" applyBorder="1" applyAlignment="1" applyProtection="1">
      <alignment horizontal="right" vertical="center"/>
      <protection locked="0"/>
    </xf>
    <xf numFmtId="5" fontId="13" fillId="0" borderId="23" xfId="1" applyNumberFormat="1" applyFont="1" applyFill="1" applyBorder="1" applyAlignment="1" applyProtection="1">
      <alignment horizontal="right" vertical="center"/>
      <protection locked="0"/>
    </xf>
    <xf numFmtId="37" fontId="13" fillId="0" borderId="31" xfId="1" applyNumberFormat="1" applyFont="1" applyFill="1" applyBorder="1" applyAlignment="1" applyProtection="1">
      <alignment vertical="center"/>
      <protection locked="0"/>
    </xf>
    <xf numFmtId="5" fontId="13" fillId="0" borderId="29" xfId="0" applyNumberFormat="1" applyFont="1" applyFill="1" applyBorder="1" applyAlignment="1" applyProtection="1">
      <alignment horizontal="right" vertical="center"/>
      <protection locked="0"/>
    </xf>
    <xf numFmtId="37" fontId="13" fillId="0" borderId="26" xfId="0" applyNumberFormat="1" applyFont="1" applyFill="1" applyBorder="1" applyAlignment="1" applyProtection="1">
      <alignment horizontal="right" vertical="center"/>
      <protection locked="0"/>
    </xf>
    <xf numFmtId="37" fontId="13" fillId="0" borderId="24" xfId="1" applyNumberFormat="1" applyFont="1" applyFill="1" applyBorder="1" applyAlignment="1" applyProtection="1">
      <alignment vertical="center"/>
      <protection locked="0"/>
    </xf>
    <xf numFmtId="5" fontId="13" fillId="0" borderId="20" xfId="0" applyNumberFormat="1" applyFont="1" applyFill="1" applyBorder="1" applyAlignment="1" applyProtection="1">
      <alignment horizontal="right" vertical="center"/>
      <protection locked="0"/>
    </xf>
    <xf numFmtId="0" fontId="11" fillId="0" borderId="0" xfId="0" applyFont="1" applyAlignment="1">
      <alignment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1" fillId="0" borderId="3" xfId="0" applyFont="1" applyFill="1" applyBorder="1" applyAlignment="1">
      <alignment horizontal="center" vertical="center"/>
    </xf>
    <xf numFmtId="5" fontId="13" fillId="0" borderId="0" xfId="1" applyNumberFormat="1" applyFont="1" applyFill="1" applyBorder="1" applyAlignment="1">
      <alignment vertical="center"/>
    </xf>
    <xf numFmtId="5" fontId="13" fillId="0" borderId="0" xfId="0" applyNumberFormat="1" applyFont="1" applyFill="1" applyBorder="1" applyAlignment="1">
      <alignment vertical="center"/>
    </xf>
    <xf numFmtId="37" fontId="13" fillId="0" borderId="0" xfId="1" applyNumberFormat="1" applyFont="1" applyFill="1" applyBorder="1" applyAlignment="1">
      <alignment vertical="center"/>
    </xf>
    <xf numFmtId="37" fontId="13" fillId="0" borderId="0" xfId="0" applyNumberFormat="1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37" fontId="13" fillId="0" borderId="0" xfId="1" applyNumberFormat="1" applyFont="1" applyFill="1" applyBorder="1" applyAlignment="1">
      <alignment horizontal="left" vertical="center"/>
    </xf>
    <xf numFmtId="37" fontId="13" fillId="0" borderId="0" xfId="0" applyNumberFormat="1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37" fontId="13" fillId="0" borderId="3" xfId="1" applyNumberFormat="1" applyFont="1" applyFill="1" applyBorder="1" applyAlignment="1">
      <alignment vertical="center"/>
    </xf>
    <xf numFmtId="37" fontId="11" fillId="0" borderId="0" xfId="1" applyNumberFormat="1" applyFont="1" applyFill="1" applyBorder="1" applyAlignment="1">
      <alignment vertical="center"/>
    </xf>
    <xf numFmtId="3" fontId="13" fillId="0" borderId="0" xfId="0" applyNumberFormat="1" applyFont="1" applyAlignment="1">
      <alignment vertical="center"/>
    </xf>
    <xf numFmtId="3" fontId="11" fillId="0" borderId="0" xfId="0" applyNumberFormat="1" applyFont="1" applyBorder="1" applyAlignment="1">
      <alignment vertical="center"/>
    </xf>
    <xf numFmtId="3" fontId="14" fillId="0" borderId="0" xfId="0" applyNumberFormat="1" applyFont="1" applyAlignment="1">
      <alignment vertical="center"/>
    </xf>
    <xf numFmtId="3" fontId="19" fillId="0" borderId="0" xfId="0" applyNumberFormat="1" applyFont="1" applyBorder="1" applyAlignment="1">
      <alignment vertical="center"/>
    </xf>
    <xf numFmtId="0" fontId="14" fillId="0" borderId="0" xfId="0" applyFont="1" applyAlignment="1">
      <alignment vertical="center"/>
    </xf>
    <xf numFmtId="3" fontId="5" fillId="0" borderId="0" xfId="0" applyNumberFormat="1" applyFont="1" applyAlignment="1">
      <alignment vertical="center"/>
    </xf>
    <xf numFmtId="3" fontId="6" fillId="0" borderId="0" xfId="0" applyNumberFormat="1" applyFont="1" applyBorder="1" applyAlignment="1">
      <alignment vertical="center"/>
    </xf>
    <xf numFmtId="0" fontId="12" fillId="0" borderId="11" xfId="3" applyFont="1" applyBorder="1" applyAlignment="1" applyProtection="1">
      <alignment horizontal="left" vertical="center" indent="1"/>
    </xf>
    <xf numFmtId="0" fontId="12" fillId="0" borderId="11" xfId="3" applyFont="1" applyBorder="1" applyAlignment="1" applyProtection="1">
      <alignment horizontal="left" vertical="center" indent="1"/>
      <protection locked="0"/>
    </xf>
    <xf numFmtId="0" fontId="12" fillId="0" borderId="12" xfId="3" applyFont="1" applyBorder="1" applyAlignment="1" applyProtection="1">
      <alignment horizontal="left" vertical="center" indent="1"/>
      <protection locked="0"/>
    </xf>
    <xf numFmtId="3" fontId="13" fillId="0" borderId="3" xfId="0" applyNumberFormat="1" applyFont="1" applyBorder="1" applyAlignment="1">
      <alignment vertical="center"/>
    </xf>
    <xf numFmtId="0" fontId="12" fillId="0" borderId="3" xfId="3" applyFont="1" applyBorder="1" applyAlignment="1" applyProtection="1">
      <alignment horizontal="left" vertical="center" indent="1"/>
    </xf>
    <xf numFmtId="37" fontId="13" fillId="0" borderId="40" xfId="1" applyNumberFormat="1" applyFont="1" applyBorder="1" applyAlignment="1" applyProtection="1">
      <alignment vertical="center"/>
      <protection locked="0"/>
    </xf>
    <xf numFmtId="37" fontId="13" fillId="0" borderId="40" xfId="1" applyNumberFormat="1" applyFont="1" applyBorder="1" applyAlignment="1" applyProtection="1">
      <alignment horizontal="right" vertical="center"/>
      <protection locked="0"/>
    </xf>
    <xf numFmtId="37" fontId="13" fillId="0" borderId="35" xfId="1" applyNumberFormat="1" applyFont="1" applyBorder="1" applyAlignment="1" applyProtection="1">
      <alignment vertical="center"/>
      <protection locked="0"/>
    </xf>
    <xf numFmtId="37" fontId="13" fillId="0" borderId="42" xfId="0" applyNumberFormat="1" applyFont="1" applyFill="1" applyBorder="1" applyAlignment="1" applyProtection="1">
      <alignment horizontal="right" vertical="center"/>
      <protection locked="0"/>
    </xf>
    <xf numFmtId="37" fontId="13" fillId="0" borderId="41" xfId="1" applyNumberFormat="1" applyFont="1" applyFill="1" applyBorder="1" applyAlignment="1" applyProtection="1">
      <alignment horizontal="right" vertical="center"/>
      <protection locked="0"/>
    </xf>
    <xf numFmtId="37" fontId="13" fillId="0" borderId="26" xfId="1" applyNumberFormat="1" applyFont="1" applyFill="1" applyBorder="1" applyAlignment="1" applyProtection="1">
      <alignment horizontal="right" vertical="center"/>
      <protection locked="0"/>
    </xf>
    <xf numFmtId="37" fontId="13" fillId="0" borderId="42" xfId="1" applyNumberFormat="1" applyFont="1" applyFill="1" applyBorder="1" applyAlignment="1" applyProtection="1">
      <alignment horizontal="right" vertical="center"/>
      <protection locked="0"/>
    </xf>
    <xf numFmtId="37" fontId="13" fillId="0" borderId="41" xfId="0" applyNumberFormat="1" applyFont="1" applyFill="1" applyBorder="1" applyAlignment="1" applyProtection="1">
      <alignment horizontal="right" vertical="center"/>
      <protection locked="0"/>
    </xf>
    <xf numFmtId="37" fontId="13" fillId="0" borderId="32" xfId="0" applyNumberFormat="1" applyFont="1" applyFill="1" applyBorder="1" applyAlignment="1" applyProtection="1">
      <alignment horizontal="right" vertical="center"/>
      <protection locked="0"/>
    </xf>
    <xf numFmtId="0" fontId="12" fillId="0" borderId="12" xfId="3" applyFont="1" applyBorder="1" applyAlignment="1" applyProtection="1">
      <alignment horizontal="left" vertical="center" indent="1"/>
    </xf>
    <xf numFmtId="0" fontId="16" fillId="0" borderId="1" xfId="0" applyFont="1" applyBorder="1" applyAlignment="1" applyProtection="1">
      <alignment horizontal="left" vertical="center"/>
      <protection locked="0"/>
    </xf>
    <xf numFmtId="0" fontId="12" fillId="0" borderId="43" xfId="3" applyFont="1" applyBorder="1" applyAlignment="1" applyProtection="1">
      <alignment horizontal="left" vertical="center" indent="1"/>
    </xf>
    <xf numFmtId="5" fontId="13" fillId="0" borderId="17" xfId="0" applyNumberFormat="1" applyFont="1" applyBorder="1" applyAlignment="1" applyProtection="1">
      <alignment horizontal="right" vertical="center"/>
      <protection locked="0"/>
    </xf>
    <xf numFmtId="5" fontId="13" fillId="0" borderId="37" xfId="0" applyNumberFormat="1" applyFont="1" applyBorder="1" applyAlignment="1" applyProtection="1">
      <alignment horizontal="right" vertical="center"/>
      <protection locked="0"/>
    </xf>
    <xf numFmtId="5" fontId="13" fillId="0" borderId="44" xfId="0" applyNumberFormat="1" applyFont="1" applyBorder="1" applyAlignment="1" applyProtection="1">
      <alignment horizontal="right" vertical="center"/>
      <protection locked="0"/>
    </xf>
    <xf numFmtId="0" fontId="10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3" fillId="0" borderId="45" xfId="0" applyFont="1" applyFill="1" applyBorder="1" applyAlignment="1" applyProtection="1">
      <alignment horizontal="left" vertical="center" indent="1"/>
      <protection locked="0"/>
    </xf>
    <xf numFmtId="37" fontId="13" fillId="0" borderId="48" xfId="1" applyNumberFormat="1" applyFont="1" applyBorder="1" applyAlignment="1" applyProtection="1">
      <alignment vertical="center"/>
      <protection locked="0"/>
    </xf>
    <xf numFmtId="0" fontId="13" fillId="0" borderId="50" xfId="0" applyFont="1" applyBorder="1" applyAlignment="1">
      <alignment horizontal="left" vertical="center" indent="1"/>
    </xf>
    <xf numFmtId="37" fontId="13" fillId="0" borderId="52" xfId="0" applyNumberFormat="1" applyFont="1" applyFill="1" applyBorder="1" applyAlignment="1" applyProtection="1">
      <alignment horizontal="right" vertical="center"/>
      <protection locked="0"/>
    </xf>
    <xf numFmtId="37" fontId="13" fillId="0" borderId="52" xfId="1" applyNumberFormat="1" applyFont="1" applyFill="1" applyBorder="1" applyAlignment="1" applyProtection="1">
      <alignment horizontal="right" vertical="center"/>
      <protection locked="0"/>
    </xf>
    <xf numFmtId="37" fontId="13" fillId="0" borderId="53" xfId="0" applyNumberFormat="1" applyFont="1" applyFill="1" applyBorder="1" applyAlignment="1" applyProtection="1">
      <alignment horizontal="right" vertical="center"/>
      <protection locked="0"/>
    </xf>
    <xf numFmtId="0" fontId="11" fillId="4" borderId="12" xfId="0" applyFont="1" applyFill="1" applyBorder="1" applyAlignment="1" applyProtection="1">
      <alignment horizontal="center" vertical="center"/>
      <protection locked="0"/>
    </xf>
    <xf numFmtId="165" fontId="13" fillId="0" borderId="21" xfId="9" applyNumberFormat="1" applyFont="1" applyBorder="1" applyAlignment="1" applyProtection="1">
      <alignment vertical="center"/>
      <protection locked="0"/>
    </xf>
    <xf numFmtId="165" fontId="13" fillId="0" borderId="30" xfId="1" applyNumberFormat="1" applyFont="1" applyFill="1" applyBorder="1" applyAlignment="1" applyProtection="1">
      <alignment vertical="center"/>
      <protection locked="0"/>
    </xf>
    <xf numFmtId="165" fontId="13" fillId="4" borderId="33" xfId="9" applyNumberFormat="1" applyFont="1" applyFill="1" applyBorder="1" applyAlignment="1" applyProtection="1">
      <alignment vertical="center"/>
      <protection locked="0"/>
    </xf>
    <xf numFmtId="165" fontId="13" fillId="4" borderId="34" xfId="9" applyNumberFormat="1" applyFont="1" applyFill="1" applyBorder="1" applyAlignment="1" applyProtection="1">
      <alignment vertical="center"/>
      <protection locked="0"/>
    </xf>
    <xf numFmtId="165" fontId="13" fillId="4" borderId="35" xfId="9" applyNumberFormat="1" applyFont="1" applyFill="1" applyBorder="1" applyAlignment="1" applyProtection="1">
      <alignment vertical="center"/>
      <protection locked="0"/>
    </xf>
    <xf numFmtId="165" fontId="13" fillId="4" borderId="6" xfId="9" applyNumberFormat="1" applyFont="1" applyFill="1" applyBorder="1" applyAlignment="1" applyProtection="1">
      <alignment vertical="center"/>
      <protection locked="0"/>
    </xf>
    <xf numFmtId="165" fontId="13" fillId="4" borderId="49" xfId="0" applyNumberFormat="1" applyFont="1" applyFill="1" applyBorder="1" applyAlignment="1" applyProtection="1">
      <alignment vertical="center"/>
      <protection locked="0"/>
    </xf>
    <xf numFmtId="165" fontId="13" fillId="4" borderId="34" xfId="0" applyNumberFormat="1" applyFont="1" applyFill="1" applyBorder="1" applyAlignment="1" applyProtection="1">
      <alignment vertical="center"/>
      <protection locked="0"/>
    </xf>
    <xf numFmtId="165" fontId="13" fillId="0" borderId="35" xfId="9" applyNumberFormat="1" applyFont="1" applyBorder="1" applyAlignment="1" applyProtection="1">
      <alignment vertical="center"/>
      <protection locked="0"/>
    </xf>
    <xf numFmtId="165" fontId="13" fillId="2" borderId="36" xfId="9" applyNumberFormat="1" applyFont="1" applyFill="1" applyBorder="1" applyAlignment="1" applyProtection="1">
      <alignment vertical="center"/>
      <protection locked="0"/>
    </xf>
    <xf numFmtId="165" fontId="13" fillId="2" borderId="38" xfId="9" applyNumberFormat="1" applyFont="1" applyFill="1" applyBorder="1" applyAlignment="1" applyProtection="1">
      <alignment vertical="center"/>
      <protection locked="0"/>
    </xf>
    <xf numFmtId="165" fontId="13" fillId="2" borderId="5" xfId="9" applyNumberFormat="1" applyFont="1" applyFill="1" applyBorder="1" applyAlignment="1" applyProtection="1">
      <alignment vertical="center"/>
      <protection locked="0"/>
    </xf>
    <xf numFmtId="165" fontId="13" fillId="2" borderId="39" xfId="9" applyNumberFormat="1" applyFont="1" applyFill="1" applyBorder="1" applyAlignment="1" applyProtection="1">
      <alignment vertical="center"/>
      <protection locked="0"/>
    </xf>
    <xf numFmtId="0" fontId="23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14" fillId="0" borderId="0" xfId="0" applyFont="1" applyBorder="1" applyAlignment="1">
      <alignment vertical="center"/>
    </xf>
    <xf numFmtId="5" fontId="13" fillId="0" borderId="25" xfId="0" applyNumberFormat="1" applyFont="1" applyBorder="1" applyAlignment="1">
      <alignment horizontal="right" vertical="center"/>
    </xf>
    <xf numFmtId="165" fontId="13" fillId="0" borderId="25" xfId="0" applyNumberFormat="1" applyFont="1" applyBorder="1" applyAlignment="1">
      <alignment horizontal="right" vertical="center"/>
    </xf>
    <xf numFmtId="37" fontId="13" fillId="0" borderId="25" xfId="0" applyNumberFormat="1" applyFont="1" applyBorder="1" applyAlignment="1">
      <alignment horizontal="right" vertical="center"/>
    </xf>
    <xf numFmtId="37" fontId="13" fillId="0" borderId="25" xfId="1" applyNumberFormat="1" applyFont="1" applyBorder="1" applyAlignment="1">
      <alignment horizontal="right" vertical="center"/>
    </xf>
    <xf numFmtId="5" fontId="13" fillId="0" borderId="23" xfId="0" applyNumberFormat="1" applyFont="1" applyBorder="1" applyAlignment="1">
      <alignment horizontal="right" vertical="center"/>
    </xf>
    <xf numFmtId="165" fontId="13" fillId="0" borderId="23" xfId="0" applyNumberFormat="1" applyFont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/>
    </xf>
    <xf numFmtId="0" fontId="11" fillId="3" borderId="15" xfId="0" applyNumberFormat="1" applyFont="1" applyFill="1" applyBorder="1" applyAlignment="1">
      <alignment horizontal="center" vertical="center"/>
    </xf>
    <xf numFmtId="5" fontId="13" fillId="2" borderId="34" xfId="0" applyNumberFormat="1" applyFont="1" applyFill="1" applyBorder="1" applyAlignment="1">
      <alignment horizontal="right" vertical="center"/>
    </xf>
    <xf numFmtId="165" fontId="13" fillId="2" borderId="34" xfId="0" applyNumberFormat="1" applyFont="1" applyFill="1" applyBorder="1" applyAlignment="1">
      <alignment horizontal="right" vertical="center"/>
    </xf>
    <xf numFmtId="37" fontId="13" fillId="0" borderId="55" xfId="1" applyNumberFormat="1" applyFont="1" applyBorder="1" applyAlignment="1">
      <alignment horizontal="right" vertical="center"/>
    </xf>
    <xf numFmtId="37" fontId="13" fillId="0" borderId="55" xfId="0" applyNumberFormat="1" applyFont="1" applyBorder="1" applyAlignment="1">
      <alignment horizontal="right" vertical="center"/>
    </xf>
    <xf numFmtId="0" fontId="11" fillId="3" borderId="56" xfId="0" applyFont="1" applyFill="1" applyBorder="1" applyAlignment="1">
      <alignment horizontal="center" vertical="center"/>
    </xf>
    <xf numFmtId="5" fontId="13" fillId="0" borderId="29" xfId="0" applyNumberFormat="1" applyFont="1" applyBorder="1" applyAlignment="1">
      <alignment horizontal="right" vertical="center"/>
    </xf>
    <xf numFmtId="37" fontId="13" fillId="0" borderId="26" xfId="0" applyNumberFormat="1" applyFont="1" applyBorder="1" applyAlignment="1">
      <alignment horizontal="right" vertical="center"/>
    </xf>
    <xf numFmtId="37" fontId="13" fillId="0" borderId="57" xfId="1" applyNumberFormat="1" applyFont="1" applyBorder="1" applyAlignment="1">
      <alignment horizontal="right" vertical="center"/>
    </xf>
    <xf numFmtId="5" fontId="13" fillId="2" borderId="42" xfId="0" applyNumberFormat="1" applyFont="1" applyFill="1" applyBorder="1" applyAlignment="1">
      <alignment horizontal="right" vertical="center"/>
    </xf>
    <xf numFmtId="0" fontId="11" fillId="3" borderId="10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left" vertical="center"/>
    </xf>
    <xf numFmtId="0" fontId="13" fillId="0" borderId="58" xfId="0" applyFont="1" applyBorder="1" applyAlignment="1">
      <alignment horizontal="left" vertical="center" indent="1"/>
    </xf>
    <xf numFmtId="0" fontId="13" fillId="0" borderId="59" xfId="0" applyFont="1" applyBorder="1" applyAlignment="1">
      <alignment horizontal="left" vertical="center" indent="1"/>
    </xf>
    <xf numFmtId="0" fontId="13" fillId="0" borderId="60" xfId="0" applyFont="1" applyBorder="1" applyAlignment="1">
      <alignment horizontal="left" vertical="center" inden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37" fontId="13" fillId="0" borderId="57" xfId="0" applyNumberFormat="1" applyFont="1" applyBorder="1" applyAlignment="1">
      <alignment horizontal="right" vertical="center"/>
    </xf>
    <xf numFmtId="0" fontId="13" fillId="2" borderId="42" xfId="0" applyFont="1" applyFill="1" applyBorder="1" applyAlignment="1">
      <alignment horizontal="right" vertical="center"/>
    </xf>
    <xf numFmtId="0" fontId="13" fillId="2" borderId="34" xfId="0" applyFont="1" applyFill="1" applyBorder="1" applyAlignment="1">
      <alignment horizontal="right" vertical="center"/>
    </xf>
    <xf numFmtId="165" fontId="13" fillId="0" borderId="25" xfId="1" applyNumberFormat="1" applyFont="1" applyBorder="1" applyAlignment="1">
      <alignment horizontal="right" vertical="center"/>
    </xf>
    <xf numFmtId="0" fontId="28" fillId="0" borderId="0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27" fillId="0" borderId="0" xfId="0" applyFont="1" applyBorder="1" applyAlignment="1">
      <alignment vertical="center"/>
    </xf>
    <xf numFmtId="0" fontId="26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164" fontId="5" fillId="0" borderId="0" xfId="0" applyNumberFormat="1" applyFont="1" applyBorder="1" applyAlignment="1">
      <alignment vertical="center"/>
    </xf>
    <xf numFmtId="164" fontId="13" fillId="0" borderId="25" xfId="1" applyNumberFormat="1" applyFont="1" applyBorder="1" applyAlignment="1">
      <alignment horizontal="right" vertical="center"/>
    </xf>
    <xf numFmtId="164" fontId="13" fillId="0" borderId="55" xfId="1" applyNumberFormat="1" applyFont="1" applyBorder="1" applyAlignment="1">
      <alignment horizontal="right" vertical="center"/>
    </xf>
    <xf numFmtId="37" fontId="13" fillId="0" borderId="26" xfId="1" applyNumberFormat="1" applyFont="1" applyBorder="1" applyAlignment="1">
      <alignment horizontal="right" vertical="center"/>
    </xf>
    <xf numFmtId="164" fontId="13" fillId="0" borderId="26" xfId="1" applyNumberFormat="1" applyFont="1" applyBorder="1" applyAlignment="1">
      <alignment horizontal="right" vertical="center"/>
    </xf>
    <xf numFmtId="164" fontId="13" fillId="0" borderId="57" xfId="1" applyNumberFormat="1" applyFont="1" applyBorder="1" applyAlignment="1">
      <alignment horizontal="right" vertical="center"/>
    </xf>
    <xf numFmtId="165" fontId="13" fillId="0" borderId="29" xfId="1" applyNumberFormat="1" applyFont="1" applyBorder="1" applyAlignment="1">
      <alignment horizontal="right" vertical="center"/>
    </xf>
    <xf numFmtId="165" fontId="13" fillId="0" borderId="23" xfId="1" applyNumberFormat="1" applyFont="1" applyBorder="1" applyAlignment="1">
      <alignment horizontal="right" vertical="center"/>
    </xf>
    <xf numFmtId="165" fontId="13" fillId="2" borderId="42" xfId="0" applyNumberFormat="1" applyFont="1" applyFill="1" applyBorder="1" applyAlignment="1">
      <alignment horizontal="right" vertical="center"/>
    </xf>
    <xf numFmtId="165" fontId="13" fillId="2" borderId="34" xfId="1" applyNumberFormat="1" applyFont="1" applyFill="1" applyBorder="1" applyAlignment="1">
      <alignment horizontal="right" vertical="center"/>
    </xf>
    <xf numFmtId="164" fontId="4" fillId="0" borderId="0" xfId="0" applyNumberFormat="1" applyFont="1" applyBorder="1" applyAlignment="1">
      <alignment vertical="center"/>
    </xf>
    <xf numFmtId="3" fontId="4" fillId="0" borderId="0" xfId="0" applyNumberFormat="1" applyFont="1" applyBorder="1" applyAlignment="1">
      <alignment vertical="center"/>
    </xf>
    <xf numFmtId="5" fontId="13" fillId="0" borderId="29" xfId="2" applyNumberFormat="1" applyFont="1" applyBorder="1" applyAlignment="1">
      <alignment horizontal="right" vertical="center"/>
    </xf>
    <xf numFmtId="5" fontId="13" fillId="0" borderId="23" xfId="2" applyNumberFormat="1" applyFont="1" applyBorder="1" applyAlignment="1">
      <alignment horizontal="right" vertical="center"/>
    </xf>
    <xf numFmtId="37" fontId="13" fillId="0" borderId="26" xfId="2" applyNumberFormat="1" applyFont="1" applyBorder="1" applyAlignment="1">
      <alignment horizontal="right" vertical="center"/>
    </xf>
    <xf numFmtId="37" fontId="13" fillId="0" borderId="25" xfId="2" applyNumberFormat="1" applyFont="1" applyBorder="1" applyAlignment="1">
      <alignment horizontal="right" vertical="center"/>
    </xf>
    <xf numFmtId="37" fontId="13" fillId="0" borderId="57" xfId="2" applyNumberFormat="1" applyFont="1" applyBorder="1" applyAlignment="1">
      <alignment horizontal="right" vertical="center"/>
    </xf>
    <xf numFmtId="37" fontId="13" fillId="0" borderId="55" xfId="2" applyNumberFormat="1" applyFont="1" applyBorder="1" applyAlignment="1">
      <alignment horizontal="right" vertical="center"/>
    </xf>
    <xf numFmtId="165" fontId="13" fillId="2" borderId="42" xfId="1" applyNumberFormat="1" applyFont="1" applyFill="1" applyBorder="1" applyAlignment="1">
      <alignment horizontal="right" vertical="center"/>
    </xf>
    <xf numFmtId="164" fontId="13" fillId="0" borderId="25" xfId="0" applyNumberFormat="1" applyFont="1" applyBorder="1" applyAlignment="1">
      <alignment horizontal="right" vertical="center"/>
    </xf>
    <xf numFmtId="164" fontId="13" fillId="0" borderId="23" xfId="1" applyNumberFormat="1" applyFont="1" applyBorder="1" applyAlignment="1">
      <alignment horizontal="right" vertical="center"/>
    </xf>
    <xf numFmtId="164" fontId="13" fillId="0" borderId="55" xfId="0" applyNumberFormat="1" applyFont="1" applyBorder="1" applyAlignment="1">
      <alignment horizontal="right" vertical="center"/>
    </xf>
    <xf numFmtId="165" fontId="13" fillId="0" borderId="55" xfId="1" applyNumberFormat="1" applyFont="1" applyBorder="1" applyAlignment="1">
      <alignment horizontal="right" vertical="center"/>
    </xf>
    <xf numFmtId="164" fontId="13" fillId="0" borderId="29" xfId="1" applyNumberFormat="1" applyFont="1" applyBorder="1" applyAlignment="1">
      <alignment horizontal="right" vertical="center"/>
    </xf>
    <xf numFmtId="165" fontId="13" fillId="0" borderId="26" xfId="1" applyNumberFormat="1" applyFont="1" applyBorder="1" applyAlignment="1">
      <alignment horizontal="right" vertical="center"/>
    </xf>
    <xf numFmtId="0" fontId="22" fillId="0" borderId="0" xfId="3" applyFont="1" applyAlignment="1" applyProtection="1"/>
    <xf numFmtId="0" fontId="29" fillId="3" borderId="10" xfId="0" applyFont="1" applyFill="1" applyBorder="1" applyAlignment="1">
      <alignment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30" fillId="0" borderId="1" xfId="0" applyFont="1" applyBorder="1" applyAlignment="1">
      <alignment horizontal="left" vertical="center"/>
    </xf>
    <xf numFmtId="0" fontId="13" fillId="0" borderId="11" xfId="0" applyFont="1" applyBorder="1" applyAlignment="1">
      <alignment horizontal="left" vertical="center" indent="1"/>
    </xf>
    <xf numFmtId="0" fontId="13" fillId="0" borderId="43" xfId="0" applyFont="1" applyBorder="1" applyAlignment="1">
      <alignment horizontal="left" vertical="center" indent="1"/>
    </xf>
    <xf numFmtId="165" fontId="13" fillId="0" borderId="23" xfId="0" applyNumberFormat="1" applyFont="1" applyBorder="1" applyAlignment="1">
      <alignment vertical="center"/>
    </xf>
    <xf numFmtId="0" fontId="23" fillId="0" borderId="0" xfId="0" applyFont="1" applyAlignment="1">
      <alignment vertical="center"/>
    </xf>
    <xf numFmtId="0" fontId="13" fillId="2" borderId="10" xfId="0" applyFont="1" applyFill="1" applyBorder="1" applyAlignment="1" applyProtection="1">
      <alignment horizontal="center" vertical="center"/>
      <protection locked="0"/>
    </xf>
    <xf numFmtId="0" fontId="13" fillId="2" borderId="11" xfId="0" applyFont="1" applyFill="1" applyBorder="1" applyAlignment="1">
      <alignment horizontal="left" vertical="center"/>
    </xf>
    <xf numFmtId="0" fontId="13" fillId="0" borderId="63" xfId="0" applyFont="1" applyBorder="1" applyAlignment="1">
      <alignment horizontal="left" vertical="center" indent="1"/>
    </xf>
    <xf numFmtId="165" fontId="13" fillId="2" borderId="34" xfId="0" applyNumberFormat="1" applyFont="1" applyFill="1" applyBorder="1" applyAlignment="1">
      <alignment vertical="center"/>
    </xf>
    <xf numFmtId="0" fontId="13" fillId="0" borderId="65" xfId="0" applyFont="1" applyBorder="1" applyAlignment="1">
      <alignment horizontal="left" vertical="center" indent="1"/>
    </xf>
    <xf numFmtId="0" fontId="13" fillId="2" borderId="68" xfId="0" applyFont="1" applyFill="1" applyBorder="1" applyAlignment="1">
      <alignment horizontal="left" vertical="center"/>
    </xf>
    <xf numFmtId="0" fontId="13" fillId="2" borderId="61" xfId="0" applyFont="1" applyFill="1" applyBorder="1" applyAlignment="1">
      <alignment vertical="center"/>
    </xf>
    <xf numFmtId="0" fontId="13" fillId="2" borderId="12" xfId="0" applyFont="1" applyFill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165" fontId="13" fillId="0" borderId="25" xfId="0" applyNumberFormat="1" applyFont="1" applyBorder="1" applyAlignment="1">
      <alignment vertical="center"/>
    </xf>
    <xf numFmtId="37" fontId="13" fillId="0" borderId="25" xfId="0" applyNumberFormat="1" applyFont="1" applyBorder="1" applyAlignment="1">
      <alignment vertical="center"/>
    </xf>
    <xf numFmtId="37" fontId="13" fillId="0" borderId="55" xfId="0" applyNumberFormat="1" applyFont="1" applyBorder="1" applyAlignment="1">
      <alignment vertical="center"/>
    </xf>
    <xf numFmtId="5" fontId="13" fillId="0" borderId="25" xfId="0" applyNumberFormat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5" fontId="13" fillId="0" borderId="26" xfId="0" applyNumberFormat="1" applyFont="1" applyBorder="1" applyAlignment="1">
      <alignment horizontal="right" vertical="center"/>
    </xf>
    <xf numFmtId="37" fontId="13" fillId="0" borderId="25" xfId="1" applyNumberFormat="1" applyFont="1" applyBorder="1" applyAlignment="1">
      <alignment vertical="center"/>
    </xf>
    <xf numFmtId="165" fontId="13" fillId="0" borderId="23" xfId="1" applyNumberFormat="1" applyFont="1" applyBorder="1" applyAlignment="1">
      <alignment vertical="center"/>
    </xf>
    <xf numFmtId="37" fontId="13" fillId="0" borderId="55" xfId="1" applyNumberFormat="1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165" fontId="13" fillId="0" borderId="54" xfId="1" applyNumberFormat="1" applyFont="1" applyFill="1" applyBorder="1" applyAlignment="1" applyProtection="1">
      <alignment vertical="center"/>
      <protection locked="0"/>
    </xf>
    <xf numFmtId="165" fontId="13" fillId="0" borderId="25" xfId="9" applyNumberFormat="1" applyFont="1" applyBorder="1" applyAlignment="1">
      <alignment vertical="center"/>
    </xf>
    <xf numFmtId="165" fontId="13" fillId="2" borderId="34" xfId="9" applyNumberFormat="1" applyFont="1" applyFill="1" applyBorder="1" applyAlignment="1">
      <alignment vertical="center"/>
    </xf>
    <xf numFmtId="165" fontId="13" fillId="0" borderId="23" xfId="9" applyNumberFormat="1" applyFont="1" applyBorder="1" applyAlignment="1">
      <alignment vertical="center"/>
    </xf>
    <xf numFmtId="5" fontId="13" fillId="0" borderId="22" xfId="0" applyNumberFormat="1" applyFont="1" applyFill="1" applyBorder="1" applyAlignment="1" applyProtection="1">
      <alignment horizontal="right" vertical="center"/>
      <protection locked="0"/>
    </xf>
    <xf numFmtId="37" fontId="13" fillId="0" borderId="27" xfId="0" applyNumberFormat="1" applyFont="1" applyFill="1" applyBorder="1" applyAlignment="1" applyProtection="1">
      <alignment horizontal="right" vertical="center"/>
      <protection locked="0"/>
    </xf>
    <xf numFmtId="37" fontId="13" fillId="0" borderId="28" xfId="1" applyNumberFormat="1" applyFont="1" applyFill="1" applyBorder="1" applyAlignment="1" applyProtection="1">
      <alignment horizontal="right" vertical="center"/>
      <protection locked="0"/>
    </xf>
    <xf numFmtId="37" fontId="13" fillId="0" borderId="25" xfId="0" applyNumberFormat="1" applyFont="1" applyFill="1" applyBorder="1" applyAlignment="1" applyProtection="1">
      <alignment horizontal="right" vertical="center"/>
      <protection locked="0"/>
    </xf>
    <xf numFmtId="37" fontId="13" fillId="0" borderId="25" xfId="1" applyNumberFormat="1" applyFont="1" applyFill="1" applyBorder="1" applyAlignment="1" applyProtection="1">
      <alignment horizontal="right" vertical="center"/>
      <protection locked="0"/>
    </xf>
    <xf numFmtId="37" fontId="13" fillId="0" borderId="46" xfId="0" applyNumberFormat="1" applyFont="1" applyFill="1" applyBorder="1" applyAlignment="1" applyProtection="1">
      <alignment horizontal="right" vertical="center"/>
      <protection locked="0"/>
    </xf>
    <xf numFmtId="37" fontId="13" fillId="0" borderId="47" xfId="0" applyNumberFormat="1" applyFont="1" applyFill="1" applyBorder="1" applyAlignment="1" applyProtection="1">
      <alignment horizontal="right" vertical="center"/>
      <protection locked="0"/>
    </xf>
    <xf numFmtId="37" fontId="13" fillId="0" borderId="47" xfId="1" applyNumberFormat="1" applyFont="1" applyFill="1" applyBorder="1" applyAlignment="1" applyProtection="1">
      <alignment horizontal="right" vertical="center"/>
      <protection locked="0"/>
    </xf>
    <xf numFmtId="0" fontId="5" fillId="0" borderId="0" xfId="0" applyFont="1" applyBorder="1" applyAlignment="1">
      <alignment horizontal="left" vertical="center"/>
    </xf>
    <xf numFmtId="0" fontId="24" fillId="0" borderId="0" xfId="0" applyFont="1" applyAlignment="1" applyProtection="1">
      <alignment horizontal="center" vertical="center"/>
      <protection locked="0"/>
    </xf>
    <xf numFmtId="37" fontId="13" fillId="0" borderId="3" xfId="1" applyNumberFormat="1" applyFont="1" applyFill="1" applyBorder="1" applyAlignment="1">
      <alignment horizontal="left" vertical="center"/>
    </xf>
    <xf numFmtId="0" fontId="24" fillId="0" borderId="71" xfId="0" applyFont="1" applyBorder="1" applyAlignment="1" applyProtection="1">
      <alignment horizontal="center" vertical="center"/>
      <protection locked="0"/>
    </xf>
    <xf numFmtId="0" fontId="24" fillId="0" borderId="6" xfId="0" applyFont="1" applyBorder="1" applyAlignment="1">
      <alignment vertical="center"/>
    </xf>
    <xf numFmtId="0" fontId="24" fillId="0" borderId="8" xfId="0" applyFont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24" fillId="0" borderId="2" xfId="0" applyFont="1" applyBorder="1" applyAlignment="1">
      <alignment vertical="center"/>
    </xf>
    <xf numFmtId="41" fontId="13" fillId="0" borderId="26" xfId="9" applyNumberFormat="1" applyFont="1" applyBorder="1" applyAlignment="1">
      <alignment vertical="center"/>
    </xf>
    <xf numFmtId="41" fontId="13" fillId="0" borderId="25" xfId="9" applyNumberFormat="1" applyFont="1" applyBorder="1" applyAlignment="1">
      <alignment vertical="center"/>
    </xf>
    <xf numFmtId="41" fontId="13" fillId="0" borderId="25" xfId="9" applyNumberFormat="1" applyFont="1" applyFill="1" applyBorder="1" applyAlignment="1">
      <alignment vertical="center"/>
    </xf>
    <xf numFmtId="41" fontId="13" fillId="0" borderId="26" xfId="0" applyNumberFormat="1" applyFont="1" applyBorder="1" applyAlignment="1">
      <alignment vertical="center"/>
    </xf>
    <xf numFmtId="41" fontId="13" fillId="0" borderId="25" xfId="0" applyNumberFormat="1" applyFont="1" applyBorder="1" applyAlignment="1">
      <alignment vertical="center"/>
    </xf>
    <xf numFmtId="41" fontId="13" fillId="0" borderId="25" xfId="0" applyNumberFormat="1" applyFont="1" applyFill="1" applyBorder="1" applyAlignment="1">
      <alignment vertical="center"/>
    </xf>
    <xf numFmtId="41" fontId="13" fillId="0" borderId="26" xfId="0" applyNumberFormat="1" applyFont="1" applyBorder="1" applyAlignment="1">
      <alignment horizontal="right" vertical="center"/>
    </xf>
    <xf numFmtId="41" fontId="13" fillId="0" borderId="25" xfId="0" applyNumberFormat="1" applyFont="1" applyBorder="1" applyAlignment="1">
      <alignment horizontal="right" vertical="center"/>
    </xf>
    <xf numFmtId="41" fontId="13" fillId="0" borderId="57" xfId="0" applyNumberFormat="1" applyFont="1" applyBorder="1" applyAlignment="1">
      <alignment vertical="center"/>
    </xf>
    <xf numFmtId="41" fontId="13" fillId="0" borderId="55" xfId="0" applyNumberFormat="1" applyFont="1" applyBorder="1" applyAlignment="1">
      <alignment vertical="center"/>
    </xf>
    <xf numFmtId="41" fontId="13" fillId="0" borderId="55" xfId="0" applyNumberFormat="1" applyFont="1" applyFill="1" applyBorder="1" applyAlignment="1">
      <alignment vertical="center"/>
    </xf>
    <xf numFmtId="41" fontId="13" fillId="0" borderId="64" xfId="0" applyNumberFormat="1" applyFont="1" applyBorder="1" applyAlignment="1">
      <alignment horizontal="right" vertical="center"/>
    </xf>
    <xf numFmtId="41" fontId="13" fillId="0" borderId="55" xfId="0" applyNumberFormat="1" applyFont="1" applyBorder="1" applyAlignment="1">
      <alignment horizontal="right" vertical="center"/>
    </xf>
    <xf numFmtId="42" fontId="13" fillId="0" borderId="29" xfId="0" applyNumberFormat="1" applyFont="1" applyBorder="1" applyAlignment="1">
      <alignment vertical="center"/>
    </xf>
    <xf numFmtId="42" fontId="13" fillId="0" borderId="23" xfId="0" applyNumberFormat="1" applyFont="1" applyBorder="1" applyAlignment="1">
      <alignment vertical="center"/>
    </xf>
    <xf numFmtId="42" fontId="13" fillId="0" borderId="66" xfId="0" applyNumberFormat="1" applyFont="1" applyBorder="1" applyAlignment="1">
      <alignment vertical="center"/>
    </xf>
    <xf numFmtId="42" fontId="13" fillId="0" borderId="67" xfId="0" applyNumberFormat="1" applyFont="1" applyBorder="1" applyAlignment="1">
      <alignment vertical="center"/>
    </xf>
    <xf numFmtId="42" fontId="13" fillId="0" borderId="67" xfId="0" applyNumberFormat="1" applyFont="1" applyFill="1" applyBorder="1" applyAlignment="1">
      <alignment vertical="center"/>
    </xf>
    <xf numFmtId="42" fontId="13" fillId="0" borderId="23" xfId="0" applyNumberFormat="1" applyFont="1" applyFill="1" applyBorder="1" applyAlignment="1">
      <alignment vertical="center"/>
    </xf>
    <xf numFmtId="42" fontId="13" fillId="0" borderId="19" xfId="0" applyNumberFormat="1" applyFont="1" applyBorder="1" applyAlignment="1">
      <alignment vertical="center"/>
    </xf>
    <xf numFmtId="42" fontId="13" fillId="2" borderId="62" xfId="0" applyNumberFormat="1" applyFont="1" applyFill="1" applyBorder="1" applyAlignment="1">
      <alignment vertical="center"/>
    </xf>
    <xf numFmtId="42" fontId="13" fillId="2" borderId="34" xfId="0" applyNumberFormat="1" applyFont="1" applyFill="1" applyBorder="1" applyAlignment="1">
      <alignment vertical="center"/>
    </xf>
    <xf numFmtId="42" fontId="13" fillId="2" borderId="6" xfId="0" applyNumberFormat="1" applyFont="1" applyFill="1" applyBorder="1" applyAlignment="1">
      <alignment vertical="center"/>
    </xf>
    <xf numFmtId="42" fontId="13" fillId="2" borderId="42" xfId="0" applyNumberFormat="1" applyFont="1" applyFill="1" applyBorder="1" applyAlignment="1">
      <alignment vertical="center"/>
    </xf>
    <xf numFmtId="42" fontId="13" fillId="2" borderId="35" xfId="0" applyNumberFormat="1" applyFont="1" applyFill="1" applyBorder="1" applyAlignment="1">
      <alignment vertical="center"/>
    </xf>
    <xf numFmtId="42" fontId="13" fillId="2" borderId="70" xfId="0" applyNumberFormat="1" applyFont="1" applyFill="1" applyBorder="1" applyAlignment="1">
      <alignment vertical="center"/>
    </xf>
    <xf numFmtId="42" fontId="13" fillId="2" borderId="38" xfId="0" applyNumberFormat="1" applyFont="1" applyFill="1" applyBorder="1" applyAlignment="1">
      <alignment vertical="center"/>
    </xf>
    <xf numFmtId="42" fontId="13" fillId="2" borderId="49" xfId="0" applyNumberFormat="1" applyFont="1" applyFill="1" applyBorder="1" applyAlignment="1">
      <alignment vertical="center"/>
    </xf>
    <xf numFmtId="42" fontId="13" fillId="2" borderId="69" xfId="0" applyNumberFormat="1" applyFont="1" applyFill="1" applyBorder="1" applyAlignment="1">
      <alignment horizontal="right" vertical="center"/>
    </xf>
    <xf numFmtId="42" fontId="13" fillId="2" borderId="38" xfId="0" applyNumberFormat="1" applyFont="1" applyFill="1" applyBorder="1" applyAlignment="1">
      <alignment horizontal="right" vertical="center"/>
    </xf>
    <xf numFmtId="42" fontId="13" fillId="2" borderId="5" xfId="0" applyNumberFormat="1" applyFont="1" applyFill="1" applyBorder="1" applyAlignment="1">
      <alignment horizontal="right" vertical="center"/>
    </xf>
    <xf numFmtId="42" fontId="13" fillId="2" borderId="70" xfId="0" applyNumberFormat="1" applyFont="1" applyFill="1" applyBorder="1" applyAlignment="1">
      <alignment horizontal="right" vertical="center"/>
    </xf>
    <xf numFmtId="0" fontId="11" fillId="3" borderId="16" xfId="0" applyFont="1" applyFill="1" applyBorder="1" applyAlignment="1">
      <alignment horizontal="center" vertical="center"/>
    </xf>
    <xf numFmtId="42" fontId="13" fillId="0" borderId="24" xfId="0" applyNumberFormat="1" applyFont="1" applyBorder="1" applyAlignment="1">
      <alignment vertical="center"/>
    </xf>
    <xf numFmtId="41" fontId="13" fillId="0" borderId="40" xfId="0" applyNumberFormat="1" applyFont="1" applyFill="1" applyBorder="1" applyAlignment="1">
      <alignment vertical="center"/>
    </xf>
    <xf numFmtId="41" fontId="13" fillId="0" borderId="40" xfId="9" applyNumberFormat="1" applyFont="1" applyBorder="1" applyAlignment="1">
      <alignment vertical="center"/>
    </xf>
    <xf numFmtId="41" fontId="13" fillId="0" borderId="72" xfId="0" applyNumberFormat="1" applyFont="1" applyFill="1" applyBorder="1" applyAlignment="1">
      <alignment vertical="center"/>
    </xf>
    <xf numFmtId="42" fontId="13" fillId="0" borderId="20" xfId="0" applyNumberFormat="1" applyFont="1" applyBorder="1" applyAlignment="1">
      <alignment vertical="center"/>
    </xf>
    <xf numFmtId="42" fontId="13" fillId="0" borderId="73" xfId="0" applyNumberFormat="1" applyFont="1" applyFill="1" applyBorder="1" applyAlignment="1">
      <alignment vertical="center"/>
    </xf>
    <xf numFmtId="42" fontId="13" fillId="0" borderId="24" xfId="0" applyNumberFormat="1" applyFont="1" applyFill="1" applyBorder="1" applyAlignment="1">
      <alignment vertical="center"/>
    </xf>
    <xf numFmtId="42" fontId="13" fillId="0" borderId="20" xfId="0" applyNumberFormat="1" applyFont="1" applyFill="1" applyBorder="1" applyAlignment="1">
      <alignment vertical="center"/>
    </xf>
    <xf numFmtId="42" fontId="13" fillId="2" borderId="74" xfId="0" applyNumberFormat="1" applyFont="1" applyFill="1" applyBorder="1" applyAlignment="1">
      <alignment vertical="center"/>
    </xf>
    <xf numFmtId="41" fontId="13" fillId="0" borderId="72" xfId="0" applyNumberFormat="1" applyFont="1" applyFill="1" applyBorder="1" applyAlignment="1">
      <alignment horizontal="right" vertical="center"/>
    </xf>
    <xf numFmtId="42" fontId="13" fillId="2" borderId="74" xfId="0" applyNumberFormat="1" applyFont="1" applyFill="1" applyBorder="1" applyAlignment="1">
      <alignment horizontal="right" vertical="center"/>
    </xf>
    <xf numFmtId="0" fontId="13" fillId="0" borderId="75" xfId="0" applyFont="1" applyBorder="1" applyAlignment="1">
      <alignment horizontal="left" vertical="center" indent="1"/>
    </xf>
    <xf numFmtId="0" fontId="13" fillId="0" borderId="76" xfId="0" applyFont="1" applyBorder="1" applyAlignment="1">
      <alignment horizontal="left" vertical="center" indent="1"/>
    </xf>
    <xf numFmtId="165" fontId="13" fillId="0" borderId="18" xfId="9" applyNumberFormat="1" applyFont="1" applyFill="1" applyBorder="1" applyAlignment="1" applyProtection="1">
      <alignment horizontal="right" vertical="center"/>
      <protection locked="0"/>
    </xf>
    <xf numFmtId="165" fontId="13" fillId="0" borderId="26" xfId="0" applyNumberFormat="1" applyFont="1" applyFill="1" applyBorder="1" applyAlignment="1" applyProtection="1">
      <alignment horizontal="right" vertical="center"/>
      <protection locked="0"/>
    </xf>
    <xf numFmtId="165" fontId="13" fillId="0" borderId="25" xfId="0" applyNumberFormat="1" applyFont="1" applyFill="1" applyBorder="1" applyAlignment="1" applyProtection="1">
      <alignment horizontal="right" vertical="center"/>
      <protection locked="0"/>
    </xf>
    <xf numFmtId="165" fontId="13" fillId="0" borderId="23" xfId="0" applyNumberFormat="1" applyFont="1" applyFill="1" applyBorder="1" applyAlignment="1" applyProtection="1">
      <alignment horizontal="right" vertical="center"/>
      <protection locked="0"/>
    </xf>
    <xf numFmtId="0" fontId="11" fillId="3" borderId="2" xfId="0" applyNumberFormat="1" applyFont="1" applyFill="1" applyBorder="1" applyAlignment="1">
      <alignment horizontal="center" vertical="center"/>
    </xf>
    <xf numFmtId="165" fontId="13" fillId="0" borderId="24" xfId="0" applyNumberFormat="1" applyFont="1" applyBorder="1" applyAlignment="1">
      <alignment horizontal="right" vertical="center"/>
    </xf>
    <xf numFmtId="37" fontId="13" fillId="0" borderId="40" xfId="0" applyNumberFormat="1" applyFont="1" applyBorder="1" applyAlignment="1">
      <alignment horizontal="right" vertical="center"/>
    </xf>
    <xf numFmtId="165" fontId="13" fillId="2" borderId="35" xfId="0" applyNumberFormat="1" applyFont="1" applyFill="1" applyBorder="1" applyAlignment="1">
      <alignment horizontal="right" vertical="center"/>
    </xf>
    <xf numFmtId="37" fontId="13" fillId="0" borderId="40" xfId="1" applyNumberFormat="1" applyFont="1" applyBorder="1" applyAlignment="1">
      <alignment horizontal="right" vertical="center"/>
    </xf>
    <xf numFmtId="165" fontId="13" fillId="2" borderId="35" xfId="1" applyNumberFormat="1" applyFont="1" applyFill="1" applyBorder="1" applyAlignment="1">
      <alignment horizontal="right" vertical="center"/>
    </xf>
    <xf numFmtId="165" fontId="13" fillId="0" borderId="24" xfId="1" applyNumberFormat="1" applyFont="1" applyBorder="1" applyAlignment="1">
      <alignment horizontal="right" vertical="center"/>
    </xf>
    <xf numFmtId="164" fontId="13" fillId="0" borderId="40" xfId="0" applyNumberFormat="1" applyFont="1" applyBorder="1" applyAlignment="1">
      <alignment horizontal="right" vertical="center"/>
    </xf>
    <xf numFmtId="165" fontId="13" fillId="0" borderId="24" xfId="0" applyNumberFormat="1" applyFont="1" applyBorder="1" applyAlignment="1">
      <alignment vertical="center"/>
    </xf>
    <xf numFmtId="165" fontId="13" fillId="2" borderId="35" xfId="0" applyNumberFormat="1" applyFont="1" applyFill="1" applyBorder="1" applyAlignment="1">
      <alignment vertical="center"/>
    </xf>
    <xf numFmtId="165" fontId="13" fillId="0" borderId="24" xfId="9" applyNumberFormat="1" applyFont="1" applyBorder="1" applyAlignment="1">
      <alignment vertical="center"/>
    </xf>
    <xf numFmtId="37" fontId="13" fillId="0" borderId="40" xfId="0" applyNumberFormat="1" applyFont="1" applyBorder="1" applyAlignment="1">
      <alignment vertical="center"/>
    </xf>
    <xf numFmtId="165" fontId="13" fillId="2" borderId="35" xfId="9" applyNumberFormat="1" applyFont="1" applyFill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41" fontId="13" fillId="0" borderId="40" xfId="0" applyNumberFormat="1" applyFont="1" applyBorder="1" applyAlignment="1">
      <alignment horizontal="right"/>
    </xf>
    <xf numFmtId="41" fontId="13" fillId="0" borderId="24" xfId="0" applyNumberFormat="1" applyFont="1" applyBorder="1" applyAlignment="1">
      <alignment horizontal="right"/>
    </xf>
    <xf numFmtId="41" fontId="13" fillId="0" borderId="72" xfId="0" applyNumberFormat="1" applyFont="1" applyBorder="1" applyAlignment="1">
      <alignment horizontal="right"/>
    </xf>
    <xf numFmtId="165" fontId="13" fillId="0" borderId="20" xfId="9" applyNumberFormat="1" applyFont="1" applyFill="1" applyBorder="1" applyAlignment="1" applyProtection="1">
      <alignment horizontal="right" vertical="center"/>
      <protection locked="0"/>
    </xf>
    <xf numFmtId="165" fontId="13" fillId="0" borderId="23" xfId="9" applyNumberFormat="1" applyFont="1" applyFill="1" applyBorder="1" applyAlignment="1" applyProtection="1">
      <alignment horizontal="right" vertical="center"/>
      <protection locked="0"/>
    </xf>
    <xf numFmtId="37" fontId="13" fillId="0" borderId="23" xfId="1" applyNumberFormat="1" applyFont="1" applyFill="1" applyBorder="1" applyAlignment="1" applyProtection="1">
      <alignment vertical="center"/>
      <protection locked="0"/>
    </xf>
    <xf numFmtId="165" fontId="13" fillId="0" borderId="41" xfId="9" applyNumberFormat="1" applyFont="1" applyFill="1" applyBorder="1" applyAlignment="1" applyProtection="1">
      <alignment horizontal="right" vertical="center"/>
      <protection locked="0"/>
    </xf>
    <xf numFmtId="37" fontId="13" fillId="0" borderId="25" xfId="0" applyNumberFormat="1" applyFont="1" applyBorder="1" applyAlignment="1" applyProtection="1">
      <alignment horizontal="right" vertical="center"/>
      <protection locked="0"/>
    </xf>
    <xf numFmtId="37" fontId="13" fillId="0" borderId="25" xfId="1" applyNumberFormat="1" applyFont="1" applyBorder="1" applyAlignment="1" applyProtection="1">
      <alignment horizontal="right" vertical="center"/>
      <protection locked="0"/>
    </xf>
    <xf numFmtId="37" fontId="13" fillId="0" borderId="77" xfId="0" applyNumberFormat="1" applyFont="1" applyBorder="1" applyAlignment="1" applyProtection="1">
      <alignment horizontal="right" vertical="center"/>
      <protection locked="0"/>
    </xf>
    <xf numFmtId="0" fontId="12" fillId="0" borderId="3" xfId="3" applyFont="1" applyBorder="1" applyAlignment="1" applyProtection="1">
      <alignment horizontal="left" vertical="center" indent="1"/>
      <protection locked="0"/>
    </xf>
    <xf numFmtId="0" fontId="24" fillId="0" borderId="6" xfId="0" applyFont="1" applyBorder="1" applyAlignment="1" applyProtection="1">
      <alignment horizontal="center" vertical="center"/>
      <protection locked="0"/>
    </xf>
    <xf numFmtId="0" fontId="24" fillId="0" borderId="8" xfId="0" applyFont="1" applyBorder="1" applyAlignment="1" applyProtection="1">
      <alignment horizontal="center" vertical="center"/>
      <protection locked="0"/>
    </xf>
    <xf numFmtId="0" fontId="24" fillId="0" borderId="62" xfId="0" applyFont="1" applyBorder="1" applyAlignment="1" applyProtection="1">
      <alignment horizontal="center" vertical="center"/>
      <protection locked="0"/>
    </xf>
    <xf numFmtId="0" fontId="24" fillId="0" borderId="35" xfId="0" applyFont="1" applyBorder="1" applyAlignment="1" applyProtection="1">
      <alignment horizontal="center" vertical="center"/>
      <protection locked="0"/>
    </xf>
    <xf numFmtId="37" fontId="13" fillId="0" borderId="78" xfId="0" applyNumberFormat="1" applyFont="1" applyBorder="1" applyAlignment="1" applyProtection="1">
      <alignment horizontal="right" vertical="center"/>
      <protection locked="0"/>
    </xf>
    <xf numFmtId="37" fontId="13" fillId="0" borderId="79" xfId="1" applyNumberFormat="1" applyFont="1" applyFill="1" applyBorder="1" applyAlignment="1" applyProtection="1">
      <alignment vertical="center"/>
      <protection locked="0"/>
    </xf>
    <xf numFmtId="165" fontId="13" fillId="2" borderId="33" xfId="0" applyNumberFormat="1" applyFont="1" applyFill="1" applyBorder="1" applyAlignment="1">
      <alignment horizontal="right" vertical="center"/>
    </xf>
    <xf numFmtId="37" fontId="13" fillId="0" borderId="64" xfId="1" applyNumberFormat="1" applyFont="1" applyBorder="1" applyAlignment="1">
      <alignment horizontal="right" vertical="center"/>
    </xf>
    <xf numFmtId="37" fontId="13" fillId="0" borderId="80" xfId="0" applyNumberFormat="1" applyFont="1" applyFill="1" applyBorder="1" applyAlignment="1" applyProtection="1">
      <alignment horizontal="right" vertical="center"/>
      <protection locked="0"/>
    </xf>
    <xf numFmtId="0" fontId="11" fillId="3" borderId="14" xfId="0" applyNumberFormat="1" applyFont="1" applyFill="1" applyBorder="1" applyAlignment="1">
      <alignment horizontal="center" vertical="center"/>
    </xf>
    <xf numFmtId="5" fontId="13" fillId="0" borderId="81" xfId="0" applyNumberFormat="1" applyFont="1" applyBorder="1" applyAlignment="1">
      <alignment horizontal="right" vertical="center"/>
    </xf>
    <xf numFmtId="165" fontId="13" fillId="0" borderId="82" xfId="0" applyNumberFormat="1" applyFont="1" applyBorder="1" applyAlignment="1">
      <alignment horizontal="right" vertical="center"/>
    </xf>
    <xf numFmtId="5" fontId="13" fillId="0" borderId="55" xfId="0" applyNumberFormat="1" applyFont="1" applyBorder="1" applyAlignment="1">
      <alignment horizontal="right" vertical="center"/>
    </xf>
    <xf numFmtId="37" fontId="13" fillId="0" borderId="31" xfId="1" applyNumberFormat="1" applyFont="1" applyBorder="1" applyAlignment="1" applyProtection="1">
      <alignment horizontal="right" vertical="center"/>
      <protection locked="0"/>
    </xf>
    <xf numFmtId="37" fontId="13" fillId="0" borderId="83" xfId="0" applyNumberFormat="1" applyFont="1" applyFill="1" applyBorder="1" applyAlignment="1" applyProtection="1">
      <alignment horizontal="right" vertical="center"/>
      <protection locked="0"/>
    </xf>
    <xf numFmtId="165" fontId="13" fillId="0" borderId="25" xfId="9" applyNumberFormat="1" applyFont="1" applyFill="1" applyBorder="1" applyAlignment="1" applyProtection="1">
      <alignment horizontal="right" vertical="center"/>
      <protection locked="0"/>
    </xf>
    <xf numFmtId="165" fontId="13" fillId="0" borderId="32" xfId="9" applyNumberFormat="1" applyFont="1" applyFill="1" applyBorder="1" applyAlignment="1" applyProtection="1">
      <alignment horizontal="right" vertical="center"/>
      <protection locked="0"/>
    </xf>
    <xf numFmtId="41" fontId="13" fillId="0" borderId="28" xfId="9" applyNumberFormat="1" applyFont="1" applyFill="1" applyBorder="1" applyAlignment="1" applyProtection="1">
      <alignment horizontal="right" vertical="center"/>
      <protection locked="0"/>
    </xf>
    <xf numFmtId="41" fontId="13" fillId="0" borderId="23" xfId="0" applyNumberFormat="1" applyFont="1" applyBorder="1" applyAlignment="1">
      <alignment horizontal="right" vertical="center"/>
    </xf>
    <xf numFmtId="37" fontId="13" fillId="0" borderId="84" xfId="1" applyNumberFormat="1" applyFont="1" applyBorder="1" applyAlignment="1">
      <alignment horizontal="right" vertical="center"/>
    </xf>
    <xf numFmtId="165" fontId="13" fillId="2" borderId="38" xfId="1" applyNumberFormat="1" applyFont="1" applyFill="1" applyBorder="1" applyAlignment="1">
      <alignment horizontal="right" vertical="center"/>
    </xf>
    <xf numFmtId="165" fontId="13" fillId="0" borderId="51" xfId="9" applyNumberFormat="1" applyFont="1" applyFill="1" applyBorder="1" applyAlignment="1" applyProtection="1">
      <alignment horizontal="right" vertical="center"/>
      <protection locked="0"/>
    </xf>
    <xf numFmtId="41" fontId="13" fillId="0" borderId="85" xfId="0" applyNumberFormat="1" applyFont="1" applyFill="1" applyBorder="1" applyAlignment="1">
      <alignment vertical="center"/>
    </xf>
    <xf numFmtId="0" fontId="14" fillId="0" borderId="7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  <protection locked="0"/>
    </xf>
    <xf numFmtId="0" fontId="5" fillId="0" borderId="0" xfId="0" applyFont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left" vertical="center"/>
    </xf>
    <xf numFmtId="0" fontId="10" fillId="0" borderId="6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left" vertical="center"/>
    </xf>
    <xf numFmtId="164" fontId="15" fillId="0" borderId="0" xfId="0" applyNumberFormat="1" applyFont="1" applyBorder="1" applyAlignment="1">
      <alignment horizontal="lef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42" fontId="13" fillId="0" borderId="23" xfId="0" applyNumberFormat="1" applyFont="1" applyFill="1" applyBorder="1" applyAlignment="1" applyProtection="1">
      <alignment horizontal="right" vertical="center"/>
      <protection locked="0"/>
    </xf>
    <xf numFmtId="41" fontId="13" fillId="0" borderId="23" xfId="0" applyNumberFormat="1" applyFont="1" applyFill="1" applyBorder="1" applyAlignment="1" applyProtection="1">
      <alignment horizontal="right" vertical="center"/>
      <protection locked="0"/>
    </xf>
  </cellXfs>
  <cellStyles count="10">
    <cellStyle name="Comma" xfId="1" builtinId="3"/>
    <cellStyle name="Comma 2" xfId="2" xr:uid="{00000000-0005-0000-0000-000001000000}"/>
    <cellStyle name="Currency" xfId="9" builtinId="4"/>
    <cellStyle name="Currency 2" xfId="6" xr:uid="{00000000-0005-0000-0000-000003000000}"/>
    <cellStyle name="Hyperlink" xfId="3" builtinId="8"/>
    <cellStyle name="Normal" xfId="0" builtinId="0"/>
    <cellStyle name="Normal 2" xfId="4" xr:uid="{00000000-0005-0000-0000-000006000000}"/>
    <cellStyle name="Normal 2 2" xfId="7" xr:uid="{00000000-0005-0000-0000-000007000000}"/>
    <cellStyle name="Normal 3" xfId="5" xr:uid="{00000000-0005-0000-0000-000008000000}"/>
    <cellStyle name="Percent 2" xfId="8" xr:uid="{00000000-0005-0000-0000-000009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78BE21"/>
      <color rgb="FF9BCBEB"/>
      <color rgb="FFD9D9D6"/>
      <color rgb="FF9799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U65"/>
  <sheetViews>
    <sheetView tabSelected="1" zoomScaleNormal="100" workbookViewId="0">
      <pane ySplit="1" topLeftCell="A2" activePane="bottomLeft" state="frozen"/>
      <selection pane="bottomLeft" sqref="A1:G1"/>
    </sheetView>
  </sheetViews>
  <sheetFormatPr defaultColWidth="17" defaultRowHeight="13.8" x14ac:dyDescent="0.25"/>
  <cols>
    <col min="1" max="1" width="21.77734375" style="1" bestFit="1" customWidth="1"/>
    <col min="2" max="2" width="13.5546875" style="1" customWidth="1"/>
    <col min="3" max="3" width="12.33203125" style="1" customWidth="1"/>
    <col min="4" max="4" width="16.88671875" style="1" customWidth="1"/>
    <col min="5" max="5" width="14.6640625" style="1" customWidth="1"/>
    <col min="6" max="6" width="12.33203125" style="1" customWidth="1"/>
    <col min="7" max="7" width="14.6640625" style="1" customWidth="1"/>
    <col min="8" max="16384" width="17" style="1"/>
  </cols>
  <sheetData>
    <row r="1" spans="1:21" ht="21" x14ac:dyDescent="0.25">
      <c r="A1" s="314" t="s">
        <v>112</v>
      </c>
      <c r="B1" s="314"/>
      <c r="C1" s="314"/>
      <c r="D1" s="314"/>
      <c r="E1" s="314"/>
      <c r="F1" s="314"/>
      <c r="G1" s="314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</row>
    <row r="2" spans="1:21" s="79" customFormat="1" ht="18" x14ac:dyDescent="0.25">
      <c r="A2" s="315" t="s">
        <v>155</v>
      </c>
      <c r="B2" s="316"/>
      <c r="C2" s="316"/>
      <c r="D2" s="316"/>
      <c r="E2" s="316"/>
      <c r="F2" s="316"/>
      <c r="G2" s="316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</row>
    <row r="3" spans="1:21" s="39" customFormat="1" ht="17.399999999999999" x14ac:dyDescent="0.25">
      <c r="A3" s="317" t="s">
        <v>154</v>
      </c>
      <c r="B3" s="317"/>
      <c r="C3" s="317"/>
      <c r="D3" s="317"/>
      <c r="E3" s="317"/>
      <c r="F3" s="317"/>
      <c r="G3" s="317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</row>
    <row r="4" spans="1:21" s="39" customFormat="1" ht="15.6" x14ac:dyDescent="0.25">
      <c r="A4" s="318" t="s">
        <v>153</v>
      </c>
      <c r="B4" s="318"/>
      <c r="C4" s="318"/>
      <c r="D4" s="318"/>
      <c r="E4" s="318"/>
      <c r="F4" s="318"/>
      <c r="G4" s="208" t="s">
        <v>148</v>
      </c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</row>
    <row r="5" spans="1:21" s="39" customFormat="1" ht="31.2" x14ac:dyDescent="0.25">
      <c r="A5" s="3" t="s">
        <v>64</v>
      </c>
      <c r="B5" s="7" t="s">
        <v>76</v>
      </c>
      <c r="C5" s="8" t="s">
        <v>9</v>
      </c>
      <c r="D5" s="10" t="s">
        <v>10</v>
      </c>
      <c r="E5" s="11" t="s">
        <v>11</v>
      </c>
      <c r="F5" s="12" t="s">
        <v>65</v>
      </c>
      <c r="G5" s="9" t="s">
        <v>8</v>
      </c>
      <c r="H5" s="36"/>
      <c r="I5" s="37"/>
      <c r="J5" s="37"/>
      <c r="K5" s="36"/>
      <c r="L5" s="36"/>
      <c r="M5" s="36"/>
      <c r="N5" s="36"/>
      <c r="O5" s="36"/>
      <c r="P5" s="37"/>
      <c r="Q5" s="36"/>
      <c r="R5" s="36"/>
      <c r="S5" s="37"/>
      <c r="T5" s="37"/>
      <c r="U5" s="38"/>
    </row>
    <row r="6" spans="1:21" s="39" customFormat="1" ht="16.2" customHeight="1" x14ac:dyDescent="0.25">
      <c r="A6" s="2" t="s">
        <v>110</v>
      </c>
      <c r="B6" s="210" t="s">
        <v>148</v>
      </c>
      <c r="C6" s="208" t="s">
        <v>148</v>
      </c>
      <c r="D6" s="208" t="s">
        <v>148</v>
      </c>
      <c r="E6" s="208" t="s">
        <v>148</v>
      </c>
      <c r="F6" s="208" t="s">
        <v>148</v>
      </c>
      <c r="G6" s="208" t="s">
        <v>148</v>
      </c>
      <c r="H6" s="40"/>
      <c r="I6" s="37"/>
      <c r="J6" s="37"/>
      <c r="K6" s="36"/>
      <c r="L6" s="36"/>
      <c r="M6" s="36"/>
      <c r="N6" s="36"/>
      <c r="O6" s="36"/>
      <c r="P6" s="37"/>
      <c r="Q6" s="36"/>
      <c r="R6" s="36"/>
      <c r="S6" s="37"/>
      <c r="T6" s="37"/>
      <c r="U6" s="38"/>
    </row>
    <row r="7" spans="1:21" s="39" customFormat="1" ht="16.2" customHeight="1" x14ac:dyDescent="0.25">
      <c r="A7" s="75" t="s">
        <v>17</v>
      </c>
      <c r="B7" s="13" t="s">
        <v>74</v>
      </c>
      <c r="C7" s="22" t="s">
        <v>74</v>
      </c>
      <c r="D7" s="282">
        <v>169275</v>
      </c>
      <c r="E7" s="25" t="s">
        <v>74</v>
      </c>
      <c r="F7" s="34" t="s">
        <v>74</v>
      </c>
      <c r="G7" s="88">
        <f>SUM(B7:F7)</f>
        <v>169275</v>
      </c>
      <c r="H7" s="36"/>
      <c r="I7" s="37"/>
      <c r="J7" s="37"/>
      <c r="K7" s="36"/>
      <c r="L7" s="36"/>
      <c r="M7" s="36"/>
      <c r="N7" s="36"/>
      <c r="O7" s="36"/>
      <c r="P7" s="37"/>
      <c r="Q7" s="36"/>
      <c r="R7" s="36"/>
      <c r="S7" s="37"/>
      <c r="T7" s="37"/>
      <c r="U7" s="38"/>
    </row>
    <row r="8" spans="1:21" s="39" customFormat="1" ht="16.2" customHeight="1" x14ac:dyDescent="0.25">
      <c r="A8" s="289" t="s">
        <v>38</v>
      </c>
      <c r="B8" s="306">
        <v>22712</v>
      </c>
      <c r="C8" s="202" t="s">
        <v>74</v>
      </c>
      <c r="D8" s="202">
        <v>6388</v>
      </c>
      <c r="E8" s="305">
        <v>23531</v>
      </c>
      <c r="F8" s="202" t="s">
        <v>74</v>
      </c>
      <c r="G8" s="17">
        <f>SUM(B8:F8)</f>
        <v>52631</v>
      </c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2"/>
      <c r="U8" s="38"/>
    </row>
    <row r="9" spans="1:21" s="39" customFormat="1" ht="16.2" customHeight="1" x14ac:dyDescent="0.25">
      <c r="A9" s="60" t="s">
        <v>159</v>
      </c>
      <c r="B9" s="304" t="s">
        <v>74</v>
      </c>
      <c r="C9" s="24" t="s">
        <v>74</v>
      </c>
      <c r="D9" s="24">
        <v>5885</v>
      </c>
      <c r="E9" s="298" t="s">
        <v>74</v>
      </c>
      <c r="F9" s="24" t="s">
        <v>74</v>
      </c>
      <c r="G9" s="17">
        <f>SUM(B9:F9)</f>
        <v>5885</v>
      </c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2"/>
      <c r="U9" s="38"/>
    </row>
    <row r="10" spans="1:21" s="39" customFormat="1" ht="16.2" customHeight="1" x14ac:dyDescent="0.25">
      <c r="A10" s="59" t="s">
        <v>2</v>
      </c>
      <c r="B10" s="23" t="s">
        <v>74</v>
      </c>
      <c r="C10" s="15" t="s">
        <v>74</v>
      </c>
      <c r="D10" s="24">
        <v>303977</v>
      </c>
      <c r="E10" s="284">
        <v>10751</v>
      </c>
      <c r="F10" s="28" t="s">
        <v>74</v>
      </c>
      <c r="G10" s="17">
        <f>SUM(B10:F10)</f>
        <v>314728</v>
      </c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2"/>
      <c r="U10" s="38"/>
    </row>
    <row r="11" spans="1:21" s="39" customFormat="1" ht="16.2" customHeight="1" x14ac:dyDescent="0.25">
      <c r="A11" s="60" t="s">
        <v>46</v>
      </c>
      <c r="B11" s="23" t="s">
        <v>74</v>
      </c>
      <c r="C11" s="15" t="s">
        <v>74</v>
      </c>
      <c r="D11" s="24">
        <v>214833</v>
      </c>
      <c r="E11" s="16" t="s">
        <v>74</v>
      </c>
      <c r="F11" s="15" t="s">
        <v>74</v>
      </c>
      <c r="G11" s="17">
        <f>SUM(B11:F11)</f>
        <v>214833</v>
      </c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2"/>
      <c r="U11" s="38"/>
    </row>
    <row r="12" spans="1:21" s="39" customFormat="1" ht="16.2" customHeight="1" x14ac:dyDescent="0.25">
      <c r="A12" s="60" t="s">
        <v>3</v>
      </c>
      <c r="B12" s="14">
        <v>2118268</v>
      </c>
      <c r="C12" s="283">
        <v>1536430</v>
      </c>
      <c r="D12" s="24">
        <v>3558011</v>
      </c>
      <c r="E12" s="284">
        <v>4186605</v>
      </c>
      <c r="F12" s="15" t="s">
        <v>74</v>
      </c>
      <c r="G12" s="33">
        <f t="shared" ref="G12:G34" si="0">SUM(B12:F12)</f>
        <v>11399314</v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4"/>
      <c r="U12" s="38"/>
    </row>
    <row r="13" spans="1:21" s="39" customFormat="1" ht="16.2" customHeight="1" x14ac:dyDescent="0.25">
      <c r="A13" s="60" t="s">
        <v>5</v>
      </c>
      <c r="B13" s="23" t="s">
        <v>74</v>
      </c>
      <c r="C13" s="28" t="s">
        <v>74</v>
      </c>
      <c r="D13" s="24">
        <v>25452</v>
      </c>
      <c r="E13" s="16" t="s">
        <v>74</v>
      </c>
      <c r="F13" s="15" t="s">
        <v>74</v>
      </c>
      <c r="G13" s="33">
        <f>SUM(B13:F13)</f>
        <v>25452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4"/>
      <c r="U13" s="38"/>
    </row>
    <row r="14" spans="1:21" s="39" customFormat="1" ht="16.2" customHeight="1" x14ac:dyDescent="0.25">
      <c r="A14" s="60" t="s">
        <v>164</v>
      </c>
      <c r="B14" s="23" t="s">
        <v>74</v>
      </c>
      <c r="C14" s="28" t="s">
        <v>74</v>
      </c>
      <c r="D14" s="28" t="s">
        <v>74</v>
      </c>
      <c r="E14" s="28" t="s">
        <v>74</v>
      </c>
      <c r="F14" s="338">
        <v>34820</v>
      </c>
      <c r="G14" s="33">
        <f>SUM(B14:F14)</f>
        <v>34820</v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4"/>
      <c r="U14" s="38"/>
    </row>
    <row r="15" spans="1:21" s="39" customFormat="1" ht="16.2" customHeight="1" x14ac:dyDescent="0.25">
      <c r="A15" s="60" t="s">
        <v>0</v>
      </c>
      <c r="B15" s="14">
        <v>2797612</v>
      </c>
      <c r="C15" s="15" t="s">
        <v>74</v>
      </c>
      <c r="D15" s="15" t="s">
        <v>74</v>
      </c>
      <c r="E15" s="16" t="s">
        <v>74</v>
      </c>
      <c r="F15" s="15" t="s">
        <v>74</v>
      </c>
      <c r="G15" s="33">
        <f t="shared" si="0"/>
        <v>2797612</v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4"/>
      <c r="U15" s="38"/>
    </row>
    <row r="16" spans="1:21" s="39" customFormat="1" ht="16.2" customHeight="1" x14ac:dyDescent="0.25">
      <c r="A16" s="60" t="s">
        <v>165</v>
      </c>
      <c r="B16" s="23" t="s">
        <v>74</v>
      </c>
      <c r="C16" s="28" t="s">
        <v>74</v>
      </c>
      <c r="D16" s="28" t="s">
        <v>74</v>
      </c>
      <c r="E16" s="28" t="s">
        <v>74</v>
      </c>
      <c r="F16" s="339">
        <v>12040</v>
      </c>
      <c r="G16" s="33">
        <f t="shared" si="0"/>
        <v>12040</v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4"/>
      <c r="U16" s="38"/>
    </row>
    <row r="17" spans="1:21" s="39" customFormat="1" ht="16.2" customHeight="1" x14ac:dyDescent="0.25">
      <c r="A17" s="60" t="s">
        <v>6</v>
      </c>
      <c r="B17" s="14" t="s">
        <v>74</v>
      </c>
      <c r="C17" s="24">
        <v>55319</v>
      </c>
      <c r="D17" s="24">
        <v>598075</v>
      </c>
      <c r="E17" s="16" t="s">
        <v>74</v>
      </c>
      <c r="F17" s="15" t="s">
        <v>74</v>
      </c>
      <c r="G17" s="33">
        <f t="shared" si="0"/>
        <v>653394</v>
      </c>
      <c r="H17" s="43"/>
      <c r="I17" s="45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4"/>
      <c r="U17" s="38"/>
    </row>
    <row r="18" spans="1:21" s="39" customFormat="1" ht="16.2" customHeight="1" x14ac:dyDescent="0.25">
      <c r="A18" s="289" t="s">
        <v>7</v>
      </c>
      <c r="B18" s="72">
        <v>1104055</v>
      </c>
      <c r="C18" s="286" t="s">
        <v>74</v>
      </c>
      <c r="D18" s="286" t="s">
        <v>74</v>
      </c>
      <c r="E18" s="287" t="s">
        <v>74</v>
      </c>
      <c r="F18" s="286" t="s">
        <v>74</v>
      </c>
      <c r="G18" s="30">
        <f>SUM(B18:F18)</f>
        <v>1104055</v>
      </c>
      <c r="H18" s="50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4"/>
      <c r="U18" s="38"/>
    </row>
    <row r="19" spans="1:21" s="39" customFormat="1" ht="16.2" customHeight="1" x14ac:dyDescent="0.25">
      <c r="A19" s="61" t="s">
        <v>156</v>
      </c>
      <c r="B19" s="294" t="s">
        <v>74</v>
      </c>
      <c r="C19" s="288" t="s">
        <v>74</v>
      </c>
      <c r="D19" s="288" t="s">
        <v>74</v>
      </c>
      <c r="E19" s="288" t="s">
        <v>74</v>
      </c>
      <c r="F19" s="307">
        <v>27840</v>
      </c>
      <c r="G19" s="295">
        <f>SUM(B19:F19)</f>
        <v>27840</v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4"/>
      <c r="U19" s="38"/>
    </row>
    <row r="20" spans="1:21" s="49" customFormat="1" ht="16.2" customHeight="1" x14ac:dyDescent="0.3">
      <c r="A20" s="167" t="s">
        <v>63</v>
      </c>
      <c r="B20" s="292" t="s">
        <v>148</v>
      </c>
      <c r="C20" s="290" t="s">
        <v>148</v>
      </c>
      <c r="D20" s="290" t="s">
        <v>148</v>
      </c>
      <c r="E20" s="290" t="s">
        <v>148</v>
      </c>
      <c r="F20" s="291" t="s">
        <v>148</v>
      </c>
      <c r="G20" s="293" t="s">
        <v>148</v>
      </c>
      <c r="H20" s="209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7"/>
      <c r="U20" s="48"/>
    </row>
    <row r="21" spans="1:21" s="39" customFormat="1" ht="16.2" customHeight="1" x14ac:dyDescent="0.25">
      <c r="A21" s="4" t="s">
        <v>42</v>
      </c>
      <c r="B21" s="31" t="s">
        <v>74</v>
      </c>
      <c r="C21" s="28" t="s">
        <v>74</v>
      </c>
      <c r="D21" s="28" t="s">
        <v>74</v>
      </c>
      <c r="E21" s="29" t="s">
        <v>74</v>
      </c>
      <c r="F21" s="264">
        <v>104453</v>
      </c>
      <c r="G21" s="89">
        <f t="shared" si="0"/>
        <v>104453</v>
      </c>
      <c r="H21" s="50"/>
      <c r="I21" s="51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4"/>
      <c r="U21" s="38"/>
    </row>
    <row r="22" spans="1:21" s="39" customFormat="1" ht="16.2" customHeight="1" x14ac:dyDescent="0.25">
      <c r="A22" s="4" t="s">
        <v>12</v>
      </c>
      <c r="B22" s="262">
        <v>20095401</v>
      </c>
      <c r="C22" s="263">
        <v>1771723</v>
      </c>
      <c r="D22" s="27" t="s">
        <v>74</v>
      </c>
      <c r="E22" s="263">
        <v>1692989</v>
      </c>
      <c r="F22" s="27" t="s">
        <v>74</v>
      </c>
      <c r="G22" s="30">
        <f t="shared" si="0"/>
        <v>23560113</v>
      </c>
      <c r="H22" s="50"/>
      <c r="I22" s="51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4"/>
      <c r="U22" s="38"/>
    </row>
    <row r="23" spans="1:21" s="39" customFormat="1" ht="16.2" customHeight="1" x14ac:dyDescent="0.25">
      <c r="A23" s="5" t="s">
        <v>39</v>
      </c>
      <c r="B23" s="199" t="s">
        <v>74</v>
      </c>
      <c r="C23" s="28" t="s">
        <v>74</v>
      </c>
      <c r="D23" s="28" t="s">
        <v>74</v>
      </c>
      <c r="E23" s="29" t="s">
        <v>74</v>
      </c>
      <c r="F23" s="24">
        <v>48266</v>
      </c>
      <c r="G23" s="17">
        <f t="shared" si="0"/>
        <v>48266</v>
      </c>
      <c r="H23" s="46"/>
      <c r="I23" s="51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4"/>
      <c r="U23" s="38"/>
    </row>
    <row r="24" spans="1:21" s="39" customFormat="1" ht="16.2" customHeight="1" x14ac:dyDescent="0.25">
      <c r="A24" s="5" t="s">
        <v>45</v>
      </c>
      <c r="B24" s="14">
        <v>514813</v>
      </c>
      <c r="C24" s="28" t="s">
        <v>74</v>
      </c>
      <c r="D24" s="28" t="s">
        <v>74</v>
      </c>
      <c r="E24" s="29" t="s">
        <v>74</v>
      </c>
      <c r="F24" s="28" t="s">
        <v>74</v>
      </c>
      <c r="G24" s="17">
        <f t="shared" si="0"/>
        <v>514813</v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4"/>
      <c r="U24" s="38"/>
    </row>
    <row r="25" spans="1:21" s="39" customFormat="1" ht="16.2" customHeight="1" x14ac:dyDescent="0.25">
      <c r="A25" s="5" t="s">
        <v>40</v>
      </c>
      <c r="B25" s="14" t="s">
        <v>74</v>
      </c>
      <c r="C25" s="24" t="s">
        <v>74</v>
      </c>
      <c r="D25" s="24" t="s">
        <v>74</v>
      </c>
      <c r="E25" s="26" t="s">
        <v>74</v>
      </c>
      <c r="F25" s="220">
        <v>0</v>
      </c>
      <c r="G25" s="17">
        <f t="shared" si="0"/>
        <v>0</v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4"/>
      <c r="U25" s="38"/>
    </row>
    <row r="26" spans="1:21" s="39" customFormat="1" ht="16.2" customHeight="1" x14ac:dyDescent="0.25">
      <c r="A26" s="4" t="s">
        <v>1</v>
      </c>
      <c r="B26" s="14">
        <v>6373158</v>
      </c>
      <c r="C26" s="24" t="s">
        <v>74</v>
      </c>
      <c r="D26" s="264">
        <v>6042886</v>
      </c>
      <c r="E26" s="26" t="s">
        <v>74</v>
      </c>
      <c r="F26" s="24" t="s">
        <v>74</v>
      </c>
      <c r="G26" s="17">
        <f t="shared" si="0"/>
        <v>12416044</v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4"/>
      <c r="U26" s="38"/>
    </row>
    <row r="27" spans="1:21" s="39" customFormat="1" ht="16.2" customHeight="1" x14ac:dyDescent="0.25">
      <c r="A27" s="6" t="s">
        <v>47</v>
      </c>
      <c r="B27" s="14" t="s">
        <v>74</v>
      </c>
      <c r="C27" s="24" t="s">
        <v>74</v>
      </c>
      <c r="D27" s="24" t="s">
        <v>74</v>
      </c>
      <c r="E27" s="26" t="s">
        <v>74</v>
      </c>
      <c r="F27" s="24">
        <v>24882</v>
      </c>
      <c r="G27" s="17">
        <f t="shared" si="0"/>
        <v>24882</v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4"/>
      <c r="U27" s="38"/>
    </row>
    <row r="28" spans="1:21" s="39" customFormat="1" ht="16.2" customHeight="1" x14ac:dyDescent="0.25">
      <c r="A28" s="4" t="s">
        <v>15</v>
      </c>
      <c r="B28" s="14" t="s">
        <v>74</v>
      </c>
      <c r="C28" s="24" t="s">
        <v>74</v>
      </c>
      <c r="D28" s="24">
        <v>107141</v>
      </c>
      <c r="E28" s="26" t="s">
        <v>74</v>
      </c>
      <c r="F28" s="24" t="s">
        <v>74</v>
      </c>
      <c r="G28" s="17">
        <f t="shared" si="0"/>
        <v>107141</v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4"/>
      <c r="U28" s="38"/>
    </row>
    <row r="29" spans="1:21" s="39" customFormat="1" ht="16.2" customHeight="1" x14ac:dyDescent="0.25">
      <c r="A29" s="4" t="s">
        <v>2</v>
      </c>
      <c r="B29" s="200" t="s">
        <v>74</v>
      </c>
      <c r="C29" s="20" t="s">
        <v>74</v>
      </c>
      <c r="D29" s="20" t="s">
        <v>74</v>
      </c>
      <c r="E29" s="201" t="s">
        <v>74</v>
      </c>
      <c r="F29" s="20">
        <v>255480</v>
      </c>
      <c r="G29" s="21">
        <f>SUM(B29:F29)</f>
        <v>255480</v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4"/>
      <c r="U29" s="38"/>
    </row>
    <row r="30" spans="1:21" s="39" customFormat="1" ht="16.2" customHeight="1" x14ac:dyDescent="0.25">
      <c r="A30" s="18" t="s">
        <v>4</v>
      </c>
      <c r="B30" s="72" t="s">
        <v>74</v>
      </c>
      <c r="C30" s="202" t="s">
        <v>74</v>
      </c>
      <c r="D30" s="202" t="s">
        <v>74</v>
      </c>
      <c r="E30" s="203" t="s">
        <v>74</v>
      </c>
      <c r="F30" s="202">
        <v>57215</v>
      </c>
      <c r="G30" s="19">
        <f t="shared" si="0"/>
        <v>57215</v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4"/>
      <c r="U30" s="38"/>
    </row>
    <row r="31" spans="1:21" s="39" customFormat="1" ht="16.2" customHeight="1" x14ac:dyDescent="0.25">
      <c r="A31" s="4" t="s">
        <v>5</v>
      </c>
      <c r="B31" s="32">
        <v>14914</v>
      </c>
      <c r="C31" s="202" t="s">
        <v>74</v>
      </c>
      <c r="D31" s="202" t="s">
        <v>74</v>
      </c>
      <c r="E31" s="203" t="s">
        <v>74</v>
      </c>
      <c r="F31" s="202" t="s">
        <v>74</v>
      </c>
      <c r="G31" s="19">
        <f t="shared" si="0"/>
        <v>14914</v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4"/>
      <c r="U31" s="38"/>
    </row>
    <row r="32" spans="1:21" s="39" customFormat="1" ht="16.2" customHeight="1" x14ac:dyDescent="0.25">
      <c r="A32" s="4" t="s">
        <v>0</v>
      </c>
      <c r="B32" s="14" t="s">
        <v>74</v>
      </c>
      <c r="C32" s="24" t="s">
        <v>74</v>
      </c>
      <c r="D32" s="24" t="s">
        <v>74</v>
      </c>
      <c r="E32" s="26" t="s">
        <v>74</v>
      </c>
      <c r="F32" s="24">
        <v>437080</v>
      </c>
      <c r="G32" s="17">
        <f>SUM(B32:F32)</f>
        <v>437080</v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4"/>
      <c r="U32" s="38"/>
    </row>
    <row r="33" spans="1:21" s="39" customFormat="1" ht="16.2" customHeight="1" x14ac:dyDescent="0.25">
      <c r="A33" s="4" t="s">
        <v>6</v>
      </c>
      <c r="B33" s="14">
        <v>1599444</v>
      </c>
      <c r="C33" s="24" t="s">
        <v>74</v>
      </c>
      <c r="D33" s="24" t="s">
        <v>74</v>
      </c>
      <c r="E33" s="26" t="s">
        <v>74</v>
      </c>
      <c r="F33" s="24" t="s">
        <v>74</v>
      </c>
      <c r="G33" s="17">
        <f>SUM(B33:F33)</f>
        <v>1599444</v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4"/>
      <c r="U33" s="38"/>
    </row>
    <row r="34" spans="1:21" s="39" customFormat="1" ht="16.2" customHeight="1" x14ac:dyDescent="0.25">
      <c r="A34" s="4" t="s">
        <v>16</v>
      </c>
      <c r="B34" s="14">
        <v>54697</v>
      </c>
      <c r="C34" s="24" t="s">
        <v>74</v>
      </c>
      <c r="D34" s="24" t="s">
        <v>74</v>
      </c>
      <c r="E34" s="26" t="s">
        <v>74</v>
      </c>
      <c r="F34" s="24" t="s">
        <v>74</v>
      </c>
      <c r="G34" s="17">
        <f t="shared" si="0"/>
        <v>54697</v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4"/>
      <c r="U34" s="38"/>
    </row>
    <row r="35" spans="1:21" s="39" customFormat="1" ht="16.2" customHeight="1" x14ac:dyDescent="0.25">
      <c r="A35" s="4" t="s">
        <v>13</v>
      </c>
      <c r="B35" s="14">
        <v>105060</v>
      </c>
      <c r="C35" s="24" t="s">
        <v>74</v>
      </c>
      <c r="D35" s="24" t="s">
        <v>74</v>
      </c>
      <c r="E35" s="26" t="s">
        <v>74</v>
      </c>
      <c r="F35" s="24" t="s">
        <v>74</v>
      </c>
      <c r="G35" s="17">
        <f>SUM(B35:F35)</f>
        <v>105060</v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4"/>
      <c r="U35" s="38"/>
    </row>
    <row r="36" spans="1:21" s="39" customFormat="1" ht="16.2" customHeight="1" thickBot="1" x14ac:dyDescent="0.3">
      <c r="A36" s="81" t="s">
        <v>41</v>
      </c>
      <c r="B36" s="204" t="s">
        <v>74</v>
      </c>
      <c r="C36" s="205" t="s">
        <v>74</v>
      </c>
      <c r="D36" s="205" t="s">
        <v>74</v>
      </c>
      <c r="E36" s="206" t="s">
        <v>74</v>
      </c>
      <c r="F36" s="205" t="s">
        <v>74</v>
      </c>
      <c r="G36" s="82">
        <f>SUM(B36:F36)</f>
        <v>0</v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4"/>
      <c r="U36" s="38"/>
    </row>
    <row r="37" spans="1:21" s="39" customFormat="1" ht="16.2" customHeight="1" x14ac:dyDescent="0.25">
      <c r="A37" s="87" t="s">
        <v>56</v>
      </c>
      <c r="B37" s="90">
        <f t="shared" ref="B37:G37" si="1">SUM(B7:B36)</f>
        <v>34800134</v>
      </c>
      <c r="C37" s="91">
        <f t="shared" si="1"/>
        <v>3363472</v>
      </c>
      <c r="D37" s="91">
        <f t="shared" si="1"/>
        <v>11031923</v>
      </c>
      <c r="E37" s="91">
        <f t="shared" si="1"/>
        <v>5913876</v>
      </c>
      <c r="F37" s="91">
        <f t="shared" si="1"/>
        <v>1002076</v>
      </c>
      <c r="G37" s="92">
        <f t="shared" si="1"/>
        <v>56111481</v>
      </c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38"/>
    </row>
    <row r="38" spans="1:21" s="39" customFormat="1" ht="31.2" x14ac:dyDescent="0.25">
      <c r="A38" s="3" t="s">
        <v>79</v>
      </c>
      <c r="B38" s="7" t="s">
        <v>76</v>
      </c>
      <c r="C38" s="8" t="s">
        <v>9</v>
      </c>
      <c r="D38" s="10" t="s">
        <v>10</v>
      </c>
      <c r="E38" s="11" t="s">
        <v>11</v>
      </c>
      <c r="F38" s="12" t="s">
        <v>65</v>
      </c>
      <c r="G38" s="9" t="s">
        <v>8</v>
      </c>
      <c r="H38" s="36"/>
      <c r="I38" s="37"/>
      <c r="J38" s="37"/>
      <c r="K38" s="36"/>
      <c r="L38" s="36"/>
      <c r="M38" s="36"/>
      <c r="N38" s="36"/>
      <c r="O38" s="36"/>
      <c r="P38" s="37"/>
      <c r="Q38" s="36"/>
      <c r="R38" s="36"/>
      <c r="S38" s="37"/>
      <c r="T38" s="37"/>
      <c r="U38" s="38"/>
    </row>
    <row r="39" spans="1:21" s="39" customFormat="1" ht="16.2" customHeight="1" x14ac:dyDescent="0.25">
      <c r="A39" s="74" t="s">
        <v>110</v>
      </c>
      <c r="B39" s="210" t="s">
        <v>148</v>
      </c>
      <c r="C39" s="208" t="s">
        <v>148</v>
      </c>
      <c r="D39" s="208" t="s">
        <v>148</v>
      </c>
      <c r="E39" s="208" t="s">
        <v>148</v>
      </c>
      <c r="F39" s="208" t="s">
        <v>148</v>
      </c>
      <c r="G39" s="208" t="s">
        <v>148</v>
      </c>
      <c r="H39" s="6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3"/>
    </row>
    <row r="40" spans="1:21" s="39" customFormat="1" ht="16.2" customHeight="1" x14ac:dyDescent="0.25">
      <c r="A40" s="59" t="s">
        <v>66</v>
      </c>
      <c r="B40" s="13" t="s">
        <v>74</v>
      </c>
      <c r="C40" s="71" t="s">
        <v>74</v>
      </c>
      <c r="D40" s="71" t="s">
        <v>74</v>
      </c>
      <c r="E40" s="68" t="s">
        <v>74</v>
      </c>
      <c r="F40" s="285">
        <v>450600</v>
      </c>
      <c r="G40" s="88">
        <f t="shared" ref="G40:G52" si="2">SUM(B40:F40)</f>
        <v>450600</v>
      </c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3"/>
    </row>
    <row r="41" spans="1:21" s="39" customFormat="1" ht="16.2" customHeight="1" x14ac:dyDescent="0.25">
      <c r="A41" s="59" t="s">
        <v>55</v>
      </c>
      <c r="B41" s="72" t="s">
        <v>74</v>
      </c>
      <c r="C41" s="32" t="s">
        <v>74</v>
      </c>
      <c r="D41" s="32" t="s">
        <v>74</v>
      </c>
      <c r="E41" s="69" t="s">
        <v>74</v>
      </c>
      <c r="F41" s="32">
        <v>37280</v>
      </c>
      <c r="G41" s="64">
        <f t="shared" si="2"/>
        <v>37280</v>
      </c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3"/>
    </row>
    <row r="42" spans="1:21" s="39" customFormat="1" ht="16.2" customHeight="1" x14ac:dyDescent="0.25">
      <c r="A42" s="59" t="s">
        <v>67</v>
      </c>
      <c r="B42" s="72" t="s">
        <v>74</v>
      </c>
      <c r="C42" s="32" t="s">
        <v>74</v>
      </c>
      <c r="D42" s="32" t="s">
        <v>74</v>
      </c>
      <c r="E42" s="69" t="s">
        <v>74</v>
      </c>
      <c r="F42" s="32">
        <v>21400</v>
      </c>
      <c r="G42" s="64">
        <f t="shared" si="2"/>
        <v>21400</v>
      </c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3"/>
    </row>
    <row r="43" spans="1:21" s="39" customFormat="1" ht="16.2" customHeight="1" x14ac:dyDescent="0.25">
      <c r="A43" s="59" t="s">
        <v>59</v>
      </c>
      <c r="B43" s="72" t="s">
        <v>74</v>
      </c>
      <c r="C43" s="32" t="s">
        <v>74</v>
      </c>
      <c r="D43" s="32" t="s">
        <v>74</v>
      </c>
      <c r="E43" s="69" t="s">
        <v>74</v>
      </c>
      <c r="F43" s="32">
        <v>15300</v>
      </c>
      <c r="G43" s="64">
        <f t="shared" si="2"/>
        <v>15300</v>
      </c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3"/>
    </row>
    <row r="44" spans="1:21" s="39" customFormat="1" ht="16.2" customHeight="1" x14ac:dyDescent="0.25">
      <c r="A44" s="59" t="s">
        <v>68</v>
      </c>
      <c r="B44" s="72" t="s">
        <v>74</v>
      </c>
      <c r="C44" s="32" t="s">
        <v>74</v>
      </c>
      <c r="D44" s="32" t="s">
        <v>74</v>
      </c>
      <c r="E44" s="69" t="s">
        <v>74</v>
      </c>
      <c r="F44" s="32">
        <v>622800</v>
      </c>
      <c r="G44" s="64">
        <f t="shared" si="2"/>
        <v>622800</v>
      </c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3"/>
    </row>
    <row r="45" spans="1:21" s="39" customFormat="1" ht="16.2" customHeight="1" x14ac:dyDescent="0.25">
      <c r="A45" s="59" t="s">
        <v>145</v>
      </c>
      <c r="B45" s="72" t="s">
        <v>74</v>
      </c>
      <c r="C45" s="32" t="s">
        <v>74</v>
      </c>
      <c r="D45" s="32" t="s">
        <v>74</v>
      </c>
      <c r="E45" s="69" t="s">
        <v>74</v>
      </c>
      <c r="F45" s="32">
        <v>49300</v>
      </c>
      <c r="G45" s="64">
        <f t="shared" si="2"/>
        <v>49300</v>
      </c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3"/>
    </row>
    <row r="46" spans="1:21" s="39" customFormat="1" ht="16.2" customHeight="1" x14ac:dyDescent="0.25">
      <c r="A46" s="59" t="s">
        <v>69</v>
      </c>
      <c r="B46" s="72" t="s">
        <v>74</v>
      </c>
      <c r="C46" s="32" t="s">
        <v>74</v>
      </c>
      <c r="D46" s="32" t="s">
        <v>74</v>
      </c>
      <c r="E46" s="69" t="s">
        <v>74</v>
      </c>
      <c r="F46" s="32">
        <v>1158340</v>
      </c>
      <c r="G46" s="64">
        <f t="shared" si="2"/>
        <v>1158340</v>
      </c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3"/>
    </row>
    <row r="47" spans="1:21" s="39" customFormat="1" ht="16.2" customHeight="1" x14ac:dyDescent="0.25">
      <c r="A47" s="63" t="s">
        <v>75</v>
      </c>
      <c r="B47" s="72" t="s">
        <v>74</v>
      </c>
      <c r="C47" s="32" t="s">
        <v>74</v>
      </c>
      <c r="D47" s="32" t="s">
        <v>74</v>
      </c>
      <c r="E47" s="69" t="s">
        <v>74</v>
      </c>
      <c r="F47" s="32">
        <v>36840</v>
      </c>
      <c r="G47" s="303">
        <f t="shared" si="2"/>
        <v>36840</v>
      </c>
      <c r="H47" s="6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3"/>
    </row>
    <row r="48" spans="1:21" s="39" customFormat="1" ht="16.2" customHeight="1" x14ac:dyDescent="0.25">
      <c r="A48" s="59" t="s">
        <v>60</v>
      </c>
      <c r="B48" s="72" t="s">
        <v>74</v>
      </c>
      <c r="C48" s="32" t="s">
        <v>74</v>
      </c>
      <c r="D48" s="32" t="s">
        <v>74</v>
      </c>
      <c r="E48" s="69" t="s">
        <v>74</v>
      </c>
      <c r="F48" s="32">
        <v>165540</v>
      </c>
      <c r="G48" s="65">
        <f>SUM(B48:F48)</f>
        <v>165540</v>
      </c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3"/>
    </row>
    <row r="49" spans="1:21" s="39" customFormat="1" ht="16.2" customHeight="1" x14ac:dyDescent="0.25">
      <c r="A49" s="59" t="s">
        <v>70</v>
      </c>
      <c r="B49" s="72" t="s">
        <v>74</v>
      </c>
      <c r="C49" s="32" t="s">
        <v>74</v>
      </c>
      <c r="D49" s="32" t="s">
        <v>74</v>
      </c>
      <c r="E49" s="69" t="s">
        <v>74</v>
      </c>
      <c r="F49" s="32">
        <v>535860</v>
      </c>
      <c r="G49" s="64">
        <f t="shared" si="2"/>
        <v>535860</v>
      </c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3"/>
    </row>
    <row r="50" spans="1:21" s="39" customFormat="1" ht="16.2" customHeight="1" x14ac:dyDescent="0.25">
      <c r="A50" s="59" t="s">
        <v>53</v>
      </c>
      <c r="B50" s="72" t="s">
        <v>74</v>
      </c>
      <c r="C50" s="32" t="s">
        <v>74</v>
      </c>
      <c r="D50" s="32" t="s">
        <v>74</v>
      </c>
      <c r="E50" s="69" t="s">
        <v>74</v>
      </c>
      <c r="F50" s="32">
        <v>160600</v>
      </c>
      <c r="G50" s="64">
        <f t="shared" si="2"/>
        <v>160600</v>
      </c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3"/>
    </row>
    <row r="51" spans="1:21" s="39" customFormat="1" ht="16.2" customHeight="1" x14ac:dyDescent="0.25">
      <c r="A51" s="59" t="s">
        <v>61</v>
      </c>
      <c r="B51" s="72" t="s">
        <v>74</v>
      </c>
      <c r="C51" s="32" t="s">
        <v>74</v>
      </c>
      <c r="D51" s="32" t="s">
        <v>74</v>
      </c>
      <c r="E51" s="69" t="s">
        <v>74</v>
      </c>
      <c r="F51" s="32">
        <v>168000</v>
      </c>
      <c r="G51" s="64">
        <f t="shared" si="2"/>
        <v>168000</v>
      </c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3"/>
    </row>
    <row r="52" spans="1:21" s="39" customFormat="1" ht="16.2" customHeight="1" x14ac:dyDescent="0.25">
      <c r="A52" s="73" t="s">
        <v>71</v>
      </c>
      <c r="B52" s="67" t="s">
        <v>74</v>
      </c>
      <c r="C52" s="67" t="s">
        <v>74</v>
      </c>
      <c r="D52" s="67" t="s">
        <v>74</v>
      </c>
      <c r="E52" s="70" t="s">
        <v>74</v>
      </c>
      <c r="F52" s="67">
        <v>175600</v>
      </c>
      <c r="G52" s="66">
        <f t="shared" si="2"/>
        <v>175600</v>
      </c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3"/>
    </row>
    <row r="53" spans="1:21" s="39" customFormat="1" ht="16.2" customHeight="1" x14ac:dyDescent="0.3">
      <c r="A53" s="167" t="s">
        <v>63</v>
      </c>
      <c r="B53" s="210" t="s">
        <v>148</v>
      </c>
      <c r="C53" s="208" t="s">
        <v>148</v>
      </c>
      <c r="D53" s="208" t="s">
        <v>148</v>
      </c>
      <c r="E53" s="208" t="s">
        <v>148</v>
      </c>
      <c r="F53" s="208" t="s">
        <v>148</v>
      </c>
      <c r="G53" s="208" t="s">
        <v>148</v>
      </c>
      <c r="H53" s="6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3"/>
    </row>
    <row r="54" spans="1:21" s="39" customFormat="1" ht="16.2" customHeight="1" thickBot="1" x14ac:dyDescent="0.3">
      <c r="A54" s="83" t="s">
        <v>14</v>
      </c>
      <c r="B54" s="311">
        <v>429633</v>
      </c>
      <c r="C54" s="84" t="s">
        <v>74</v>
      </c>
      <c r="D54" s="84" t="s">
        <v>74</v>
      </c>
      <c r="E54" s="85" t="s">
        <v>74</v>
      </c>
      <c r="F54" s="86" t="s">
        <v>74</v>
      </c>
      <c r="G54" s="195">
        <f>SUM(B54:F54)</f>
        <v>429633</v>
      </c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3"/>
    </row>
    <row r="55" spans="1:21" s="39" customFormat="1" ht="16.2" customHeight="1" x14ac:dyDescent="0.25">
      <c r="A55" s="87" t="s">
        <v>57</v>
      </c>
      <c r="B55" s="93">
        <f>SUM(B39:B54)</f>
        <v>429633</v>
      </c>
      <c r="C55" s="94">
        <f>SUM(C39:C54)</f>
        <v>0</v>
      </c>
      <c r="D55" s="94">
        <f>SUM(D39:D54)</f>
        <v>0</v>
      </c>
      <c r="E55" s="95">
        <f>SUM(E39:E54)</f>
        <v>0</v>
      </c>
      <c r="F55" s="91">
        <f>SUM(F39:F54)</f>
        <v>3597460</v>
      </c>
      <c r="G55" s="92">
        <f>SUM(G40:G54)</f>
        <v>4027093</v>
      </c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</row>
    <row r="56" spans="1:21" s="39" customFormat="1" ht="16.2" customHeight="1" thickBot="1" x14ac:dyDescent="0.3">
      <c r="A56" s="59" t="s">
        <v>54</v>
      </c>
      <c r="B56" s="76" t="s">
        <v>74</v>
      </c>
      <c r="C56" s="77" t="s">
        <v>74</v>
      </c>
      <c r="D56" s="78" t="s">
        <v>74</v>
      </c>
      <c r="E56" s="78" t="s">
        <v>74</v>
      </c>
      <c r="F56" s="261">
        <v>-112940</v>
      </c>
      <c r="G56" s="96">
        <f>SUM(B56:F56)</f>
        <v>-112940</v>
      </c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</row>
    <row r="57" spans="1:21" s="39" customFormat="1" ht="16.2" customHeight="1" thickTop="1" x14ac:dyDescent="0.25">
      <c r="A57" s="176" t="s">
        <v>58</v>
      </c>
      <c r="B57" s="97">
        <f>+B37+B55</f>
        <v>35229767</v>
      </c>
      <c r="C57" s="98">
        <f>+C37+C55</f>
        <v>3363472</v>
      </c>
      <c r="D57" s="99">
        <f>+D37+D55</f>
        <v>11031923</v>
      </c>
      <c r="E57" s="98">
        <f>+E37+E55</f>
        <v>5913876</v>
      </c>
      <c r="F57" s="99">
        <f>+F37+F55+F56</f>
        <v>4486596</v>
      </c>
      <c r="G57" s="100">
        <f>+G37+G56+G55</f>
        <v>60025634</v>
      </c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3"/>
    </row>
    <row r="58" spans="1:21" s="56" customFormat="1" ht="6.6" x14ac:dyDescent="0.25">
      <c r="A58" s="313"/>
      <c r="B58" s="313"/>
      <c r="C58" s="313"/>
      <c r="D58" s="313"/>
      <c r="E58" s="313"/>
      <c r="F58" s="313"/>
      <c r="G58" s="31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5"/>
    </row>
    <row r="59" spans="1:21" ht="15" x14ac:dyDescent="0.25">
      <c r="A59" s="321" t="s">
        <v>77</v>
      </c>
      <c r="B59" s="321"/>
      <c r="C59" s="321"/>
      <c r="D59" s="321"/>
      <c r="E59" s="321"/>
      <c r="F59" s="321"/>
      <c r="G59" s="321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8"/>
    </row>
    <row r="60" spans="1:21" ht="15" x14ac:dyDescent="0.25">
      <c r="A60" s="319" t="s">
        <v>78</v>
      </c>
      <c r="B60" s="319"/>
      <c r="C60" s="319"/>
      <c r="D60" s="319"/>
      <c r="E60" s="319"/>
      <c r="F60" s="319"/>
      <c r="G60" s="319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8"/>
    </row>
    <row r="61" spans="1:21" x14ac:dyDescent="0.25">
      <c r="A61" s="319" t="s">
        <v>51</v>
      </c>
      <c r="B61" s="319"/>
      <c r="C61" s="319"/>
      <c r="D61" s="319"/>
      <c r="E61" s="319"/>
      <c r="F61" s="319"/>
      <c r="G61" s="319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8"/>
    </row>
    <row r="62" spans="1:21" x14ac:dyDescent="0.25">
      <c r="A62" s="319" t="s">
        <v>52</v>
      </c>
      <c r="B62" s="319"/>
      <c r="C62" s="319"/>
      <c r="D62" s="319"/>
      <c r="E62" s="319"/>
      <c r="F62" s="319"/>
      <c r="G62" s="319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8"/>
    </row>
    <row r="63" spans="1:21" x14ac:dyDescent="0.25">
      <c r="A63" s="322" t="s">
        <v>126</v>
      </c>
      <c r="B63" s="322"/>
      <c r="C63" s="322"/>
      <c r="D63" s="322"/>
      <c r="E63" s="322"/>
      <c r="F63" s="322"/>
      <c r="G63" s="322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</row>
    <row r="64" spans="1:21" x14ac:dyDescent="0.25">
      <c r="A64" s="319" t="s">
        <v>170</v>
      </c>
      <c r="B64" s="319"/>
      <c r="C64" s="319"/>
      <c r="D64" s="319"/>
      <c r="E64" s="319"/>
      <c r="F64" s="319"/>
      <c r="G64" s="319"/>
    </row>
    <row r="65" spans="1:7" x14ac:dyDescent="0.25">
      <c r="A65" s="320" t="s">
        <v>73</v>
      </c>
      <c r="B65" s="320"/>
      <c r="C65" s="320"/>
      <c r="D65" s="320"/>
      <c r="E65" s="320"/>
      <c r="F65" s="320"/>
      <c r="G65" s="320"/>
    </row>
  </sheetData>
  <mergeCells count="12">
    <mergeCell ref="A64:G64"/>
    <mergeCell ref="A65:G65"/>
    <mergeCell ref="A59:G59"/>
    <mergeCell ref="A60:G60"/>
    <mergeCell ref="A61:G61"/>
    <mergeCell ref="A62:G62"/>
    <mergeCell ref="A63:G63"/>
    <mergeCell ref="A58:G58"/>
    <mergeCell ref="A1:G1"/>
    <mergeCell ref="A2:G2"/>
    <mergeCell ref="A3:G3"/>
    <mergeCell ref="A4:F4"/>
  </mergeCells>
  <hyperlinks>
    <hyperlink ref="A8" location="'Giants Ridge'!A1" tooltip="Giants Ridge" display="Giants Ridge" xr:uid="{00000000-0004-0000-0000-000000000000}"/>
    <hyperlink ref="A11" location="'Marshall'!A1" tooltip="Marshall" display="Marshall" xr:uid="{00000000-0004-0000-0000-000001000000}"/>
    <hyperlink ref="A12" location="Minneapolis!A1" tooltip="Minneapolis" display="Minneapolis" xr:uid="{00000000-0004-0000-0000-000002000000}"/>
    <hyperlink ref="A15" location="Rochester!A1" tooltip="Rochester" display="Rochester" xr:uid="{00000000-0004-0000-0000-000003000000}"/>
    <hyperlink ref="A17" location="'St. Cloud'!A1" tooltip="St. Cloud" display="St. Cloud" xr:uid="{00000000-0004-0000-0000-000004000000}"/>
    <hyperlink ref="A18" location="'St. Paul'!A1" tooltip="St. Paul" display="St. Paul" xr:uid="{00000000-0004-0000-0000-000005000000}"/>
    <hyperlink ref="A7" location="'Detroit Lakes'!A1" tooltip="Detroit Lakes" display="Detroit Lakes" xr:uid="{00000000-0004-0000-0000-000006000000}"/>
    <hyperlink ref="A10" location="'Mankato'!A1" tooltip="Mankato" display="Mankato" xr:uid="{00000000-0004-0000-0000-000007000000}"/>
    <hyperlink ref="A41" location="'Beltrami'!A1" tooltip="Beltrami" display="Beltrami" xr:uid="{00000000-0004-0000-0000-000008000000}"/>
    <hyperlink ref="A50" location="'Scott'!A1" tooltip="Scott" display="Scott" xr:uid="{00000000-0004-0000-0000-000009000000}"/>
    <hyperlink ref="A43" location="'Carlton'!A1" tooltip="Carlton" display="Carlton" xr:uid="{00000000-0004-0000-0000-00000A000000}"/>
    <hyperlink ref="A51" location="'St. Louis'!A1" tooltip="St. Louis" display="St. Louis" xr:uid="{00000000-0004-0000-0000-00000B000000}"/>
    <hyperlink ref="A13" location="'Proctor'!A1" tooltip="Proctor" display="Proctor" xr:uid="{00000000-0004-0000-0000-00000C000000}"/>
    <hyperlink ref="A56" location="'Metro Area Transit'!A1" tooltip="Metro Area Transit" display="Metro Area Transit" xr:uid="{00000000-0004-0000-0000-00000D000000}"/>
    <hyperlink ref="A40" location="Anoka!A1" tooltip="Anoka" display="Anoka" xr:uid="{00000000-0004-0000-0000-00000E000000}"/>
    <hyperlink ref="A42" location="Carver!A1" tooltip="Carver" display="Carver" xr:uid="{00000000-0004-0000-0000-00000F000000}"/>
    <hyperlink ref="A44" location="Dakota!A1" tooltip="Dakota" display="Dakota" xr:uid="{00000000-0004-0000-0000-000010000000}"/>
    <hyperlink ref="A46" location="Hennepin!A1" tooltip="Hennepin" display="Hennepin" xr:uid="{00000000-0004-0000-0000-000011000000}"/>
    <hyperlink ref="A49" location="Ramsey!A1" tooltip="Ramsey" display="Ramsey" xr:uid="{00000000-0004-0000-0000-000012000000}"/>
    <hyperlink ref="A52" location="Washington!A1" tooltip="Washington" display="Washington" xr:uid="{00000000-0004-0000-0000-000013000000}"/>
    <hyperlink ref="A47" location="Kandiyohi!A1" tooltip="Kandiyohi" display="Kandiyohi" xr:uid="{00000000-0004-0000-0000-000014000000}"/>
    <hyperlink ref="A48" location="'Otter Tail'!A1" tooltip="Otter Tail" display="Otter Tail" xr:uid="{00000000-0004-0000-0000-000015000000}"/>
    <hyperlink ref="A20" location="'Locally Administered'!A1" display="Locally Administered" xr:uid="{00000000-0004-0000-0000-000016000000}"/>
    <hyperlink ref="A53" location="'Locally Administered'!A1" display="Locally Administered" xr:uid="{00000000-0004-0000-0000-000017000000}"/>
    <hyperlink ref="A45" location="Goodhue!A1" display="Goodhue" xr:uid="{00000000-0004-0000-0000-000018000000}"/>
    <hyperlink ref="A19" location="Willmar!A1" display="Willmar" xr:uid="{341B8CF8-607C-4936-B6AE-48E1B6C6B901}"/>
    <hyperlink ref="A9" location="'North Mankato'!Print_Area" display="North Mankato" xr:uid="{01B3C820-8F47-49BD-BD3B-44A2A3837F7A}"/>
    <hyperlink ref="A14" location="Rogers!A1" display="Rogers" xr:uid="{8BD18FBA-CEB4-487A-91CC-037D894C9199}"/>
    <hyperlink ref="A16" location="'Sauk Centre'!A1" display="Sauk Centre" xr:uid="{D261B91F-5517-4A46-B502-DBD7F93C45F1}"/>
  </hyperlinks>
  <pageMargins left="0.3" right="0" top="0.5" bottom="0.25" header="0.21" footer="0.31"/>
  <pageSetup scale="64" orientation="portrait" r:id="rId1"/>
  <headerFooter alignWithMargins="0"/>
  <ignoredErrors>
    <ignoredError sqref="G3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A1:X21"/>
  <sheetViews>
    <sheetView showGridLines="0" workbookViewId="0">
      <pane ySplit="1" topLeftCell="A2" activePane="bottomLeft" state="frozen"/>
      <selection pane="bottomLeft" sqref="A1:X1"/>
    </sheetView>
  </sheetViews>
  <sheetFormatPr defaultRowHeight="13.8" x14ac:dyDescent="0.25"/>
  <cols>
    <col min="1" max="1" width="12.5546875" style="207" customWidth="1"/>
    <col min="2" max="16" width="13.5546875" style="104" hidden="1" customWidth="1"/>
    <col min="17" max="18" width="13.5546875" style="104" customWidth="1"/>
    <col min="19" max="16384" width="8.88671875" style="104"/>
  </cols>
  <sheetData>
    <row r="1" spans="1:24" s="101" customFormat="1" ht="21" x14ac:dyDescent="0.25">
      <c r="A1" s="325" t="s">
        <v>147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  <c r="U1" s="325"/>
      <c r="V1" s="325"/>
      <c r="W1" s="325"/>
      <c r="X1" s="325"/>
    </row>
    <row r="2" spans="1:24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24" ht="18" x14ac:dyDescent="0.25">
      <c r="A3" s="326" t="s">
        <v>146</v>
      </c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  <c r="U3" s="326"/>
    </row>
    <row r="4" spans="1:24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24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13" t="s">
        <v>74</v>
      </c>
      <c r="O5" s="113" t="s">
        <v>74</v>
      </c>
      <c r="P5" s="113" t="s">
        <v>74</v>
      </c>
      <c r="Q5" s="174">
        <v>0</v>
      </c>
      <c r="R5" s="273">
        <v>13160</v>
      </c>
    </row>
    <row r="6" spans="1:24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11" t="s">
        <v>74</v>
      </c>
      <c r="O6" s="111" t="s">
        <v>74</v>
      </c>
      <c r="P6" s="111" t="s">
        <v>74</v>
      </c>
      <c r="Q6" s="111">
        <v>5380</v>
      </c>
      <c r="R6" s="267">
        <v>6080</v>
      </c>
    </row>
    <row r="7" spans="1:24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11" t="s">
        <v>74</v>
      </c>
      <c r="O7" s="111" t="s">
        <v>74</v>
      </c>
      <c r="P7" s="111" t="s">
        <v>74</v>
      </c>
      <c r="Q7" s="111">
        <v>5960</v>
      </c>
      <c r="R7" s="267">
        <v>7720</v>
      </c>
    </row>
    <row r="8" spans="1:24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11" t="s">
        <v>74</v>
      </c>
      <c r="N8" s="111" t="s">
        <v>74</v>
      </c>
      <c r="O8" s="111" t="s">
        <v>74</v>
      </c>
      <c r="P8" s="111" t="s">
        <v>74</v>
      </c>
      <c r="Q8" s="111">
        <v>10460</v>
      </c>
      <c r="R8" s="267">
        <v>10240</v>
      </c>
    </row>
    <row r="9" spans="1:24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11" t="s">
        <v>74</v>
      </c>
      <c r="N9" s="111" t="s">
        <v>74</v>
      </c>
      <c r="O9" s="111" t="s">
        <v>74</v>
      </c>
      <c r="P9" s="111" t="s">
        <v>74</v>
      </c>
      <c r="Q9" s="111">
        <v>7400</v>
      </c>
      <c r="R9" s="267">
        <v>4760</v>
      </c>
    </row>
    <row r="10" spans="1:24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11" t="s">
        <v>74</v>
      </c>
      <c r="N10" s="111" t="s">
        <v>74</v>
      </c>
      <c r="O10" s="111" t="s">
        <v>74</v>
      </c>
      <c r="P10" s="111" t="s">
        <v>74</v>
      </c>
      <c r="Q10" s="111">
        <v>6980</v>
      </c>
      <c r="R10" s="267">
        <v>7340</v>
      </c>
    </row>
    <row r="11" spans="1:24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11" t="s">
        <v>74</v>
      </c>
      <c r="N11" s="111" t="s">
        <v>74</v>
      </c>
      <c r="O11" s="111" t="s">
        <v>74</v>
      </c>
      <c r="P11" s="111" t="s">
        <v>74</v>
      </c>
      <c r="Q11" s="111">
        <v>9500</v>
      </c>
      <c r="R11" s="279" t="s">
        <v>74</v>
      </c>
    </row>
    <row r="12" spans="1:24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11" t="s">
        <v>74</v>
      </c>
      <c r="M12" s="111" t="s">
        <v>74</v>
      </c>
      <c r="N12" s="111" t="s">
        <v>74</v>
      </c>
      <c r="O12" s="111" t="s">
        <v>74</v>
      </c>
      <c r="P12" s="111" t="s">
        <v>74</v>
      </c>
      <c r="Q12" s="111">
        <v>6860</v>
      </c>
      <c r="R12" s="280" t="s">
        <v>74</v>
      </c>
    </row>
    <row r="13" spans="1:24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11" t="s">
        <v>74</v>
      </c>
      <c r="M13" s="111" t="s">
        <v>74</v>
      </c>
      <c r="N13" s="111" t="s">
        <v>74</v>
      </c>
      <c r="O13" s="111" t="s">
        <v>74</v>
      </c>
      <c r="P13" s="111" t="s">
        <v>74</v>
      </c>
      <c r="Q13" s="111">
        <v>7980</v>
      </c>
      <c r="R13" s="280" t="s">
        <v>74</v>
      </c>
    </row>
    <row r="14" spans="1:24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11" t="s">
        <v>74</v>
      </c>
      <c r="M14" s="111" t="s">
        <v>74</v>
      </c>
      <c r="N14" s="111" t="s">
        <v>74</v>
      </c>
      <c r="O14" s="111" t="s">
        <v>74</v>
      </c>
      <c r="P14" s="111" t="s">
        <v>74</v>
      </c>
      <c r="Q14" s="111">
        <v>13260</v>
      </c>
      <c r="R14" s="280" t="s">
        <v>74</v>
      </c>
    </row>
    <row r="15" spans="1:24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11" t="s">
        <v>74</v>
      </c>
      <c r="M15" s="111" t="s">
        <v>74</v>
      </c>
      <c r="N15" s="111" t="s">
        <v>74</v>
      </c>
      <c r="O15" s="111" t="s">
        <v>74</v>
      </c>
      <c r="P15" s="111" t="s">
        <v>74</v>
      </c>
      <c r="Q15" s="111">
        <v>7440</v>
      </c>
      <c r="R15" s="280" t="s">
        <v>74</v>
      </c>
    </row>
    <row r="16" spans="1:24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 t="s">
        <v>74</v>
      </c>
      <c r="L16" s="120" t="s">
        <v>74</v>
      </c>
      <c r="M16" s="120" t="s">
        <v>74</v>
      </c>
      <c r="N16" s="120" t="s">
        <v>74</v>
      </c>
      <c r="O16" s="120" t="s">
        <v>74</v>
      </c>
      <c r="P16" s="120" t="s">
        <v>74</v>
      </c>
      <c r="Q16" s="120">
        <v>7560</v>
      </c>
      <c r="R16" s="281" t="s">
        <v>74</v>
      </c>
    </row>
    <row r="17" spans="1:21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17" t="s">
        <v>74</v>
      </c>
      <c r="N17" s="117" t="s">
        <v>74</v>
      </c>
      <c r="O17" s="117" t="s">
        <v>74</v>
      </c>
      <c r="P17" s="117" t="s">
        <v>74</v>
      </c>
      <c r="Q17" s="179">
        <f>SUM(Q5:Q16)</f>
        <v>88780</v>
      </c>
      <c r="R17" s="274">
        <f>SUM(R5:R16)</f>
        <v>49300</v>
      </c>
    </row>
    <row r="18" spans="1:21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21" x14ac:dyDescent="0.25">
      <c r="A19" s="329" t="s">
        <v>104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  <c r="S19" s="329"/>
      <c r="T19" s="194"/>
    </row>
    <row r="20" spans="1:21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</row>
    <row r="21" spans="1:21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0:U20"/>
    <mergeCell ref="A21:R21"/>
    <mergeCell ref="A1:X1"/>
    <mergeCell ref="A3:U3"/>
    <mergeCell ref="A2:R2"/>
    <mergeCell ref="A18:R18"/>
    <mergeCell ref="A19:S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/>
  <dimension ref="A1:P37"/>
  <sheetViews>
    <sheetView showGridLines="0" zoomScaleNormal="100" workbookViewId="0">
      <pane ySplit="1" topLeftCell="A2" activePane="bottomLeft" state="frozen"/>
      <selection pane="bottomLeft" sqref="A1:O1"/>
    </sheetView>
  </sheetViews>
  <sheetFormatPr defaultRowHeight="13.8" x14ac:dyDescent="0.25"/>
  <cols>
    <col min="1" max="1" width="25.77734375" style="1" customWidth="1"/>
    <col min="2" max="15" width="13.5546875" style="1" customWidth="1"/>
    <col min="16" max="16384" width="8.88671875" style="1"/>
  </cols>
  <sheetData>
    <row r="1" spans="1:16" s="175" customFormat="1" ht="21" x14ac:dyDescent="0.25">
      <c r="A1" s="332" t="s">
        <v>95</v>
      </c>
      <c r="B1" s="332"/>
      <c r="C1" s="332"/>
      <c r="D1" s="332"/>
      <c r="E1" s="332"/>
      <c r="F1" s="332"/>
      <c r="G1" s="332"/>
      <c r="H1" s="332"/>
      <c r="I1" s="332"/>
      <c r="J1" s="332"/>
      <c r="K1" s="332"/>
      <c r="L1" s="332"/>
      <c r="M1" s="332"/>
      <c r="N1" s="332"/>
      <c r="O1" s="332"/>
    </row>
    <row r="2" spans="1:16" s="79" customFormat="1" ht="18" x14ac:dyDescent="0.25">
      <c r="A2" s="331" t="s">
        <v>150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</row>
    <row r="3" spans="1:16" s="39" customFormat="1" ht="15.6" x14ac:dyDescent="0.25">
      <c r="A3" s="168" t="s">
        <v>63</v>
      </c>
      <c r="B3" s="169">
        <v>2006</v>
      </c>
      <c r="C3" s="115">
        <v>2007</v>
      </c>
      <c r="D3" s="115">
        <v>2008</v>
      </c>
      <c r="E3" s="115">
        <v>2009</v>
      </c>
      <c r="F3" s="115">
        <v>2010</v>
      </c>
      <c r="G3" s="115">
        <v>2011</v>
      </c>
      <c r="H3" s="115">
        <v>2012</v>
      </c>
      <c r="I3" s="115">
        <v>2013</v>
      </c>
      <c r="J3" s="115">
        <v>2014</v>
      </c>
      <c r="K3" s="115">
        <v>2015</v>
      </c>
      <c r="L3" s="115">
        <v>2016</v>
      </c>
      <c r="M3" s="115">
        <v>2017</v>
      </c>
      <c r="N3" s="247">
        <v>2018</v>
      </c>
      <c r="O3" s="170">
        <v>2019</v>
      </c>
    </row>
    <row r="4" spans="1:16" s="39" customFormat="1" ht="15.6" x14ac:dyDescent="0.25">
      <c r="A4" s="171" t="s">
        <v>101</v>
      </c>
      <c r="B4" s="212" t="s">
        <v>84</v>
      </c>
      <c r="C4" s="211" t="s">
        <v>84</v>
      </c>
      <c r="D4" s="211" t="s">
        <v>84</v>
      </c>
      <c r="E4" s="211" t="s">
        <v>84</v>
      </c>
      <c r="F4" s="211" t="s">
        <v>84</v>
      </c>
      <c r="G4" s="211" t="s">
        <v>84</v>
      </c>
      <c r="H4" s="211" t="s">
        <v>84</v>
      </c>
      <c r="I4" s="211" t="s">
        <v>84</v>
      </c>
      <c r="J4" s="211" t="s">
        <v>84</v>
      </c>
      <c r="K4" s="211" t="s">
        <v>84</v>
      </c>
      <c r="L4" s="211" t="s">
        <v>84</v>
      </c>
      <c r="M4" s="211" t="s">
        <v>84</v>
      </c>
      <c r="N4" s="211" t="s">
        <v>84</v>
      </c>
      <c r="O4" s="211" t="s">
        <v>84</v>
      </c>
      <c r="P4" s="213"/>
    </row>
    <row r="5" spans="1:16" s="39" customFormat="1" ht="15.6" x14ac:dyDescent="0.25">
      <c r="A5" s="259" t="s">
        <v>12</v>
      </c>
      <c r="B5" s="228">
        <v>12150792</v>
      </c>
      <c r="C5" s="229">
        <v>13220356</v>
      </c>
      <c r="D5" s="229">
        <v>13494807</v>
      </c>
      <c r="E5" s="229">
        <v>11018530</v>
      </c>
      <c r="F5" s="229">
        <v>11861992</v>
      </c>
      <c r="G5" s="229">
        <v>12897302</v>
      </c>
      <c r="H5" s="229">
        <v>13422224</v>
      </c>
      <c r="I5" s="229">
        <v>14433709</v>
      </c>
      <c r="J5" s="229">
        <v>16102730</v>
      </c>
      <c r="K5" s="229">
        <v>16418917</v>
      </c>
      <c r="L5" s="229">
        <v>19439880</v>
      </c>
      <c r="M5" s="229">
        <v>18350700</v>
      </c>
      <c r="N5" s="252">
        <v>20513496</v>
      </c>
      <c r="O5" s="248">
        <v>20095401</v>
      </c>
    </row>
    <row r="6" spans="1:16" s="39" customFormat="1" ht="15.6" x14ac:dyDescent="0.25">
      <c r="A6" s="172" t="s">
        <v>45</v>
      </c>
      <c r="B6" s="218">
        <v>367385</v>
      </c>
      <c r="C6" s="219">
        <v>353398</v>
      </c>
      <c r="D6" s="219">
        <v>309981</v>
      </c>
      <c r="E6" s="219">
        <v>295646</v>
      </c>
      <c r="F6" s="219">
        <v>348373</v>
      </c>
      <c r="G6" s="219">
        <v>426151</v>
      </c>
      <c r="H6" s="220">
        <v>441310</v>
      </c>
      <c r="I6" s="220">
        <v>440626</v>
      </c>
      <c r="J6" s="220">
        <v>457326</v>
      </c>
      <c r="K6" s="220">
        <v>537713</v>
      </c>
      <c r="L6" s="220">
        <v>579760</v>
      </c>
      <c r="M6" s="220">
        <v>601573</v>
      </c>
      <c r="N6" s="220">
        <v>554782</v>
      </c>
      <c r="O6" s="249">
        <v>514813</v>
      </c>
    </row>
    <row r="7" spans="1:16" s="39" customFormat="1" ht="15.6" x14ac:dyDescent="0.25">
      <c r="A7" s="260" t="s">
        <v>14</v>
      </c>
      <c r="B7" s="221" t="s">
        <v>74</v>
      </c>
      <c r="C7" s="222" t="s">
        <v>74</v>
      </c>
      <c r="D7" s="222" t="s">
        <v>74</v>
      </c>
      <c r="E7" s="219">
        <v>250478</v>
      </c>
      <c r="F7" s="219">
        <v>274713</v>
      </c>
      <c r="G7" s="219">
        <v>293575</v>
      </c>
      <c r="H7" s="220">
        <v>307000</v>
      </c>
      <c r="I7" s="220">
        <v>323787</v>
      </c>
      <c r="J7" s="220">
        <v>330917</v>
      </c>
      <c r="K7" s="220">
        <v>359781</v>
      </c>
      <c r="L7" s="220">
        <v>385417</v>
      </c>
      <c r="M7" s="220">
        <v>399478</v>
      </c>
      <c r="N7" s="220">
        <v>429491</v>
      </c>
      <c r="O7" s="249">
        <v>429633</v>
      </c>
    </row>
    <row r="8" spans="1:16" s="39" customFormat="1" ht="15.6" x14ac:dyDescent="0.25">
      <c r="A8" s="129" t="s">
        <v>1</v>
      </c>
      <c r="B8" s="218">
        <v>2996863</v>
      </c>
      <c r="C8" s="219">
        <v>3323225</v>
      </c>
      <c r="D8" s="219">
        <v>3432331</v>
      </c>
      <c r="E8" s="219">
        <v>3302840</v>
      </c>
      <c r="F8" s="219">
        <v>3597495</v>
      </c>
      <c r="G8" s="219">
        <v>3836211</v>
      </c>
      <c r="H8" s="220">
        <v>4053588</v>
      </c>
      <c r="I8" s="220">
        <v>3990722</v>
      </c>
      <c r="J8" s="220">
        <v>4449296</v>
      </c>
      <c r="K8" s="220">
        <v>5266030</v>
      </c>
      <c r="L8" s="220">
        <v>5750630</v>
      </c>
      <c r="M8" s="220">
        <v>5845400.2699999996</v>
      </c>
      <c r="N8" s="220">
        <v>6222186.5600000005</v>
      </c>
      <c r="O8" s="249">
        <v>6373158</v>
      </c>
    </row>
    <row r="9" spans="1:16" s="39" customFormat="1" ht="15.6" x14ac:dyDescent="0.25">
      <c r="A9" s="172" t="s">
        <v>5</v>
      </c>
      <c r="B9" s="215">
        <v>3638</v>
      </c>
      <c r="C9" s="216">
        <v>3938</v>
      </c>
      <c r="D9" s="216">
        <v>3812</v>
      </c>
      <c r="E9" s="216">
        <v>3542</v>
      </c>
      <c r="F9" s="216">
        <f>36395*0.1</f>
        <v>3639.5</v>
      </c>
      <c r="G9" s="216">
        <f>39528*0.1</f>
        <v>3952.8</v>
      </c>
      <c r="H9" s="217">
        <v>12669</v>
      </c>
      <c r="I9" s="217">
        <v>13749</v>
      </c>
      <c r="J9" s="217">
        <v>14668.5</v>
      </c>
      <c r="K9" s="217">
        <v>15581</v>
      </c>
      <c r="L9" s="217">
        <v>16444</v>
      </c>
      <c r="M9" s="216">
        <v>15454</v>
      </c>
      <c r="N9" s="216">
        <v>15289</v>
      </c>
      <c r="O9" s="250">
        <v>14914</v>
      </c>
    </row>
    <row r="10" spans="1:16" s="39" customFormat="1" ht="15.6" x14ac:dyDescent="0.25">
      <c r="A10" s="260" t="s">
        <v>6</v>
      </c>
      <c r="B10" s="218">
        <v>1044517</v>
      </c>
      <c r="C10" s="219">
        <v>1116272</v>
      </c>
      <c r="D10" s="219">
        <v>1069702</v>
      </c>
      <c r="E10" s="219">
        <v>1002729</v>
      </c>
      <c r="F10" s="219">
        <v>1111445</v>
      </c>
      <c r="G10" s="219">
        <v>1168599</v>
      </c>
      <c r="H10" s="220">
        <v>1251438</v>
      </c>
      <c r="I10" s="220">
        <v>1336559</v>
      </c>
      <c r="J10" s="220">
        <v>1455900</v>
      </c>
      <c r="K10" s="220">
        <v>1508300</v>
      </c>
      <c r="L10" s="220">
        <v>1662376</v>
      </c>
      <c r="M10" s="220">
        <v>1623035</v>
      </c>
      <c r="N10" s="220">
        <v>1623034.85</v>
      </c>
      <c r="O10" s="249">
        <v>1599444</v>
      </c>
    </row>
    <row r="11" spans="1:16" s="39" customFormat="1" ht="15.6" x14ac:dyDescent="0.25">
      <c r="A11" s="129" t="s">
        <v>16</v>
      </c>
      <c r="B11" s="218">
        <v>26832</v>
      </c>
      <c r="C11" s="219">
        <v>25758</v>
      </c>
      <c r="D11" s="219">
        <v>28663</v>
      </c>
      <c r="E11" s="219">
        <v>28038</v>
      </c>
      <c r="F11" s="219">
        <f>93553/3</f>
        <v>31184.333333333332</v>
      </c>
      <c r="G11" s="219">
        <f>88937/3</f>
        <v>29645.666666666668</v>
      </c>
      <c r="H11" s="220">
        <v>31218</v>
      </c>
      <c r="I11" s="220">
        <v>38805</v>
      </c>
      <c r="J11" s="220">
        <v>38389.120000000003</v>
      </c>
      <c r="K11" s="220">
        <v>45362</v>
      </c>
      <c r="L11" s="220">
        <v>49537</v>
      </c>
      <c r="M11" s="220">
        <v>49288</v>
      </c>
      <c r="N11" s="220">
        <v>52862</v>
      </c>
      <c r="O11" s="249">
        <v>54697</v>
      </c>
    </row>
    <row r="12" spans="1:16" s="39" customFormat="1" ht="16.2" thickBot="1" x14ac:dyDescent="0.3">
      <c r="A12" s="178" t="s">
        <v>13</v>
      </c>
      <c r="B12" s="223">
        <v>75346</v>
      </c>
      <c r="C12" s="224">
        <v>79860</v>
      </c>
      <c r="D12" s="224">
        <v>78651</v>
      </c>
      <c r="E12" s="224">
        <v>75290</v>
      </c>
      <c r="F12" s="224">
        <v>76764</v>
      </c>
      <c r="G12" s="224">
        <v>85003</v>
      </c>
      <c r="H12" s="225">
        <v>90545</v>
      </c>
      <c r="I12" s="225">
        <v>88735</v>
      </c>
      <c r="J12" s="225">
        <v>96007</v>
      </c>
      <c r="K12" s="225">
        <v>99165</v>
      </c>
      <c r="L12" s="225">
        <v>93057</v>
      </c>
      <c r="M12" s="225">
        <v>98616</v>
      </c>
      <c r="N12" s="225">
        <v>96928</v>
      </c>
      <c r="O12" s="251">
        <v>105060</v>
      </c>
    </row>
    <row r="13" spans="1:16" s="39" customFormat="1" ht="16.2" thickTop="1" x14ac:dyDescent="0.25">
      <c r="A13" s="177" t="s">
        <v>96</v>
      </c>
      <c r="B13" s="235">
        <f>SUM(B5:B12)</f>
        <v>16665373</v>
      </c>
      <c r="C13" s="236">
        <f t="shared" ref="C13:N13" si="0">SUM(C5:C12)</f>
        <v>18122807</v>
      </c>
      <c r="D13" s="236">
        <f t="shared" si="0"/>
        <v>18417947</v>
      </c>
      <c r="E13" s="237">
        <f t="shared" si="0"/>
        <v>15977093</v>
      </c>
      <c r="F13" s="236">
        <f t="shared" si="0"/>
        <v>17305605.833333332</v>
      </c>
      <c r="G13" s="236">
        <f t="shared" si="0"/>
        <v>18740439.466666669</v>
      </c>
      <c r="H13" s="238">
        <f t="shared" si="0"/>
        <v>19609992</v>
      </c>
      <c r="I13" s="237">
        <f t="shared" si="0"/>
        <v>20666692</v>
      </c>
      <c r="J13" s="236">
        <f t="shared" si="0"/>
        <v>22945233.620000001</v>
      </c>
      <c r="K13" s="236">
        <f t="shared" si="0"/>
        <v>24250849</v>
      </c>
      <c r="L13" s="238">
        <f t="shared" si="0"/>
        <v>27977101</v>
      </c>
      <c r="M13" s="238">
        <f t="shared" si="0"/>
        <v>26983544.27</v>
      </c>
      <c r="N13" s="236">
        <f t="shared" si="0"/>
        <v>29508069.410000004</v>
      </c>
      <c r="O13" s="239">
        <f t="shared" ref="O13" si="1">SUM(O5:O12)</f>
        <v>29187120</v>
      </c>
    </row>
    <row r="14" spans="1:16" s="39" customFormat="1" ht="15.6" x14ac:dyDescent="0.25">
      <c r="A14" s="171" t="s">
        <v>100</v>
      </c>
      <c r="B14" s="211" t="s">
        <v>84</v>
      </c>
      <c r="C14" s="211" t="s">
        <v>84</v>
      </c>
      <c r="D14" s="211" t="s">
        <v>84</v>
      </c>
      <c r="E14" s="211" t="s">
        <v>84</v>
      </c>
      <c r="F14" s="211" t="s">
        <v>84</v>
      </c>
      <c r="G14" s="211" t="s">
        <v>84</v>
      </c>
      <c r="H14" s="211" t="s">
        <v>84</v>
      </c>
      <c r="I14" s="211" t="s">
        <v>84</v>
      </c>
      <c r="J14" s="211" t="s">
        <v>84</v>
      </c>
      <c r="K14" s="211" t="s">
        <v>84</v>
      </c>
      <c r="L14" s="211" t="s">
        <v>84</v>
      </c>
      <c r="M14" s="211" t="s">
        <v>84</v>
      </c>
      <c r="N14" s="211" t="s">
        <v>84</v>
      </c>
      <c r="O14" s="211" t="s">
        <v>84</v>
      </c>
      <c r="P14" s="213"/>
    </row>
    <row r="15" spans="1:16" s="39" customFormat="1" ht="16.2" thickBot="1" x14ac:dyDescent="0.3">
      <c r="A15" s="180" t="s">
        <v>12</v>
      </c>
      <c r="B15" s="230">
        <v>1068004</v>
      </c>
      <c r="C15" s="231">
        <v>1096490</v>
      </c>
      <c r="D15" s="231">
        <v>1107766</v>
      </c>
      <c r="E15" s="231">
        <v>1066841</v>
      </c>
      <c r="F15" s="231">
        <v>1150998</v>
      </c>
      <c r="G15" s="231">
        <v>1321312</v>
      </c>
      <c r="H15" s="232">
        <v>1404428</v>
      </c>
      <c r="I15" s="232">
        <v>1478608</v>
      </c>
      <c r="J15" s="232">
        <v>1519530</v>
      </c>
      <c r="K15" s="232">
        <v>1507020</v>
      </c>
      <c r="L15" s="232">
        <v>1690665</v>
      </c>
      <c r="M15" s="232">
        <v>1710480</v>
      </c>
      <c r="N15" s="232">
        <v>1801901</v>
      </c>
      <c r="O15" s="253">
        <v>1771723</v>
      </c>
    </row>
    <row r="16" spans="1:16" s="39" customFormat="1" ht="16.2" thickTop="1" x14ac:dyDescent="0.25">
      <c r="A16" s="183" t="s">
        <v>103</v>
      </c>
      <c r="B16" s="237">
        <f>SUM(B15)</f>
        <v>1068004</v>
      </c>
      <c r="C16" s="240">
        <f t="shared" ref="C16:N16" si="2">SUM(C15)</f>
        <v>1096490</v>
      </c>
      <c r="D16" s="240">
        <f t="shared" si="2"/>
        <v>1107766</v>
      </c>
      <c r="E16" s="240">
        <f t="shared" si="2"/>
        <v>1066841</v>
      </c>
      <c r="F16" s="240">
        <f t="shared" si="2"/>
        <v>1150998</v>
      </c>
      <c r="G16" s="240">
        <f t="shared" si="2"/>
        <v>1321312</v>
      </c>
      <c r="H16" s="241">
        <f t="shared" si="2"/>
        <v>1404428</v>
      </c>
      <c r="I16" s="237">
        <f t="shared" si="2"/>
        <v>1478608</v>
      </c>
      <c r="J16" s="240">
        <f t="shared" si="2"/>
        <v>1519530</v>
      </c>
      <c r="K16" s="241">
        <f t="shared" si="2"/>
        <v>1507020</v>
      </c>
      <c r="L16" s="241">
        <f t="shared" si="2"/>
        <v>1690665</v>
      </c>
      <c r="M16" s="241">
        <f t="shared" si="2"/>
        <v>1710480</v>
      </c>
      <c r="N16" s="236">
        <f t="shared" si="2"/>
        <v>1801901</v>
      </c>
      <c r="O16" s="239">
        <f t="shared" ref="O16" si="3">SUM(O15)</f>
        <v>1771723</v>
      </c>
    </row>
    <row r="17" spans="1:16" s="39" customFormat="1" ht="15.6" x14ac:dyDescent="0.25">
      <c r="A17" s="171" t="s">
        <v>99</v>
      </c>
      <c r="B17" s="211" t="s">
        <v>84</v>
      </c>
      <c r="C17" s="211" t="s">
        <v>84</v>
      </c>
      <c r="D17" s="211" t="s">
        <v>84</v>
      </c>
      <c r="E17" s="211" t="s">
        <v>84</v>
      </c>
      <c r="F17" s="211" t="s">
        <v>84</v>
      </c>
      <c r="G17" s="211" t="s">
        <v>84</v>
      </c>
      <c r="H17" s="211" t="s">
        <v>84</v>
      </c>
      <c r="I17" s="211" t="s">
        <v>84</v>
      </c>
      <c r="J17" s="211" t="s">
        <v>84</v>
      </c>
      <c r="K17" s="211" t="s">
        <v>84</v>
      </c>
      <c r="L17" s="211" t="s">
        <v>84</v>
      </c>
      <c r="M17" s="211" t="s">
        <v>84</v>
      </c>
      <c r="N17" s="211" t="s">
        <v>84</v>
      </c>
      <c r="O17" s="211" t="s">
        <v>84</v>
      </c>
      <c r="P17" s="213"/>
    </row>
    <row r="18" spans="1:16" s="39" customFormat="1" ht="15.6" x14ac:dyDescent="0.25">
      <c r="A18" s="173" t="s">
        <v>1</v>
      </c>
      <c r="B18" s="228">
        <v>2449275</v>
      </c>
      <c r="C18" s="229">
        <v>2580310</v>
      </c>
      <c r="D18" s="229">
        <v>3367034</v>
      </c>
      <c r="E18" s="229">
        <v>3932469</v>
      </c>
      <c r="F18" s="229">
        <v>4189227</v>
      </c>
      <c r="G18" s="229">
        <v>4362601</v>
      </c>
      <c r="H18" s="233">
        <v>4391480</v>
      </c>
      <c r="I18" s="233">
        <v>3654041</v>
      </c>
      <c r="J18" s="233">
        <v>4373296</v>
      </c>
      <c r="K18" s="233">
        <v>5379461</v>
      </c>
      <c r="L18" s="233">
        <v>5594280</v>
      </c>
      <c r="M18" s="233">
        <v>5778484.4699999997</v>
      </c>
      <c r="N18" s="255">
        <v>5950571.6999999993</v>
      </c>
      <c r="O18" s="254">
        <v>6042886</v>
      </c>
    </row>
    <row r="19" spans="1:16" s="39" customFormat="1" ht="16.2" thickBot="1" x14ac:dyDescent="0.3">
      <c r="A19" s="130" t="s">
        <v>15</v>
      </c>
      <c r="B19" s="223">
        <v>69650</v>
      </c>
      <c r="C19" s="224">
        <v>74630</v>
      </c>
      <c r="D19" s="224">
        <v>78854</v>
      </c>
      <c r="E19" s="224">
        <v>75892</v>
      </c>
      <c r="F19" s="224">
        <v>74974</v>
      </c>
      <c r="G19" s="224">
        <v>80664</v>
      </c>
      <c r="H19" s="225">
        <v>83485</v>
      </c>
      <c r="I19" s="225">
        <v>83622</v>
      </c>
      <c r="J19" s="225">
        <v>85045</v>
      </c>
      <c r="K19" s="225">
        <v>94285</v>
      </c>
      <c r="L19" s="225">
        <v>95237</v>
      </c>
      <c r="M19" s="225">
        <v>95270</v>
      </c>
      <c r="N19" s="225">
        <v>108965</v>
      </c>
      <c r="O19" s="251">
        <v>107141</v>
      </c>
    </row>
    <row r="20" spans="1:16" s="39" customFormat="1" ht="16.2" thickTop="1" x14ac:dyDescent="0.25">
      <c r="A20" s="127" t="s">
        <v>97</v>
      </c>
      <c r="B20" s="235">
        <f>SUM(B18:B19)</f>
        <v>2518925</v>
      </c>
      <c r="C20" s="242">
        <f t="shared" ref="C20:N20" si="4">SUM(C18:C19)</f>
        <v>2654940</v>
      </c>
      <c r="D20" s="236">
        <f t="shared" si="4"/>
        <v>3445888</v>
      </c>
      <c r="E20" s="237">
        <f t="shared" si="4"/>
        <v>4008361</v>
      </c>
      <c r="F20" s="242">
        <f t="shared" si="4"/>
        <v>4264201</v>
      </c>
      <c r="G20" s="242">
        <f t="shared" si="4"/>
        <v>4443265</v>
      </c>
      <c r="H20" s="236">
        <f t="shared" si="4"/>
        <v>4474965</v>
      </c>
      <c r="I20" s="236">
        <f t="shared" si="4"/>
        <v>3737663</v>
      </c>
      <c r="J20" s="237">
        <f t="shared" si="4"/>
        <v>4458341</v>
      </c>
      <c r="K20" s="236">
        <f t="shared" si="4"/>
        <v>5473746</v>
      </c>
      <c r="L20" s="237">
        <f t="shared" si="4"/>
        <v>5689517</v>
      </c>
      <c r="M20" s="236">
        <f t="shared" si="4"/>
        <v>5873754.4699999997</v>
      </c>
      <c r="N20" s="236">
        <f t="shared" si="4"/>
        <v>6059536.6999999993</v>
      </c>
      <c r="O20" s="239">
        <f t="shared" ref="O20" si="5">SUM(O18:O19)</f>
        <v>6150027</v>
      </c>
    </row>
    <row r="21" spans="1:16" s="39" customFormat="1" ht="15.6" x14ac:dyDescent="0.25">
      <c r="A21" s="171" t="s">
        <v>98</v>
      </c>
      <c r="B21" s="211" t="s">
        <v>84</v>
      </c>
      <c r="C21" s="211" t="s">
        <v>84</v>
      </c>
      <c r="D21" s="211" t="s">
        <v>84</v>
      </c>
      <c r="E21" s="211" t="s">
        <v>84</v>
      </c>
      <c r="F21" s="211" t="s">
        <v>84</v>
      </c>
      <c r="G21" s="211" t="s">
        <v>84</v>
      </c>
      <c r="H21" s="211" t="s">
        <v>84</v>
      </c>
      <c r="I21" s="211" t="s">
        <v>84</v>
      </c>
      <c r="J21" s="211" t="s">
        <v>84</v>
      </c>
      <c r="K21" s="211" t="s">
        <v>84</v>
      </c>
      <c r="L21" s="211" t="s">
        <v>84</v>
      </c>
      <c r="M21" s="211" t="s">
        <v>84</v>
      </c>
      <c r="N21" s="211" t="s">
        <v>84</v>
      </c>
      <c r="O21" s="214" t="s">
        <v>84</v>
      </c>
    </row>
    <row r="22" spans="1:16" s="39" customFormat="1" ht="16.2" thickBot="1" x14ac:dyDescent="0.3">
      <c r="A22" s="180" t="s">
        <v>12</v>
      </c>
      <c r="B22" s="230">
        <v>855987</v>
      </c>
      <c r="C22" s="231">
        <v>858350</v>
      </c>
      <c r="D22" s="231">
        <v>1017748</v>
      </c>
      <c r="E22" s="231">
        <v>1083169</v>
      </c>
      <c r="F22" s="231">
        <v>1110944</v>
      </c>
      <c r="G22" s="231">
        <v>1321094</v>
      </c>
      <c r="H22" s="232">
        <v>1248238</v>
      </c>
      <c r="I22" s="232">
        <v>1385570</v>
      </c>
      <c r="J22" s="232">
        <v>1291588</v>
      </c>
      <c r="K22" s="232">
        <v>1249272</v>
      </c>
      <c r="L22" s="232">
        <v>1469958</v>
      </c>
      <c r="M22" s="232">
        <v>1428680</v>
      </c>
      <c r="N22" s="232">
        <v>1587584</v>
      </c>
      <c r="O22" s="253">
        <v>1692989</v>
      </c>
    </row>
    <row r="23" spans="1:16" s="39" customFormat="1" ht="16.2" thickTop="1" x14ac:dyDescent="0.25">
      <c r="A23" s="182" t="s">
        <v>102</v>
      </c>
      <c r="B23" s="235">
        <f>SUM(B22)</f>
        <v>855987</v>
      </c>
      <c r="C23" s="240">
        <f t="shared" ref="C23:N23" si="6">SUM(C22)</f>
        <v>858350</v>
      </c>
      <c r="D23" s="240">
        <f t="shared" si="6"/>
        <v>1017748</v>
      </c>
      <c r="E23" s="240">
        <f t="shared" si="6"/>
        <v>1083169</v>
      </c>
      <c r="F23" s="241">
        <f t="shared" si="6"/>
        <v>1110944</v>
      </c>
      <c r="G23" s="237">
        <f t="shared" si="6"/>
        <v>1321094</v>
      </c>
      <c r="H23" s="240">
        <f t="shared" si="6"/>
        <v>1248238</v>
      </c>
      <c r="I23" s="240">
        <f t="shared" si="6"/>
        <v>1385570</v>
      </c>
      <c r="J23" s="241">
        <f t="shared" si="6"/>
        <v>1291588</v>
      </c>
      <c r="K23" s="237">
        <f t="shared" si="6"/>
        <v>1249272</v>
      </c>
      <c r="L23" s="241">
        <f t="shared" si="6"/>
        <v>1469958</v>
      </c>
      <c r="M23" s="237">
        <f t="shared" si="6"/>
        <v>1428680</v>
      </c>
      <c r="N23" s="241">
        <f t="shared" si="6"/>
        <v>1587584</v>
      </c>
      <c r="O23" s="256">
        <f t="shared" ref="O23" si="7">SUM(O22)</f>
        <v>1692989</v>
      </c>
    </row>
    <row r="24" spans="1:16" s="39" customFormat="1" ht="15.6" x14ac:dyDescent="0.25">
      <c r="A24" s="171" t="s">
        <v>152</v>
      </c>
      <c r="B24" s="211" t="s">
        <v>84</v>
      </c>
      <c r="C24" s="211" t="s">
        <v>84</v>
      </c>
      <c r="D24" s="211" t="s">
        <v>84</v>
      </c>
      <c r="E24" s="211" t="s">
        <v>84</v>
      </c>
      <c r="F24" s="211" t="s">
        <v>84</v>
      </c>
      <c r="G24" s="211" t="s">
        <v>84</v>
      </c>
      <c r="H24" s="211" t="s">
        <v>84</v>
      </c>
      <c r="I24" s="211" t="s">
        <v>84</v>
      </c>
      <c r="J24" s="211" t="s">
        <v>84</v>
      </c>
      <c r="K24" s="211" t="s">
        <v>84</v>
      </c>
      <c r="L24" s="211" t="s">
        <v>84</v>
      </c>
      <c r="M24" s="211" t="s">
        <v>84</v>
      </c>
      <c r="N24" s="211" t="s">
        <v>84</v>
      </c>
      <c r="O24" s="211" t="s">
        <v>84</v>
      </c>
      <c r="P24" s="213"/>
    </row>
    <row r="25" spans="1:16" s="39" customFormat="1" ht="15.6" x14ac:dyDescent="0.25">
      <c r="A25" s="172" t="s">
        <v>42</v>
      </c>
      <c r="B25" s="234">
        <v>24244</v>
      </c>
      <c r="C25" s="229">
        <v>111992</v>
      </c>
      <c r="D25" s="229">
        <v>101216</v>
      </c>
      <c r="E25" s="229">
        <v>89489</v>
      </c>
      <c r="F25" s="229">
        <v>101836</v>
      </c>
      <c r="G25" s="229">
        <v>111992</v>
      </c>
      <c r="H25" s="233">
        <v>101734</v>
      </c>
      <c r="I25" s="233">
        <v>109595</v>
      </c>
      <c r="J25" s="233">
        <v>114263</v>
      </c>
      <c r="K25" s="233">
        <v>124500</v>
      </c>
      <c r="L25" s="233">
        <v>119631</v>
      </c>
      <c r="M25" s="233">
        <v>122634</v>
      </c>
      <c r="N25" s="255">
        <v>111086</v>
      </c>
      <c r="O25" s="254">
        <v>104453</v>
      </c>
    </row>
    <row r="26" spans="1:16" s="39" customFormat="1" ht="15.6" x14ac:dyDescent="0.25">
      <c r="A26" s="260" t="s">
        <v>39</v>
      </c>
      <c r="B26" s="221" t="s">
        <v>74</v>
      </c>
      <c r="C26" s="219">
        <v>30299</v>
      </c>
      <c r="D26" s="219">
        <v>33351</v>
      </c>
      <c r="E26" s="219">
        <v>30305</v>
      </c>
      <c r="F26" s="219">
        <v>25963</v>
      </c>
      <c r="G26" s="219">
        <v>30171</v>
      </c>
      <c r="H26" s="220">
        <v>30481</v>
      </c>
      <c r="I26" s="220">
        <v>34471</v>
      </c>
      <c r="J26" s="220">
        <v>38335.83</v>
      </c>
      <c r="K26" s="220">
        <v>32190</v>
      </c>
      <c r="L26" s="220">
        <v>37470.980000000003</v>
      </c>
      <c r="M26" s="220">
        <v>47553</v>
      </c>
      <c r="N26" s="220">
        <v>48846</v>
      </c>
      <c r="O26" s="249">
        <v>48266</v>
      </c>
    </row>
    <row r="27" spans="1:16" s="39" customFormat="1" ht="15.6" x14ac:dyDescent="0.25">
      <c r="A27" s="260" t="s">
        <v>40</v>
      </c>
      <c r="B27" s="221" t="s">
        <v>74</v>
      </c>
      <c r="C27" s="222" t="s">
        <v>74</v>
      </c>
      <c r="D27" s="222" t="s">
        <v>74</v>
      </c>
      <c r="E27" s="222" t="s">
        <v>74</v>
      </c>
      <c r="F27" s="219">
        <v>166178</v>
      </c>
      <c r="G27" s="219">
        <v>299604</v>
      </c>
      <c r="H27" s="220">
        <v>44702</v>
      </c>
      <c r="I27" s="220">
        <v>95899</v>
      </c>
      <c r="J27" s="220">
        <v>0</v>
      </c>
      <c r="K27" s="220">
        <v>0</v>
      </c>
      <c r="L27" s="220">
        <v>220</v>
      </c>
      <c r="M27" s="220">
        <v>0</v>
      </c>
      <c r="N27" s="220">
        <v>0</v>
      </c>
      <c r="O27" s="312">
        <v>0</v>
      </c>
      <c r="P27" s="213"/>
    </row>
    <row r="28" spans="1:16" s="39" customFormat="1" ht="15.6" x14ac:dyDescent="0.25">
      <c r="A28" s="260" t="s">
        <v>47</v>
      </c>
      <c r="B28" s="221" t="s">
        <v>74</v>
      </c>
      <c r="C28" s="222" t="s">
        <v>74</v>
      </c>
      <c r="D28" s="222" t="s">
        <v>74</v>
      </c>
      <c r="E28" s="222" t="s">
        <v>74</v>
      </c>
      <c r="F28" s="222" t="s">
        <v>74</v>
      </c>
      <c r="G28" s="222" t="s">
        <v>74</v>
      </c>
      <c r="H28" s="220">
        <v>27500</v>
      </c>
      <c r="I28" s="220">
        <v>30800</v>
      </c>
      <c r="J28" s="220">
        <v>34100</v>
      </c>
      <c r="K28" s="220">
        <v>32940</v>
      </c>
      <c r="L28" s="220">
        <v>30120</v>
      </c>
      <c r="M28" s="220">
        <v>29458</v>
      </c>
      <c r="N28" s="220">
        <v>24600</v>
      </c>
      <c r="O28" s="249">
        <v>24882</v>
      </c>
    </row>
    <row r="29" spans="1:16" s="39" customFormat="1" ht="15.6" x14ac:dyDescent="0.25">
      <c r="A29" s="260" t="s">
        <v>2</v>
      </c>
      <c r="B29" s="218">
        <v>163260</v>
      </c>
      <c r="C29" s="219">
        <v>171340</v>
      </c>
      <c r="D29" s="219">
        <v>159080</v>
      </c>
      <c r="E29" s="219">
        <v>153200</v>
      </c>
      <c r="F29" s="219">
        <v>180080</v>
      </c>
      <c r="G29" s="219">
        <v>195960</v>
      </c>
      <c r="H29" s="220">
        <v>212640</v>
      </c>
      <c r="I29" s="220">
        <v>205880</v>
      </c>
      <c r="J29" s="220">
        <v>217300</v>
      </c>
      <c r="K29" s="220">
        <v>219240</v>
      </c>
      <c r="L29" s="220">
        <v>211960</v>
      </c>
      <c r="M29" s="220">
        <v>227440</v>
      </c>
      <c r="N29" s="220">
        <v>246060</v>
      </c>
      <c r="O29" s="249">
        <v>255480</v>
      </c>
    </row>
    <row r="30" spans="1:16" s="39" customFormat="1" ht="15.6" x14ac:dyDescent="0.25">
      <c r="A30" s="260" t="s">
        <v>4</v>
      </c>
      <c r="B30" s="218">
        <v>41709</v>
      </c>
      <c r="C30" s="219">
        <v>38688</v>
      </c>
      <c r="D30" s="219">
        <v>37722</v>
      </c>
      <c r="E30" s="219">
        <v>32929</v>
      </c>
      <c r="F30" s="219">
        <v>36850</v>
      </c>
      <c r="G30" s="219">
        <v>48695</v>
      </c>
      <c r="H30" s="220">
        <v>50845</v>
      </c>
      <c r="I30" s="220">
        <v>51515</v>
      </c>
      <c r="J30" s="220">
        <v>51730.42</v>
      </c>
      <c r="K30" s="220">
        <v>51387</v>
      </c>
      <c r="L30" s="220">
        <v>51824.73</v>
      </c>
      <c r="M30" s="220">
        <v>57081</v>
      </c>
      <c r="N30" s="220">
        <v>56039.78</v>
      </c>
      <c r="O30" s="249">
        <v>57215</v>
      </c>
    </row>
    <row r="31" spans="1:16" s="39" customFormat="1" ht="15.6" x14ac:dyDescent="0.25">
      <c r="A31" s="129" t="s">
        <v>0</v>
      </c>
      <c r="B31" s="218">
        <v>299260</v>
      </c>
      <c r="C31" s="219">
        <v>299500</v>
      </c>
      <c r="D31" s="219">
        <v>278520</v>
      </c>
      <c r="E31" s="219">
        <v>285680</v>
      </c>
      <c r="F31" s="219">
        <v>315560</v>
      </c>
      <c r="G31" s="219">
        <v>337170</v>
      </c>
      <c r="H31" s="220">
        <v>357580</v>
      </c>
      <c r="I31" s="220">
        <v>376880</v>
      </c>
      <c r="J31" s="220">
        <v>388300</v>
      </c>
      <c r="K31" s="220">
        <v>399900</v>
      </c>
      <c r="L31" s="220">
        <v>400880</v>
      </c>
      <c r="M31" s="220">
        <v>418120</v>
      </c>
      <c r="N31" s="220">
        <v>421940</v>
      </c>
      <c r="O31" s="249">
        <v>437080</v>
      </c>
    </row>
    <row r="32" spans="1:16" s="39" customFormat="1" ht="16.2" thickBot="1" x14ac:dyDescent="0.3">
      <c r="A32" s="178" t="s">
        <v>41</v>
      </c>
      <c r="B32" s="226" t="s">
        <v>74</v>
      </c>
      <c r="C32" s="227" t="s">
        <v>74</v>
      </c>
      <c r="D32" s="227" t="s">
        <v>74</v>
      </c>
      <c r="E32" s="224">
        <v>12508</v>
      </c>
      <c r="F32" s="224">
        <v>21463</v>
      </c>
      <c r="G32" s="224">
        <v>21626</v>
      </c>
      <c r="H32" s="225">
        <v>19506</v>
      </c>
      <c r="I32" s="225">
        <v>34172</v>
      </c>
      <c r="J32" s="225">
        <v>39217</v>
      </c>
      <c r="K32" s="225">
        <v>47697</v>
      </c>
      <c r="L32" s="225">
        <v>49819</v>
      </c>
      <c r="M32" s="225">
        <v>54610</v>
      </c>
      <c r="N32" s="225">
        <v>48248</v>
      </c>
      <c r="O32" s="257" t="s">
        <v>74</v>
      </c>
    </row>
    <row r="33" spans="1:15" s="39" customFormat="1" ht="16.2" thickTop="1" x14ac:dyDescent="0.25">
      <c r="A33" s="181" t="s">
        <v>151</v>
      </c>
      <c r="B33" s="243">
        <f>SUM(B25:B32)</f>
        <v>528473</v>
      </c>
      <c r="C33" s="244">
        <f t="shared" ref="C33:N33" si="8">SUM(C25:C32)</f>
        <v>651819</v>
      </c>
      <c r="D33" s="245">
        <f t="shared" si="8"/>
        <v>609889</v>
      </c>
      <c r="E33" s="246">
        <f t="shared" si="8"/>
        <v>604111</v>
      </c>
      <c r="F33" s="244">
        <f t="shared" si="8"/>
        <v>847930</v>
      </c>
      <c r="G33" s="244">
        <f t="shared" si="8"/>
        <v>1045218</v>
      </c>
      <c r="H33" s="244">
        <f t="shared" si="8"/>
        <v>844988</v>
      </c>
      <c r="I33" s="245">
        <f t="shared" si="8"/>
        <v>939212</v>
      </c>
      <c r="J33" s="246">
        <f t="shared" si="8"/>
        <v>883246.25</v>
      </c>
      <c r="K33" s="246">
        <f t="shared" si="8"/>
        <v>907854</v>
      </c>
      <c r="L33" s="246">
        <f t="shared" si="8"/>
        <v>901925.71</v>
      </c>
      <c r="M33" s="246">
        <f t="shared" si="8"/>
        <v>956896</v>
      </c>
      <c r="N33" s="244">
        <f t="shared" si="8"/>
        <v>956819.78</v>
      </c>
      <c r="O33" s="258">
        <f t="shared" ref="O33" si="9">SUM(O25:O32)</f>
        <v>927376</v>
      </c>
    </row>
    <row r="34" spans="1:15" s="56" customFormat="1" ht="6.6" x14ac:dyDescent="0.25">
      <c r="A34" s="328" t="s">
        <v>84</v>
      </c>
      <c r="B34" s="328"/>
      <c r="C34" s="328"/>
      <c r="D34" s="328"/>
      <c r="E34" s="328"/>
      <c r="F34" s="328"/>
      <c r="G34" s="328"/>
      <c r="H34" s="328"/>
      <c r="I34" s="328"/>
      <c r="J34" s="328"/>
      <c r="K34" s="328"/>
      <c r="L34" s="328"/>
      <c r="M34" s="328"/>
      <c r="N34" s="328"/>
      <c r="O34" s="328"/>
    </row>
    <row r="35" spans="1:15" x14ac:dyDescent="0.25">
      <c r="A35" s="323" t="s">
        <v>125</v>
      </c>
      <c r="B35" s="323"/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323"/>
      <c r="O35" s="323"/>
    </row>
    <row r="36" spans="1:15" x14ac:dyDescent="0.25">
      <c r="A36" s="322" t="str">
        <f>'Lod&amp;Liq'!A64:F64</f>
        <v>Source:  Minnesota Department of Revenue, Tax Research Division, February 2021</v>
      </c>
      <c r="B36" s="322"/>
      <c r="C36" s="322"/>
      <c r="D36" s="322"/>
      <c r="E36" s="322"/>
      <c r="F36" s="322"/>
      <c r="G36" s="322"/>
      <c r="H36" s="322"/>
      <c r="I36" s="322"/>
      <c r="J36" s="322"/>
      <c r="K36" s="322"/>
      <c r="L36" s="322"/>
      <c r="M36" s="322"/>
      <c r="N36" s="322"/>
      <c r="O36" s="322"/>
    </row>
    <row r="37" spans="1:15" x14ac:dyDescent="0.25">
      <c r="A37" s="330" t="s">
        <v>73</v>
      </c>
      <c r="B37" s="330"/>
      <c r="C37" s="330"/>
      <c r="D37" s="330"/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</row>
  </sheetData>
  <mergeCells count="6">
    <mergeCell ref="A37:O37"/>
    <mergeCell ref="A2:O2"/>
    <mergeCell ref="A1:O1"/>
    <mergeCell ref="A34:O34"/>
    <mergeCell ref="A35:O35"/>
    <mergeCell ref="A36:O36"/>
  </mergeCells>
  <pageMargins left="0.7" right="0.7" top="0.75" bottom="0.75" header="0.3" footer="0.3"/>
  <pageSetup scale="5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pageSetUpPr fitToPage="1"/>
  </sheetPr>
  <dimension ref="A1:U21"/>
  <sheetViews>
    <sheetView showGridLines="0" workbookViewId="0">
      <pane ySplit="1" topLeftCell="A2" activePane="bottomLeft" state="frozen"/>
      <selection pane="bottomLeft" sqref="A1:U1"/>
    </sheetView>
  </sheetViews>
  <sheetFormatPr defaultRowHeight="13.8" x14ac:dyDescent="0.25"/>
  <cols>
    <col min="1" max="1" width="12.5546875" style="184" customWidth="1"/>
    <col min="2" max="14" width="13.5546875" style="104" hidden="1" customWidth="1"/>
    <col min="15" max="18" width="13.5546875" style="104" customWidth="1"/>
    <col min="19" max="16384" width="8.88671875" style="104"/>
  </cols>
  <sheetData>
    <row r="1" spans="1:21" s="101" customFormat="1" ht="21" x14ac:dyDescent="0.25">
      <c r="A1" s="325" t="s">
        <v>113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  <c r="U1" s="325"/>
    </row>
    <row r="2" spans="1:2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21" ht="18" x14ac:dyDescent="0.25">
      <c r="A3" s="333" t="s">
        <v>133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21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21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13" t="s">
        <v>74</v>
      </c>
      <c r="O5" s="113" t="s">
        <v>74</v>
      </c>
      <c r="P5" s="174">
        <v>52980</v>
      </c>
      <c r="Q5" s="174">
        <v>75860</v>
      </c>
      <c r="R5" s="273">
        <v>82000</v>
      </c>
    </row>
    <row r="6" spans="1:21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11" t="s">
        <v>74</v>
      </c>
      <c r="O6" s="111" t="s">
        <v>74</v>
      </c>
      <c r="P6" s="111">
        <v>67100</v>
      </c>
      <c r="Q6" s="111">
        <v>60980</v>
      </c>
      <c r="R6" s="267">
        <v>73160</v>
      </c>
    </row>
    <row r="7" spans="1:21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11" t="s">
        <v>74</v>
      </c>
      <c r="O7" s="111" t="s">
        <v>74</v>
      </c>
      <c r="P7" s="111">
        <v>59660</v>
      </c>
      <c r="Q7" s="111">
        <v>54800</v>
      </c>
      <c r="R7" s="267">
        <v>63200</v>
      </c>
    </row>
    <row r="8" spans="1:21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11" t="s">
        <v>74</v>
      </c>
      <c r="N8" s="111" t="s">
        <v>74</v>
      </c>
      <c r="O8" s="111" t="s">
        <v>74</v>
      </c>
      <c r="P8" s="111">
        <v>82140</v>
      </c>
      <c r="Q8" s="111">
        <v>86040</v>
      </c>
      <c r="R8" s="267">
        <v>76800</v>
      </c>
    </row>
    <row r="9" spans="1:21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11" t="s">
        <v>74</v>
      </c>
      <c r="N9" s="111" t="s">
        <v>74</v>
      </c>
      <c r="O9" s="111" t="s">
        <v>74</v>
      </c>
      <c r="P9" s="111">
        <v>64640</v>
      </c>
      <c r="Q9" s="111">
        <v>83560</v>
      </c>
      <c r="R9" s="267">
        <v>73360</v>
      </c>
    </row>
    <row r="10" spans="1:21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11" t="s">
        <v>74</v>
      </c>
      <c r="N10" s="111" t="s">
        <v>74</v>
      </c>
      <c r="O10" s="111" t="s">
        <v>74</v>
      </c>
      <c r="P10" s="111">
        <v>68460</v>
      </c>
      <c r="Q10" s="111">
        <v>85060</v>
      </c>
      <c r="R10" s="267">
        <v>82080</v>
      </c>
    </row>
    <row r="11" spans="1:21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11" t="s">
        <v>74</v>
      </c>
      <c r="N11" s="111" t="s">
        <v>74</v>
      </c>
      <c r="O11" s="111" t="s">
        <v>74</v>
      </c>
      <c r="P11" s="111">
        <v>64920</v>
      </c>
      <c r="Q11" s="111">
        <v>88680</v>
      </c>
      <c r="R11" s="279" t="s">
        <v>74</v>
      </c>
    </row>
    <row r="12" spans="1:21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11" t="s">
        <v>74</v>
      </c>
      <c r="M12" s="111" t="s">
        <v>74</v>
      </c>
      <c r="N12" s="111" t="s">
        <v>74</v>
      </c>
      <c r="O12" s="111" t="s">
        <v>74</v>
      </c>
      <c r="P12" s="111">
        <v>92460</v>
      </c>
      <c r="Q12" s="111">
        <v>81560</v>
      </c>
      <c r="R12" s="280" t="s">
        <v>74</v>
      </c>
    </row>
    <row r="13" spans="1:21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11" t="s">
        <v>74</v>
      </c>
      <c r="M13" s="111" t="s">
        <v>74</v>
      </c>
      <c r="N13" s="111" t="s">
        <v>74</v>
      </c>
      <c r="O13" s="111" t="s">
        <v>74</v>
      </c>
      <c r="P13" s="111">
        <v>68000</v>
      </c>
      <c r="Q13" s="111">
        <v>77860</v>
      </c>
      <c r="R13" s="280" t="s">
        <v>74</v>
      </c>
    </row>
    <row r="14" spans="1:21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11" t="s">
        <v>74</v>
      </c>
      <c r="M14" s="111" t="s">
        <v>74</v>
      </c>
      <c r="N14" s="111" t="s">
        <v>74</v>
      </c>
      <c r="O14" s="111" t="s">
        <v>74</v>
      </c>
      <c r="P14" s="111">
        <v>74100</v>
      </c>
      <c r="Q14" s="111">
        <v>77240</v>
      </c>
      <c r="R14" s="280" t="s">
        <v>74</v>
      </c>
    </row>
    <row r="15" spans="1:21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11" t="s">
        <v>74</v>
      </c>
      <c r="M15" s="111" t="s">
        <v>74</v>
      </c>
      <c r="N15" s="111" t="s">
        <v>74</v>
      </c>
      <c r="O15" s="185">
        <v>61320</v>
      </c>
      <c r="P15" s="186">
        <v>64320</v>
      </c>
      <c r="Q15" s="111">
        <v>77240</v>
      </c>
      <c r="R15" s="280" t="s">
        <v>74</v>
      </c>
    </row>
    <row r="16" spans="1:21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 t="s">
        <v>74</v>
      </c>
      <c r="L16" s="120" t="s">
        <v>74</v>
      </c>
      <c r="M16" s="120" t="s">
        <v>74</v>
      </c>
      <c r="N16" s="120" t="s">
        <v>74</v>
      </c>
      <c r="O16" s="187">
        <v>61820</v>
      </c>
      <c r="P16" s="187">
        <v>57820</v>
      </c>
      <c r="Q16" s="120">
        <v>71860</v>
      </c>
      <c r="R16" s="281" t="s">
        <v>74</v>
      </c>
    </row>
    <row r="17" spans="1:18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17" t="s">
        <v>74</v>
      </c>
      <c r="N17" s="117" t="s">
        <v>74</v>
      </c>
      <c r="O17" s="179">
        <f>SUM(O5:O16)</f>
        <v>123140</v>
      </c>
      <c r="P17" s="179">
        <f>SUM(P5:P16)</f>
        <v>816600</v>
      </c>
      <c r="Q17" s="179">
        <f>SUM(Q5:Q16)</f>
        <v>920740</v>
      </c>
      <c r="R17" s="274">
        <f>SUM(R5:R16)</f>
        <v>450600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29" t="s">
        <v>104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0:R20"/>
    <mergeCell ref="A21:R21"/>
    <mergeCell ref="A1:U1"/>
    <mergeCell ref="A2:R2"/>
    <mergeCell ref="A3:R3"/>
    <mergeCell ref="A18:R18"/>
    <mergeCell ref="A19:R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pageSetUpPr fitToPage="1"/>
  </sheetPr>
  <dimension ref="A1:T21"/>
  <sheetViews>
    <sheetView showGridLines="0" workbookViewId="0">
      <pane ySplit="1" topLeftCell="A2" activePane="bottomLeft" state="frozen"/>
      <selection pane="bottomLeft" sqref="A1:T1"/>
    </sheetView>
  </sheetViews>
  <sheetFormatPr defaultColWidth="12.5546875" defaultRowHeight="13.8" x14ac:dyDescent="0.25"/>
  <cols>
    <col min="1" max="1" width="12.5546875" style="184"/>
    <col min="2" max="14" width="0" style="104" hidden="1" customWidth="1"/>
    <col min="15" max="16384" width="12.5546875" style="104"/>
  </cols>
  <sheetData>
    <row r="1" spans="1:20" s="101" customFormat="1" ht="21" x14ac:dyDescent="0.25">
      <c r="A1" s="325" t="s">
        <v>115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</row>
    <row r="2" spans="1:20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20" s="102" customFormat="1" ht="18" x14ac:dyDescent="0.25">
      <c r="A3" s="326" t="s">
        <v>135</v>
      </c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</row>
    <row r="4" spans="1:20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20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13" t="s">
        <v>74</v>
      </c>
      <c r="O5" s="113" t="s">
        <v>74</v>
      </c>
      <c r="P5" s="114">
        <v>4700</v>
      </c>
      <c r="Q5" s="114">
        <v>4960</v>
      </c>
      <c r="R5" s="266">
        <v>4220</v>
      </c>
    </row>
    <row r="6" spans="1:20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11" t="s">
        <v>74</v>
      </c>
      <c r="O6" s="111" t="s">
        <v>74</v>
      </c>
      <c r="P6" s="111">
        <v>3600</v>
      </c>
      <c r="Q6" s="111">
        <v>3580</v>
      </c>
      <c r="R6" s="267">
        <v>3440</v>
      </c>
    </row>
    <row r="7" spans="1:20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11" t="s">
        <v>74</v>
      </c>
      <c r="O7" s="111" t="s">
        <v>74</v>
      </c>
      <c r="P7" s="111">
        <v>3960</v>
      </c>
      <c r="Q7" s="111">
        <v>2960</v>
      </c>
      <c r="R7" s="267">
        <v>3360</v>
      </c>
    </row>
    <row r="8" spans="1:20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11" t="s">
        <v>74</v>
      </c>
      <c r="N8" s="111" t="s">
        <v>74</v>
      </c>
      <c r="O8" s="111" t="s">
        <v>74</v>
      </c>
      <c r="P8" s="111">
        <v>4920</v>
      </c>
      <c r="Q8" s="111">
        <v>4460</v>
      </c>
      <c r="R8" s="267">
        <v>3160</v>
      </c>
    </row>
    <row r="9" spans="1:20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11" t="s">
        <v>74</v>
      </c>
      <c r="N9" s="111" t="s">
        <v>74</v>
      </c>
      <c r="O9" s="111" t="s">
        <v>74</v>
      </c>
      <c r="P9" s="111">
        <v>4020</v>
      </c>
      <c r="Q9" s="111">
        <v>4380</v>
      </c>
      <c r="R9" s="267">
        <v>2920</v>
      </c>
    </row>
    <row r="10" spans="1:20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11" t="s">
        <v>74</v>
      </c>
      <c r="N10" s="111" t="s">
        <v>74</v>
      </c>
      <c r="O10" s="111" t="s">
        <v>74</v>
      </c>
      <c r="P10" s="111">
        <v>4760</v>
      </c>
      <c r="Q10" s="111">
        <v>5300</v>
      </c>
      <c r="R10" s="267">
        <v>4300</v>
      </c>
    </row>
    <row r="11" spans="1:20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11" t="s">
        <v>74</v>
      </c>
      <c r="N11" s="111" t="s">
        <v>74</v>
      </c>
      <c r="O11" s="111" t="s">
        <v>74</v>
      </c>
      <c r="P11" s="111">
        <v>5000</v>
      </c>
      <c r="Q11" s="111">
        <v>4240</v>
      </c>
      <c r="R11" s="279" t="s">
        <v>74</v>
      </c>
    </row>
    <row r="12" spans="1:20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11" t="s">
        <v>74</v>
      </c>
      <c r="M12" s="111" t="s">
        <v>74</v>
      </c>
      <c r="N12" s="111" t="s">
        <v>74</v>
      </c>
      <c r="O12" s="111" t="s">
        <v>74</v>
      </c>
      <c r="P12" s="111">
        <v>4240</v>
      </c>
      <c r="Q12" s="111">
        <v>4580</v>
      </c>
      <c r="R12" s="280" t="s">
        <v>74</v>
      </c>
    </row>
    <row r="13" spans="1:20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11" t="s">
        <v>74</v>
      </c>
      <c r="M13" s="111" t="s">
        <v>74</v>
      </c>
      <c r="N13" s="111" t="s">
        <v>74</v>
      </c>
      <c r="O13" s="111" t="s">
        <v>74</v>
      </c>
      <c r="P13" s="111">
        <v>5120</v>
      </c>
      <c r="Q13" s="111">
        <v>5040</v>
      </c>
      <c r="R13" s="280" t="s">
        <v>74</v>
      </c>
    </row>
    <row r="14" spans="1:20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11" t="s">
        <v>74</v>
      </c>
      <c r="M14" s="111" t="s">
        <v>74</v>
      </c>
      <c r="N14" s="111" t="s">
        <v>74</v>
      </c>
      <c r="O14" s="111" t="s">
        <v>74</v>
      </c>
      <c r="P14" s="111">
        <v>5300</v>
      </c>
      <c r="Q14" s="111">
        <v>4040</v>
      </c>
      <c r="R14" s="280" t="s">
        <v>74</v>
      </c>
    </row>
    <row r="15" spans="1:20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11" t="s">
        <v>74</v>
      </c>
      <c r="M15" s="111" t="s">
        <v>74</v>
      </c>
      <c r="N15" s="111" t="s">
        <v>74</v>
      </c>
      <c r="O15" s="110">
        <v>4140</v>
      </c>
      <c r="P15" s="109">
        <v>4820</v>
      </c>
      <c r="Q15" s="161">
        <v>4540</v>
      </c>
      <c r="R15" s="280" t="s">
        <v>74</v>
      </c>
    </row>
    <row r="16" spans="1:20" s="103" customFormat="1" ht="16.2" thickBot="1" x14ac:dyDescent="0.35">
      <c r="A16" s="130" t="s">
        <v>30</v>
      </c>
      <c r="B16" s="158" t="s">
        <v>74</v>
      </c>
      <c r="C16" s="159" t="s">
        <v>74</v>
      </c>
      <c r="D16" s="159" t="s">
        <v>74</v>
      </c>
      <c r="E16" s="159" t="s">
        <v>74</v>
      </c>
      <c r="F16" s="159" t="s">
        <v>74</v>
      </c>
      <c r="G16" s="159" t="s">
        <v>74</v>
      </c>
      <c r="H16" s="159" t="s">
        <v>74</v>
      </c>
      <c r="I16" s="159" t="s">
        <v>74</v>
      </c>
      <c r="J16" s="120" t="s">
        <v>74</v>
      </c>
      <c r="K16" s="120" t="s">
        <v>74</v>
      </c>
      <c r="L16" s="120" t="s">
        <v>74</v>
      </c>
      <c r="M16" s="120" t="s">
        <v>74</v>
      </c>
      <c r="N16" s="120" t="s">
        <v>74</v>
      </c>
      <c r="O16" s="120">
        <v>3700</v>
      </c>
      <c r="P16" s="120">
        <v>4080</v>
      </c>
      <c r="Q16" s="120">
        <v>4320</v>
      </c>
      <c r="R16" s="281" t="s">
        <v>74</v>
      </c>
    </row>
    <row r="17" spans="1:19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17" t="s">
        <v>74</v>
      </c>
      <c r="N17" s="117" t="s">
        <v>74</v>
      </c>
      <c r="O17" s="118">
        <f>SUM(O5:O16)</f>
        <v>7840</v>
      </c>
      <c r="P17" s="118">
        <f>SUM(P5:P16)</f>
        <v>54520</v>
      </c>
      <c r="Q17" s="118">
        <f>SUM(Q5:Q16)</f>
        <v>52400</v>
      </c>
      <c r="R17" s="268">
        <f>SUM(R5:R16)</f>
        <v>21400</v>
      </c>
    </row>
    <row r="18" spans="1:19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9" x14ac:dyDescent="0.25">
      <c r="A19" s="329" t="s">
        <v>104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9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</row>
    <row r="21" spans="1:19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1:R21"/>
    <mergeCell ref="A1:T1"/>
    <mergeCell ref="A20:S20"/>
    <mergeCell ref="A3:R3"/>
    <mergeCell ref="A2:R2"/>
    <mergeCell ref="A18:R18"/>
    <mergeCell ref="A19:R19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pageSetUpPr fitToPage="1"/>
  </sheetPr>
  <dimension ref="A1:T21"/>
  <sheetViews>
    <sheetView showGridLines="0" workbookViewId="0">
      <pane ySplit="1" topLeftCell="A2" activePane="bottomLeft" state="frozen"/>
      <selection pane="bottomLeft" sqref="A1:T1"/>
    </sheetView>
  </sheetViews>
  <sheetFormatPr defaultColWidth="13.5546875" defaultRowHeight="13.8" x14ac:dyDescent="0.25"/>
  <cols>
    <col min="1" max="1" width="12.5546875" style="184" customWidth="1"/>
    <col min="2" max="14" width="0" style="104" hidden="1" customWidth="1"/>
    <col min="15" max="16384" width="13.5546875" style="104"/>
  </cols>
  <sheetData>
    <row r="1" spans="1:20" s="101" customFormat="1" ht="21" x14ac:dyDescent="0.25">
      <c r="A1" s="325" t="s">
        <v>117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</row>
    <row r="2" spans="1:20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20" s="102" customFormat="1" ht="18" x14ac:dyDescent="0.25">
      <c r="A3" s="333" t="s">
        <v>137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20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20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13" t="s">
        <v>74</v>
      </c>
      <c r="O5" s="113" t="s">
        <v>74</v>
      </c>
      <c r="P5" s="174">
        <v>110340</v>
      </c>
      <c r="Q5" s="174">
        <v>119400</v>
      </c>
      <c r="R5" s="273">
        <v>118760</v>
      </c>
    </row>
    <row r="6" spans="1:20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11" t="s">
        <v>74</v>
      </c>
      <c r="O6" s="111" t="s">
        <v>74</v>
      </c>
      <c r="P6" s="111">
        <v>95680</v>
      </c>
      <c r="Q6" s="111">
        <v>99080</v>
      </c>
      <c r="R6" s="267">
        <v>100100</v>
      </c>
    </row>
    <row r="7" spans="1:20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11" t="s">
        <v>74</v>
      </c>
      <c r="O7" s="111" t="s">
        <v>74</v>
      </c>
      <c r="P7" s="111">
        <v>94720</v>
      </c>
      <c r="Q7" s="111">
        <v>87480</v>
      </c>
      <c r="R7" s="267">
        <v>113540</v>
      </c>
    </row>
    <row r="8" spans="1:20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11" t="s">
        <v>74</v>
      </c>
      <c r="N8" s="111" t="s">
        <v>74</v>
      </c>
      <c r="O8" s="111" t="s">
        <v>74</v>
      </c>
      <c r="P8" s="111">
        <v>127880</v>
      </c>
      <c r="Q8" s="111">
        <v>132200</v>
      </c>
      <c r="R8" s="267">
        <v>101200</v>
      </c>
    </row>
    <row r="9" spans="1:20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11" t="s">
        <v>74</v>
      </c>
      <c r="N9" s="111" t="s">
        <v>74</v>
      </c>
      <c r="O9" s="111" t="s">
        <v>74</v>
      </c>
      <c r="P9" s="111">
        <v>109340</v>
      </c>
      <c r="Q9" s="111">
        <v>110560</v>
      </c>
      <c r="R9" s="267">
        <v>76560</v>
      </c>
    </row>
    <row r="10" spans="1:20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11" t="s">
        <v>74</v>
      </c>
      <c r="N10" s="111" t="s">
        <v>74</v>
      </c>
      <c r="O10" s="111" t="s">
        <v>74</v>
      </c>
      <c r="P10" s="111">
        <v>140660</v>
      </c>
      <c r="Q10" s="111">
        <v>130200</v>
      </c>
      <c r="R10" s="267">
        <v>112640</v>
      </c>
    </row>
    <row r="11" spans="1:20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11" t="s">
        <v>74</v>
      </c>
      <c r="N11" s="111" t="s">
        <v>74</v>
      </c>
      <c r="O11" s="111" t="s">
        <v>74</v>
      </c>
      <c r="P11" s="111">
        <v>126140</v>
      </c>
      <c r="Q11" s="111">
        <v>118100</v>
      </c>
      <c r="R11" s="279" t="s">
        <v>74</v>
      </c>
    </row>
    <row r="12" spans="1:20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11" t="s">
        <v>74</v>
      </c>
      <c r="M12" s="111" t="s">
        <v>74</v>
      </c>
      <c r="N12" s="111" t="s">
        <v>74</v>
      </c>
      <c r="O12" s="111" t="s">
        <v>74</v>
      </c>
      <c r="P12" s="111">
        <v>133520</v>
      </c>
      <c r="Q12" s="111">
        <v>142880</v>
      </c>
      <c r="R12" s="280" t="s">
        <v>74</v>
      </c>
    </row>
    <row r="13" spans="1:20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11" t="s">
        <v>74</v>
      </c>
      <c r="M13" s="111" t="s">
        <v>74</v>
      </c>
      <c r="N13" s="111" t="s">
        <v>74</v>
      </c>
      <c r="O13" s="111" t="s">
        <v>74</v>
      </c>
      <c r="P13" s="111">
        <v>133300</v>
      </c>
      <c r="Q13" s="111">
        <v>139400</v>
      </c>
      <c r="R13" s="280" t="s">
        <v>74</v>
      </c>
    </row>
    <row r="14" spans="1:20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11" t="s">
        <v>74</v>
      </c>
      <c r="M14" s="111" t="s">
        <v>74</v>
      </c>
      <c r="N14" s="111" t="s">
        <v>74</v>
      </c>
      <c r="O14" s="111" t="s">
        <v>74</v>
      </c>
      <c r="P14" s="111">
        <v>120960</v>
      </c>
      <c r="Q14" s="111">
        <v>131860</v>
      </c>
      <c r="R14" s="280" t="s">
        <v>74</v>
      </c>
    </row>
    <row r="15" spans="1:20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11" t="s">
        <v>74</v>
      </c>
      <c r="M15" s="111" t="s">
        <v>74</v>
      </c>
      <c r="N15" s="111" t="s">
        <v>74</v>
      </c>
      <c r="O15" s="185">
        <v>101620</v>
      </c>
      <c r="P15" s="186">
        <v>113160</v>
      </c>
      <c r="Q15" s="111">
        <v>125340</v>
      </c>
      <c r="R15" s="280" t="s">
        <v>74</v>
      </c>
    </row>
    <row r="16" spans="1:20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 t="s">
        <v>74</v>
      </c>
      <c r="L16" s="120" t="s">
        <v>74</v>
      </c>
      <c r="M16" s="120" t="s">
        <v>74</v>
      </c>
      <c r="N16" s="120" t="s">
        <v>74</v>
      </c>
      <c r="O16" s="187">
        <v>99440</v>
      </c>
      <c r="P16" s="187">
        <v>107180</v>
      </c>
      <c r="Q16" s="120">
        <v>136800</v>
      </c>
      <c r="R16" s="281" t="s">
        <v>74</v>
      </c>
    </row>
    <row r="17" spans="1:18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17" t="s">
        <v>74</v>
      </c>
      <c r="N17" s="117" t="s">
        <v>74</v>
      </c>
      <c r="O17" s="179">
        <f>SUM(O5:O16)</f>
        <v>201060</v>
      </c>
      <c r="P17" s="179">
        <f>SUM(P5:P16)</f>
        <v>1412880</v>
      </c>
      <c r="Q17" s="179">
        <f>SUM(Q5:Q16)</f>
        <v>1473300</v>
      </c>
      <c r="R17" s="274">
        <f>SUM(R5:R16)</f>
        <v>622800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29" t="s">
        <v>104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1:R21"/>
    <mergeCell ref="A1:T1"/>
    <mergeCell ref="A20:R20"/>
    <mergeCell ref="A2:R2"/>
    <mergeCell ref="A3:R3"/>
    <mergeCell ref="A18:R18"/>
    <mergeCell ref="A19:R19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>
    <pageSetUpPr fitToPage="1"/>
  </sheetPr>
  <dimension ref="A1:T21"/>
  <sheetViews>
    <sheetView showGridLines="0" workbookViewId="0">
      <pane ySplit="1" topLeftCell="A2" activePane="bottomLeft" state="frozen"/>
      <selection pane="bottomLeft" sqref="A1:T1"/>
    </sheetView>
  </sheetViews>
  <sheetFormatPr defaultColWidth="12.5546875" defaultRowHeight="13.8" x14ac:dyDescent="0.25"/>
  <cols>
    <col min="1" max="1" width="12.5546875" style="184"/>
    <col min="2" max="14" width="0" style="104" hidden="1" customWidth="1"/>
    <col min="15" max="16384" width="12.5546875" style="104"/>
  </cols>
  <sheetData>
    <row r="1" spans="1:20" s="101" customFormat="1" ht="21" x14ac:dyDescent="0.25">
      <c r="A1" s="325" t="s">
        <v>118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</row>
    <row r="2" spans="1:20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20" s="102" customFormat="1" ht="18" x14ac:dyDescent="0.25">
      <c r="A3" s="326" t="s">
        <v>138</v>
      </c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</row>
    <row r="4" spans="1:20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20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13" t="s">
        <v>74</v>
      </c>
      <c r="O5" s="113" t="s">
        <v>74</v>
      </c>
      <c r="P5" s="174">
        <v>223080</v>
      </c>
      <c r="Q5" s="174">
        <v>214580</v>
      </c>
      <c r="R5" s="273">
        <v>220300</v>
      </c>
    </row>
    <row r="6" spans="1:20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11" t="s">
        <v>74</v>
      </c>
      <c r="O6" s="111" t="s">
        <v>74</v>
      </c>
      <c r="P6" s="111">
        <v>187860</v>
      </c>
      <c r="Q6" s="111">
        <v>176000</v>
      </c>
      <c r="R6" s="267">
        <v>200140</v>
      </c>
    </row>
    <row r="7" spans="1:20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11" t="s">
        <v>74</v>
      </c>
      <c r="O7" s="111" t="s">
        <v>74</v>
      </c>
      <c r="P7" s="111">
        <v>167040</v>
      </c>
      <c r="Q7" s="111">
        <v>175540</v>
      </c>
      <c r="R7" s="267">
        <v>193900</v>
      </c>
    </row>
    <row r="8" spans="1:20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11" t="s">
        <v>74</v>
      </c>
      <c r="N8" s="111" t="s">
        <v>74</v>
      </c>
      <c r="O8" s="111" t="s">
        <v>74</v>
      </c>
      <c r="P8" s="111">
        <v>251120</v>
      </c>
      <c r="Q8" s="111">
        <v>256580</v>
      </c>
      <c r="R8" s="267">
        <v>180020</v>
      </c>
    </row>
    <row r="9" spans="1:20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11" t="s">
        <v>74</v>
      </c>
      <c r="N9" s="111" t="s">
        <v>74</v>
      </c>
      <c r="O9" s="111" t="s">
        <v>74</v>
      </c>
      <c r="P9" s="111">
        <v>204040</v>
      </c>
      <c r="Q9" s="111">
        <v>241700</v>
      </c>
      <c r="R9" s="267">
        <v>140540</v>
      </c>
    </row>
    <row r="10" spans="1:20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11" t="s">
        <v>74</v>
      </c>
      <c r="N10" s="111" t="s">
        <v>74</v>
      </c>
      <c r="O10" s="111" t="s">
        <v>74</v>
      </c>
      <c r="P10" s="111">
        <v>251660</v>
      </c>
      <c r="Q10" s="111">
        <v>231860</v>
      </c>
      <c r="R10" s="267">
        <v>223440</v>
      </c>
    </row>
    <row r="11" spans="1:20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11" t="s">
        <v>74</v>
      </c>
      <c r="N11" s="111" t="s">
        <v>74</v>
      </c>
      <c r="O11" s="111" t="s">
        <v>74</v>
      </c>
      <c r="P11" s="111">
        <v>212860</v>
      </c>
      <c r="Q11" s="111">
        <v>219540</v>
      </c>
      <c r="R11" s="279" t="s">
        <v>74</v>
      </c>
    </row>
    <row r="12" spans="1:20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11" t="s">
        <v>74</v>
      </c>
      <c r="M12" s="111" t="s">
        <v>74</v>
      </c>
      <c r="N12" s="111" t="s">
        <v>74</v>
      </c>
      <c r="O12" s="185">
        <v>0</v>
      </c>
      <c r="P12" s="186">
        <v>253680</v>
      </c>
      <c r="Q12" s="111">
        <v>258880</v>
      </c>
      <c r="R12" s="280" t="s">
        <v>74</v>
      </c>
    </row>
    <row r="13" spans="1:20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11" t="s">
        <v>74</v>
      </c>
      <c r="M13" s="111" t="s">
        <v>74</v>
      </c>
      <c r="N13" s="111" t="s">
        <v>74</v>
      </c>
      <c r="O13" s="186">
        <v>0</v>
      </c>
      <c r="P13" s="186">
        <v>242700</v>
      </c>
      <c r="Q13" s="111">
        <v>256780</v>
      </c>
      <c r="R13" s="280" t="s">
        <v>74</v>
      </c>
    </row>
    <row r="14" spans="1:20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11" t="s">
        <v>74</v>
      </c>
      <c r="M14" s="111" t="s">
        <v>74</v>
      </c>
      <c r="N14" s="111" t="s">
        <v>74</v>
      </c>
      <c r="O14" s="186">
        <v>0</v>
      </c>
      <c r="P14" s="186">
        <v>239280</v>
      </c>
      <c r="Q14" s="111">
        <v>238600</v>
      </c>
      <c r="R14" s="280" t="s">
        <v>74</v>
      </c>
    </row>
    <row r="15" spans="1:20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11" t="s">
        <v>74</v>
      </c>
      <c r="M15" s="111" t="s">
        <v>74</v>
      </c>
      <c r="N15" s="111" t="s">
        <v>74</v>
      </c>
      <c r="O15" s="186">
        <v>201940</v>
      </c>
      <c r="P15" s="186">
        <v>224420</v>
      </c>
      <c r="Q15" s="111">
        <v>234560</v>
      </c>
      <c r="R15" s="280" t="s">
        <v>74</v>
      </c>
    </row>
    <row r="16" spans="1:20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 t="s">
        <v>74</v>
      </c>
      <c r="L16" s="120" t="s">
        <v>74</v>
      </c>
      <c r="M16" s="120" t="s">
        <v>74</v>
      </c>
      <c r="N16" s="120" t="s">
        <v>74</v>
      </c>
      <c r="O16" s="187">
        <v>190120</v>
      </c>
      <c r="P16" s="187">
        <v>213560</v>
      </c>
      <c r="Q16" s="120">
        <v>228160</v>
      </c>
      <c r="R16" s="281" t="s">
        <v>74</v>
      </c>
    </row>
    <row r="17" spans="1:19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17" t="s">
        <v>74</v>
      </c>
      <c r="N17" s="117" t="s">
        <v>74</v>
      </c>
      <c r="O17" s="179">
        <f>SUM(O5:O16)</f>
        <v>392060</v>
      </c>
      <c r="P17" s="179">
        <f>SUM(P5:P16)</f>
        <v>2671300</v>
      </c>
      <c r="Q17" s="179">
        <f>SUM(Q5:Q16)</f>
        <v>2732780</v>
      </c>
      <c r="R17" s="274">
        <f>SUM(R5:R16)</f>
        <v>1158340</v>
      </c>
    </row>
    <row r="18" spans="1:19" s="108" customFormat="1" ht="6.6" x14ac:dyDescent="0.25">
      <c r="A18" s="334" t="s">
        <v>84</v>
      </c>
      <c r="B18" s="334"/>
      <c r="C18" s="334"/>
      <c r="D18" s="334"/>
      <c r="E18" s="334"/>
      <c r="F18" s="334"/>
      <c r="G18" s="334"/>
      <c r="H18" s="334"/>
      <c r="I18" s="334"/>
      <c r="J18" s="334"/>
      <c r="K18" s="334"/>
      <c r="L18" s="334"/>
      <c r="M18" s="334"/>
      <c r="N18" s="334"/>
      <c r="O18" s="334"/>
      <c r="P18" s="334"/>
      <c r="Q18" s="334"/>
      <c r="R18" s="334"/>
    </row>
    <row r="19" spans="1:19" x14ac:dyDescent="0.25">
      <c r="A19" s="329" t="s">
        <v>104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9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</row>
    <row r="21" spans="1:19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1:R21"/>
    <mergeCell ref="A1:T1"/>
    <mergeCell ref="A20:S20"/>
    <mergeCell ref="A3:R3"/>
    <mergeCell ref="A2:R2"/>
    <mergeCell ref="A18:R18"/>
    <mergeCell ref="A19:R1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pageSetUpPr fitToPage="1"/>
  </sheetPr>
  <dimension ref="A1:R21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RowHeight="13.8" x14ac:dyDescent="0.25"/>
  <cols>
    <col min="1" max="1" width="12.5546875" style="107" customWidth="1"/>
    <col min="2" max="12" width="13.5546875" style="104" hidden="1" customWidth="1"/>
    <col min="13" max="18" width="13.5546875" style="104" customWidth="1"/>
    <col min="19" max="16384" width="8.88671875" style="104"/>
  </cols>
  <sheetData>
    <row r="1" spans="1:18" s="101" customFormat="1" ht="21" x14ac:dyDescent="0.25">
      <c r="A1" s="325" t="s">
        <v>91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3" t="s">
        <v>62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54" t="s">
        <v>74</v>
      </c>
      <c r="C5" s="155" t="s">
        <v>74</v>
      </c>
      <c r="D5" s="155" t="s">
        <v>74</v>
      </c>
      <c r="E5" s="155" t="s">
        <v>74</v>
      </c>
      <c r="F5" s="155" t="s">
        <v>74</v>
      </c>
      <c r="G5" s="155" t="s">
        <v>74</v>
      </c>
      <c r="H5" s="155" t="s">
        <v>74</v>
      </c>
      <c r="I5" s="155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14">
        <v>6665</v>
      </c>
      <c r="O5" s="114">
        <v>7242</v>
      </c>
      <c r="P5" s="114">
        <v>8348</v>
      </c>
      <c r="Q5" s="114">
        <v>6423</v>
      </c>
      <c r="R5" s="266">
        <v>6206</v>
      </c>
    </row>
    <row r="6" spans="1:18" s="103" customFormat="1" ht="15.6" x14ac:dyDescent="0.25">
      <c r="A6" s="129" t="s">
        <v>20</v>
      </c>
      <c r="B6" s="156" t="s">
        <v>74</v>
      </c>
      <c r="C6" s="157" t="s">
        <v>74</v>
      </c>
      <c r="D6" s="157" t="s">
        <v>74</v>
      </c>
      <c r="E6" s="157" t="s">
        <v>74</v>
      </c>
      <c r="F6" s="157" t="s">
        <v>74</v>
      </c>
      <c r="G6" s="157" t="s">
        <v>74</v>
      </c>
      <c r="H6" s="157" t="s">
        <v>74</v>
      </c>
      <c r="I6" s="157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11">
        <v>5702</v>
      </c>
      <c r="O6" s="111">
        <v>5627</v>
      </c>
      <c r="P6" s="111">
        <v>5777</v>
      </c>
      <c r="Q6" s="111">
        <v>5417</v>
      </c>
      <c r="R6" s="267">
        <v>5662</v>
      </c>
    </row>
    <row r="7" spans="1:18" s="103" customFormat="1" ht="15.6" x14ac:dyDescent="0.25">
      <c r="A7" s="129" t="s">
        <v>21</v>
      </c>
      <c r="B7" s="156" t="s">
        <v>74</v>
      </c>
      <c r="C7" s="157" t="s">
        <v>74</v>
      </c>
      <c r="D7" s="157" t="s">
        <v>74</v>
      </c>
      <c r="E7" s="157" t="s">
        <v>74</v>
      </c>
      <c r="F7" s="157" t="s">
        <v>74</v>
      </c>
      <c r="G7" s="157" t="s">
        <v>74</v>
      </c>
      <c r="H7" s="157" t="s">
        <v>74</v>
      </c>
      <c r="I7" s="157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11">
        <v>5517</v>
      </c>
      <c r="O7" s="111">
        <v>5351</v>
      </c>
      <c r="P7" s="111">
        <v>5433</v>
      </c>
      <c r="Q7" s="111">
        <v>4988</v>
      </c>
      <c r="R7" s="267">
        <v>5382</v>
      </c>
    </row>
    <row r="8" spans="1:18" s="103" customFormat="1" ht="15.6" x14ac:dyDescent="0.25">
      <c r="A8" s="129" t="s">
        <v>22</v>
      </c>
      <c r="B8" s="156" t="s">
        <v>74</v>
      </c>
      <c r="C8" s="157" t="s">
        <v>74</v>
      </c>
      <c r="D8" s="157" t="s">
        <v>74</v>
      </c>
      <c r="E8" s="157" t="s">
        <v>74</v>
      </c>
      <c r="F8" s="157" t="s">
        <v>74</v>
      </c>
      <c r="G8" s="157" t="s">
        <v>74</v>
      </c>
      <c r="H8" s="157" t="s">
        <v>74</v>
      </c>
      <c r="I8" s="157" t="s">
        <v>74</v>
      </c>
      <c r="J8" s="111" t="s">
        <v>74</v>
      </c>
      <c r="K8" s="111" t="s">
        <v>74</v>
      </c>
      <c r="L8" s="111" t="s">
        <v>74</v>
      </c>
      <c r="M8" s="111" t="s">
        <v>74</v>
      </c>
      <c r="N8" s="111">
        <v>5987</v>
      </c>
      <c r="O8" s="111">
        <v>5608</v>
      </c>
      <c r="P8" s="111">
        <v>6152</v>
      </c>
      <c r="Q8" s="111">
        <v>5665</v>
      </c>
      <c r="R8" s="267">
        <v>3561</v>
      </c>
    </row>
    <row r="9" spans="1:18" s="103" customFormat="1" ht="15.6" x14ac:dyDescent="0.25">
      <c r="A9" s="129" t="s">
        <v>23</v>
      </c>
      <c r="B9" s="156" t="s">
        <v>74</v>
      </c>
      <c r="C9" s="157" t="s">
        <v>74</v>
      </c>
      <c r="D9" s="157" t="s">
        <v>74</v>
      </c>
      <c r="E9" s="157" t="s">
        <v>74</v>
      </c>
      <c r="F9" s="157" t="s">
        <v>74</v>
      </c>
      <c r="G9" s="157" t="s">
        <v>74</v>
      </c>
      <c r="H9" s="157" t="s">
        <v>74</v>
      </c>
      <c r="I9" s="157" t="s">
        <v>74</v>
      </c>
      <c r="J9" s="111" t="s">
        <v>74</v>
      </c>
      <c r="K9" s="111" t="s">
        <v>74</v>
      </c>
      <c r="L9" s="111" t="s">
        <v>74</v>
      </c>
      <c r="M9" s="110">
        <v>4056</v>
      </c>
      <c r="N9" s="109">
        <v>5970</v>
      </c>
      <c r="O9" s="111">
        <v>5846</v>
      </c>
      <c r="P9" s="111">
        <v>5579</v>
      </c>
      <c r="Q9" s="111">
        <v>5119</v>
      </c>
      <c r="R9" s="267">
        <v>1717</v>
      </c>
    </row>
    <row r="10" spans="1:18" s="103" customFormat="1" ht="15.6" x14ac:dyDescent="0.25">
      <c r="A10" s="129" t="s">
        <v>24</v>
      </c>
      <c r="B10" s="156" t="s">
        <v>74</v>
      </c>
      <c r="C10" s="157" t="s">
        <v>74</v>
      </c>
      <c r="D10" s="157" t="s">
        <v>74</v>
      </c>
      <c r="E10" s="157" t="s">
        <v>74</v>
      </c>
      <c r="F10" s="157" t="s">
        <v>74</v>
      </c>
      <c r="G10" s="157" t="s">
        <v>74</v>
      </c>
      <c r="H10" s="157" t="s">
        <v>74</v>
      </c>
      <c r="I10" s="157" t="s">
        <v>74</v>
      </c>
      <c r="J10" s="111" t="s">
        <v>74</v>
      </c>
      <c r="K10" s="111" t="s">
        <v>74</v>
      </c>
      <c r="L10" s="111" t="s">
        <v>74</v>
      </c>
      <c r="M10" s="111">
        <v>6216</v>
      </c>
      <c r="N10" s="111">
        <v>6196</v>
      </c>
      <c r="O10" s="111">
        <v>6559</v>
      </c>
      <c r="P10" s="111">
        <v>6040</v>
      </c>
      <c r="Q10" s="111">
        <v>6109</v>
      </c>
      <c r="R10" s="267">
        <v>2924</v>
      </c>
    </row>
    <row r="11" spans="1:18" s="103" customFormat="1" ht="15.6" x14ac:dyDescent="0.3">
      <c r="A11" s="129" t="s">
        <v>25</v>
      </c>
      <c r="B11" s="156" t="s">
        <v>74</v>
      </c>
      <c r="C11" s="157" t="s">
        <v>74</v>
      </c>
      <c r="D11" s="157" t="s">
        <v>74</v>
      </c>
      <c r="E11" s="157" t="s">
        <v>74</v>
      </c>
      <c r="F11" s="157" t="s">
        <v>74</v>
      </c>
      <c r="G11" s="157" t="s">
        <v>74</v>
      </c>
      <c r="H11" s="157" t="s">
        <v>74</v>
      </c>
      <c r="I11" s="157" t="s">
        <v>74</v>
      </c>
      <c r="J11" s="111" t="s">
        <v>74</v>
      </c>
      <c r="K11" s="111" t="s">
        <v>74</v>
      </c>
      <c r="L11" s="111" t="s">
        <v>74</v>
      </c>
      <c r="M11" s="111">
        <v>6311</v>
      </c>
      <c r="N11" s="111">
        <v>6416</v>
      </c>
      <c r="O11" s="111">
        <v>7220</v>
      </c>
      <c r="P11" s="111">
        <v>6455</v>
      </c>
      <c r="Q11" s="111">
        <v>6491</v>
      </c>
      <c r="R11" s="279" t="s">
        <v>74</v>
      </c>
    </row>
    <row r="12" spans="1:18" s="103" customFormat="1" ht="15.6" x14ac:dyDescent="0.3">
      <c r="A12" s="129" t="s">
        <v>26</v>
      </c>
      <c r="B12" s="156" t="s">
        <v>74</v>
      </c>
      <c r="C12" s="157" t="s">
        <v>74</v>
      </c>
      <c r="D12" s="157" t="s">
        <v>74</v>
      </c>
      <c r="E12" s="157" t="s">
        <v>74</v>
      </c>
      <c r="F12" s="157" t="s">
        <v>74</v>
      </c>
      <c r="G12" s="157" t="s">
        <v>74</v>
      </c>
      <c r="H12" s="157" t="s">
        <v>74</v>
      </c>
      <c r="I12" s="157" t="s">
        <v>74</v>
      </c>
      <c r="J12" s="111" t="s">
        <v>74</v>
      </c>
      <c r="K12" s="111" t="s">
        <v>74</v>
      </c>
      <c r="L12" s="111" t="s">
        <v>74</v>
      </c>
      <c r="M12" s="111">
        <v>6839</v>
      </c>
      <c r="N12" s="111">
        <v>7292</v>
      </c>
      <c r="O12" s="111">
        <v>6913</v>
      </c>
      <c r="P12" s="111">
        <v>6408</v>
      </c>
      <c r="Q12" s="111">
        <v>6624</v>
      </c>
      <c r="R12" s="280" t="s">
        <v>74</v>
      </c>
    </row>
    <row r="13" spans="1:18" s="103" customFormat="1" ht="15.6" x14ac:dyDescent="0.3">
      <c r="A13" s="129" t="s">
        <v>27</v>
      </c>
      <c r="B13" s="156" t="s">
        <v>74</v>
      </c>
      <c r="C13" s="157" t="s">
        <v>74</v>
      </c>
      <c r="D13" s="157" t="s">
        <v>74</v>
      </c>
      <c r="E13" s="157" t="s">
        <v>74</v>
      </c>
      <c r="F13" s="157" t="s">
        <v>74</v>
      </c>
      <c r="G13" s="157" t="s">
        <v>74</v>
      </c>
      <c r="H13" s="157" t="s">
        <v>74</v>
      </c>
      <c r="I13" s="157" t="s">
        <v>74</v>
      </c>
      <c r="J13" s="111" t="s">
        <v>74</v>
      </c>
      <c r="K13" s="111" t="s">
        <v>74</v>
      </c>
      <c r="L13" s="111" t="s">
        <v>74</v>
      </c>
      <c r="M13" s="111">
        <v>8520</v>
      </c>
      <c r="N13" s="111">
        <v>7620</v>
      </c>
      <c r="O13" s="111">
        <v>7282</v>
      </c>
      <c r="P13" s="111">
        <v>7209</v>
      </c>
      <c r="Q13" s="111">
        <v>7636</v>
      </c>
      <c r="R13" s="280" t="s">
        <v>74</v>
      </c>
    </row>
    <row r="14" spans="1:18" s="103" customFormat="1" ht="15.6" x14ac:dyDescent="0.3">
      <c r="A14" s="129" t="s">
        <v>28</v>
      </c>
      <c r="B14" s="156" t="s">
        <v>74</v>
      </c>
      <c r="C14" s="157" t="s">
        <v>74</v>
      </c>
      <c r="D14" s="157" t="s">
        <v>74</v>
      </c>
      <c r="E14" s="157" t="s">
        <v>74</v>
      </c>
      <c r="F14" s="157" t="s">
        <v>74</v>
      </c>
      <c r="G14" s="157" t="s">
        <v>74</v>
      </c>
      <c r="H14" s="157" t="s">
        <v>74</v>
      </c>
      <c r="I14" s="157" t="s">
        <v>74</v>
      </c>
      <c r="J14" s="111" t="s">
        <v>74</v>
      </c>
      <c r="K14" s="111" t="s">
        <v>74</v>
      </c>
      <c r="L14" s="111" t="s">
        <v>74</v>
      </c>
      <c r="M14" s="111">
        <v>6516</v>
      </c>
      <c r="N14" s="111">
        <v>6498</v>
      </c>
      <c r="O14" s="111">
        <v>6809</v>
      </c>
      <c r="P14" s="111">
        <v>15698</v>
      </c>
      <c r="Q14" s="111">
        <v>6141</v>
      </c>
      <c r="R14" s="280" t="s">
        <v>74</v>
      </c>
    </row>
    <row r="15" spans="1:18" s="103" customFormat="1" ht="15.6" x14ac:dyDescent="0.3">
      <c r="A15" s="129" t="s">
        <v>29</v>
      </c>
      <c r="B15" s="156" t="s">
        <v>74</v>
      </c>
      <c r="C15" s="157" t="s">
        <v>74</v>
      </c>
      <c r="D15" s="157" t="s">
        <v>74</v>
      </c>
      <c r="E15" s="157" t="s">
        <v>74</v>
      </c>
      <c r="F15" s="157" t="s">
        <v>74</v>
      </c>
      <c r="G15" s="157" t="s">
        <v>74</v>
      </c>
      <c r="H15" s="157" t="s">
        <v>74</v>
      </c>
      <c r="I15" s="157" t="s">
        <v>74</v>
      </c>
      <c r="J15" s="111" t="s">
        <v>74</v>
      </c>
      <c r="K15" s="111" t="s">
        <v>74</v>
      </c>
      <c r="L15" s="111" t="s">
        <v>74</v>
      </c>
      <c r="M15" s="111">
        <v>7327</v>
      </c>
      <c r="N15" s="111">
        <v>6831</v>
      </c>
      <c r="O15" s="111">
        <v>7136</v>
      </c>
      <c r="P15" s="111">
        <v>6544</v>
      </c>
      <c r="Q15" s="111">
        <v>6264</v>
      </c>
      <c r="R15" s="280" t="s">
        <v>74</v>
      </c>
    </row>
    <row r="16" spans="1:18" s="103" customFormat="1" ht="16.2" thickBot="1" x14ac:dyDescent="0.35">
      <c r="A16" s="130" t="s">
        <v>30</v>
      </c>
      <c r="B16" s="158" t="s">
        <v>74</v>
      </c>
      <c r="C16" s="159" t="s">
        <v>74</v>
      </c>
      <c r="D16" s="159" t="s">
        <v>74</v>
      </c>
      <c r="E16" s="159" t="s">
        <v>74</v>
      </c>
      <c r="F16" s="159" t="s">
        <v>74</v>
      </c>
      <c r="G16" s="159" t="s">
        <v>74</v>
      </c>
      <c r="H16" s="159" t="s">
        <v>74</v>
      </c>
      <c r="I16" s="159" t="s">
        <v>74</v>
      </c>
      <c r="J16" s="120" t="s">
        <v>74</v>
      </c>
      <c r="K16" s="120" t="s">
        <v>74</v>
      </c>
      <c r="L16" s="120" t="s">
        <v>74</v>
      </c>
      <c r="M16" s="120">
        <v>5888</v>
      </c>
      <c r="N16" s="120">
        <v>6125</v>
      </c>
      <c r="O16" s="120">
        <v>6048</v>
      </c>
      <c r="P16" s="120">
        <v>5612</v>
      </c>
      <c r="Q16" s="120">
        <v>5534</v>
      </c>
      <c r="R16" s="281" t="s">
        <v>74</v>
      </c>
    </row>
    <row r="17" spans="1:18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18">
        <f t="shared" ref="M17:P17" si="0">SUM(M5:M16)</f>
        <v>51673</v>
      </c>
      <c r="N17" s="118">
        <f t="shared" si="0"/>
        <v>76819</v>
      </c>
      <c r="O17" s="118">
        <f t="shared" si="0"/>
        <v>77641</v>
      </c>
      <c r="P17" s="118">
        <f t="shared" si="0"/>
        <v>85255</v>
      </c>
      <c r="Q17" s="118">
        <f t="shared" ref="Q17:R17" si="1">SUM(Q5:Q16)</f>
        <v>72411</v>
      </c>
      <c r="R17" s="268">
        <f t="shared" si="1"/>
        <v>25452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29" t="s">
        <v>90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0:R20"/>
    <mergeCell ref="A21:R21"/>
    <mergeCell ref="A1:R1"/>
    <mergeCell ref="A2:R2"/>
    <mergeCell ref="A3:R3"/>
    <mergeCell ref="A18:R18"/>
    <mergeCell ref="A19:R1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pageSetUpPr fitToPage="1"/>
  </sheetPr>
  <dimension ref="A1:U21"/>
  <sheetViews>
    <sheetView showGridLines="0" workbookViewId="0">
      <pane ySplit="1" topLeftCell="A2" activePane="bottomLeft" state="frozen"/>
      <selection pane="bottomLeft" sqref="A1:U1"/>
    </sheetView>
  </sheetViews>
  <sheetFormatPr defaultColWidth="13.5546875" defaultRowHeight="13.8" x14ac:dyDescent="0.25"/>
  <cols>
    <col min="1" max="1" width="12.5546875" style="184" customWidth="1"/>
    <col min="2" max="15" width="0" style="104" hidden="1" customWidth="1"/>
    <col min="16" max="16384" width="13.5546875" style="104"/>
  </cols>
  <sheetData>
    <row r="1" spans="1:21" s="101" customFormat="1" ht="21" x14ac:dyDescent="0.25">
      <c r="A1" s="325" t="s">
        <v>119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  <c r="U1" s="325"/>
    </row>
    <row r="2" spans="1:21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21" s="102" customFormat="1" ht="18" x14ac:dyDescent="0.25">
      <c r="A3" s="326" t="s">
        <v>139</v>
      </c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</row>
    <row r="4" spans="1:21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21" s="103" customFormat="1" ht="15.6" x14ac:dyDescent="0.25">
      <c r="A5" s="128" t="s">
        <v>19</v>
      </c>
      <c r="B5" s="113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13" t="s">
        <v>74</v>
      </c>
      <c r="O5" s="113" t="s">
        <v>74</v>
      </c>
      <c r="P5" s="113" t="s">
        <v>74</v>
      </c>
      <c r="Q5" s="114">
        <v>8660</v>
      </c>
      <c r="R5" s="266">
        <v>5860</v>
      </c>
    </row>
    <row r="6" spans="1:21" s="103" customFormat="1" ht="15.6" x14ac:dyDescent="0.25">
      <c r="A6" s="129" t="s">
        <v>20</v>
      </c>
      <c r="B6" s="111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11" t="s">
        <v>74</v>
      </c>
      <c r="O6" s="111" t="s">
        <v>74</v>
      </c>
      <c r="P6" s="111" t="s">
        <v>74</v>
      </c>
      <c r="Q6" s="111">
        <v>3160</v>
      </c>
      <c r="R6" s="267">
        <v>7300</v>
      </c>
    </row>
    <row r="7" spans="1:21" s="103" customFormat="1" ht="15.6" x14ac:dyDescent="0.25">
      <c r="A7" s="129" t="s">
        <v>21</v>
      </c>
      <c r="B7" s="111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11" t="s">
        <v>74</v>
      </c>
      <c r="O7" s="111" t="s">
        <v>74</v>
      </c>
      <c r="P7" s="111" t="s">
        <v>74</v>
      </c>
      <c r="Q7" s="111">
        <v>2780</v>
      </c>
      <c r="R7" s="267">
        <v>5980</v>
      </c>
    </row>
    <row r="8" spans="1:21" s="103" customFormat="1" ht="15.6" x14ac:dyDescent="0.25">
      <c r="A8" s="129" t="s">
        <v>22</v>
      </c>
      <c r="B8" s="111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11" t="s">
        <v>74</v>
      </c>
      <c r="N8" s="111" t="s">
        <v>74</v>
      </c>
      <c r="O8" s="111" t="s">
        <v>74</v>
      </c>
      <c r="P8" s="185">
        <v>0</v>
      </c>
      <c r="Q8" s="111">
        <v>4640</v>
      </c>
      <c r="R8" s="267">
        <v>5380</v>
      </c>
    </row>
    <row r="9" spans="1:21" s="103" customFormat="1" ht="15.6" x14ac:dyDescent="0.25">
      <c r="A9" s="129" t="s">
        <v>23</v>
      </c>
      <c r="B9" s="111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11" t="s">
        <v>74</v>
      </c>
      <c r="N9" s="111" t="s">
        <v>74</v>
      </c>
      <c r="O9" s="111" t="s">
        <v>74</v>
      </c>
      <c r="P9" s="111">
        <v>3200</v>
      </c>
      <c r="Q9" s="111">
        <v>3740</v>
      </c>
      <c r="R9" s="267">
        <v>5160</v>
      </c>
    </row>
    <row r="10" spans="1:21" s="103" customFormat="1" ht="15.6" x14ac:dyDescent="0.25">
      <c r="A10" s="129" t="s">
        <v>24</v>
      </c>
      <c r="B10" s="111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11" t="s">
        <v>74</v>
      </c>
      <c r="N10" s="111" t="s">
        <v>74</v>
      </c>
      <c r="O10" s="111" t="s">
        <v>74</v>
      </c>
      <c r="P10" s="111">
        <v>4560</v>
      </c>
      <c r="Q10" s="111">
        <v>3940</v>
      </c>
      <c r="R10" s="267">
        <v>7160</v>
      </c>
    </row>
    <row r="11" spans="1:21" s="103" customFormat="1" ht="15.6" x14ac:dyDescent="0.3">
      <c r="A11" s="129" t="s">
        <v>25</v>
      </c>
      <c r="B11" s="111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11" t="s">
        <v>74</v>
      </c>
      <c r="N11" s="111" t="s">
        <v>74</v>
      </c>
      <c r="O11" s="111" t="s">
        <v>74</v>
      </c>
      <c r="P11" s="111">
        <v>4600</v>
      </c>
      <c r="Q11" s="111">
        <v>3560</v>
      </c>
      <c r="R11" s="279" t="s">
        <v>74</v>
      </c>
    </row>
    <row r="12" spans="1:21" s="103" customFormat="1" ht="15.6" x14ac:dyDescent="0.3">
      <c r="A12" s="129" t="s">
        <v>26</v>
      </c>
      <c r="B12" s="111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11" t="s">
        <v>74</v>
      </c>
      <c r="M12" s="111" t="s">
        <v>74</v>
      </c>
      <c r="N12" s="111" t="s">
        <v>74</v>
      </c>
      <c r="O12" s="111" t="s">
        <v>74</v>
      </c>
      <c r="P12" s="111">
        <v>4860</v>
      </c>
      <c r="Q12" s="111">
        <v>5040</v>
      </c>
      <c r="R12" s="280" t="s">
        <v>74</v>
      </c>
    </row>
    <row r="13" spans="1:21" s="103" customFormat="1" ht="15.6" x14ac:dyDescent="0.3">
      <c r="A13" s="129" t="s">
        <v>27</v>
      </c>
      <c r="B13" s="111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11" t="s">
        <v>74</v>
      </c>
      <c r="M13" s="111" t="s">
        <v>74</v>
      </c>
      <c r="N13" s="111" t="s">
        <v>74</v>
      </c>
      <c r="O13" s="111" t="s">
        <v>74</v>
      </c>
      <c r="P13" s="111">
        <v>5940</v>
      </c>
      <c r="Q13" s="111">
        <v>5040</v>
      </c>
      <c r="R13" s="280" t="s">
        <v>74</v>
      </c>
    </row>
    <row r="14" spans="1:21" s="103" customFormat="1" ht="15.6" x14ac:dyDescent="0.3">
      <c r="A14" s="129" t="s">
        <v>28</v>
      </c>
      <c r="B14" s="111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11" t="s">
        <v>74</v>
      </c>
      <c r="M14" s="111" t="s">
        <v>74</v>
      </c>
      <c r="N14" s="111" t="s">
        <v>74</v>
      </c>
      <c r="O14" s="111" t="s">
        <v>74</v>
      </c>
      <c r="P14" s="111">
        <v>4940</v>
      </c>
      <c r="Q14" s="111">
        <v>3800</v>
      </c>
      <c r="R14" s="280" t="s">
        <v>74</v>
      </c>
    </row>
    <row r="15" spans="1:21" s="103" customFormat="1" ht="15.6" x14ac:dyDescent="0.3">
      <c r="A15" s="129" t="s">
        <v>29</v>
      </c>
      <c r="B15" s="111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11" t="s">
        <v>74</v>
      </c>
      <c r="M15" s="111" t="s">
        <v>74</v>
      </c>
      <c r="N15" s="111" t="s">
        <v>74</v>
      </c>
      <c r="O15" s="109" t="s">
        <v>74</v>
      </c>
      <c r="P15" s="186">
        <v>3860</v>
      </c>
      <c r="Q15" s="186">
        <v>1300</v>
      </c>
      <c r="R15" s="280" t="s">
        <v>74</v>
      </c>
    </row>
    <row r="16" spans="1:21" s="103" customFormat="1" ht="16.2" thickBot="1" x14ac:dyDescent="0.35">
      <c r="A16" s="130" t="s">
        <v>30</v>
      </c>
      <c r="B16" s="120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 t="s">
        <v>74</v>
      </c>
      <c r="L16" s="120" t="s">
        <v>74</v>
      </c>
      <c r="M16" s="120" t="s">
        <v>74</v>
      </c>
      <c r="N16" s="120" t="s">
        <v>74</v>
      </c>
      <c r="O16" s="120" t="s">
        <v>74</v>
      </c>
      <c r="P16" s="187">
        <v>3940</v>
      </c>
      <c r="Q16" s="187">
        <v>5200</v>
      </c>
      <c r="R16" s="281" t="s">
        <v>74</v>
      </c>
    </row>
    <row r="17" spans="1:19" s="103" customFormat="1" ht="16.2" thickTop="1" x14ac:dyDescent="0.25">
      <c r="A17" s="127" t="s">
        <v>8</v>
      </c>
      <c r="B17" s="117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17" t="s">
        <v>74</v>
      </c>
      <c r="N17" s="117" t="s">
        <v>74</v>
      </c>
      <c r="O17" s="117" t="s">
        <v>74</v>
      </c>
      <c r="P17" s="179">
        <f>SUM(P5:P16)</f>
        <v>35900</v>
      </c>
      <c r="Q17" s="179">
        <f>SUM(Q5:Q16)</f>
        <v>50860</v>
      </c>
      <c r="R17" s="274">
        <f>SUM(R5:R16)</f>
        <v>36840</v>
      </c>
    </row>
    <row r="18" spans="1:19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9" x14ac:dyDescent="0.25">
      <c r="A19" s="329" t="s">
        <v>106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9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</row>
    <row r="21" spans="1:19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1:R21"/>
    <mergeCell ref="A1:U1"/>
    <mergeCell ref="A19:R19"/>
    <mergeCell ref="A20:S20"/>
    <mergeCell ref="A3:S3"/>
    <mergeCell ref="A2:R2"/>
    <mergeCell ref="A18:R1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4">
    <pageSetUpPr fitToPage="1"/>
  </sheetPr>
  <dimension ref="A1:T21"/>
  <sheetViews>
    <sheetView showGridLines="0" workbookViewId="0">
      <pane ySplit="1" topLeftCell="A2" activePane="bottomLeft" state="frozen"/>
      <selection pane="bottomLeft" sqref="A1:T1"/>
    </sheetView>
  </sheetViews>
  <sheetFormatPr defaultColWidth="13.5546875" defaultRowHeight="13.8" x14ac:dyDescent="0.25"/>
  <cols>
    <col min="1" max="1" width="12.5546875" style="184" customWidth="1"/>
    <col min="2" max="14" width="0" style="104" hidden="1" customWidth="1"/>
    <col min="15" max="16384" width="13.5546875" style="104"/>
  </cols>
  <sheetData>
    <row r="1" spans="1:20" s="101" customFormat="1" ht="21" x14ac:dyDescent="0.25">
      <c r="A1" s="325" t="s">
        <v>121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</row>
    <row r="2" spans="1:20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20" s="102" customFormat="1" ht="18" x14ac:dyDescent="0.25">
      <c r="A3" s="333" t="s">
        <v>141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20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20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13" t="s">
        <v>74</v>
      </c>
      <c r="O5" s="113" t="s">
        <v>74</v>
      </c>
      <c r="P5" s="174">
        <v>99040</v>
      </c>
      <c r="Q5" s="174">
        <v>108820</v>
      </c>
      <c r="R5" s="273">
        <v>102680</v>
      </c>
    </row>
    <row r="6" spans="1:20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11" t="s">
        <v>74</v>
      </c>
      <c r="O6" s="111" t="s">
        <v>74</v>
      </c>
      <c r="P6" s="111">
        <v>81960</v>
      </c>
      <c r="Q6" s="111">
        <v>89280</v>
      </c>
      <c r="R6" s="267">
        <v>95100</v>
      </c>
    </row>
    <row r="7" spans="1:20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11" t="s">
        <v>74</v>
      </c>
      <c r="O7" s="111" t="s">
        <v>74</v>
      </c>
      <c r="P7" s="111">
        <v>82380</v>
      </c>
      <c r="Q7" s="111">
        <v>82360</v>
      </c>
      <c r="R7" s="267">
        <v>108180</v>
      </c>
    </row>
    <row r="8" spans="1:20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11" t="s">
        <v>74</v>
      </c>
      <c r="N8" s="111" t="s">
        <v>74</v>
      </c>
      <c r="O8" s="111" t="s">
        <v>74</v>
      </c>
      <c r="P8" s="111">
        <v>116900</v>
      </c>
      <c r="Q8" s="111">
        <v>126640</v>
      </c>
      <c r="R8" s="267">
        <v>75320</v>
      </c>
    </row>
    <row r="9" spans="1:20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11" t="s">
        <v>74</v>
      </c>
      <c r="N9" s="111" t="s">
        <v>74</v>
      </c>
      <c r="O9" s="111" t="s">
        <v>74</v>
      </c>
      <c r="P9" s="111">
        <v>99160</v>
      </c>
      <c r="Q9" s="111">
        <v>101020</v>
      </c>
      <c r="R9" s="267">
        <v>60860</v>
      </c>
    </row>
    <row r="10" spans="1:20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11" t="s">
        <v>74</v>
      </c>
      <c r="N10" s="111" t="s">
        <v>74</v>
      </c>
      <c r="O10" s="111" t="s">
        <v>74</v>
      </c>
      <c r="P10" s="111">
        <v>115580</v>
      </c>
      <c r="Q10" s="111">
        <v>114120</v>
      </c>
      <c r="R10" s="267">
        <v>93720</v>
      </c>
    </row>
    <row r="11" spans="1:20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11" t="s">
        <v>74</v>
      </c>
      <c r="N11" s="111" t="s">
        <v>74</v>
      </c>
      <c r="O11" s="111" t="s">
        <v>74</v>
      </c>
      <c r="P11" s="111">
        <v>107160</v>
      </c>
      <c r="Q11" s="111">
        <v>112520</v>
      </c>
      <c r="R11" s="279" t="s">
        <v>74</v>
      </c>
    </row>
    <row r="12" spans="1:20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11" t="s">
        <v>74</v>
      </c>
      <c r="M12" s="111" t="s">
        <v>74</v>
      </c>
      <c r="N12" s="111" t="s">
        <v>74</v>
      </c>
      <c r="O12" s="111" t="s">
        <v>74</v>
      </c>
      <c r="P12" s="111">
        <v>126900</v>
      </c>
      <c r="Q12" s="111">
        <v>113940</v>
      </c>
      <c r="R12" s="280" t="s">
        <v>74</v>
      </c>
    </row>
    <row r="13" spans="1:20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11" t="s">
        <v>74</v>
      </c>
      <c r="M13" s="111" t="s">
        <v>74</v>
      </c>
      <c r="N13" s="111" t="s">
        <v>74</v>
      </c>
      <c r="O13" s="111" t="s">
        <v>74</v>
      </c>
      <c r="P13" s="111">
        <v>120920</v>
      </c>
      <c r="Q13" s="111">
        <v>116660</v>
      </c>
      <c r="R13" s="280" t="s">
        <v>74</v>
      </c>
    </row>
    <row r="14" spans="1:20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11" t="s">
        <v>74</v>
      </c>
      <c r="M14" s="111" t="s">
        <v>74</v>
      </c>
      <c r="N14" s="111" t="s">
        <v>74</v>
      </c>
      <c r="O14" s="111" t="s">
        <v>74</v>
      </c>
      <c r="P14" s="111">
        <v>116500</v>
      </c>
      <c r="Q14" s="111">
        <v>121520</v>
      </c>
      <c r="R14" s="280" t="s">
        <v>74</v>
      </c>
    </row>
    <row r="15" spans="1:20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11" t="s">
        <v>74</v>
      </c>
      <c r="M15" s="111" t="s">
        <v>74</v>
      </c>
      <c r="N15" s="111" t="s">
        <v>74</v>
      </c>
      <c r="O15" s="185">
        <v>93300</v>
      </c>
      <c r="P15" s="186">
        <v>109460</v>
      </c>
      <c r="Q15" s="111">
        <v>112420</v>
      </c>
      <c r="R15" s="280" t="s">
        <v>74</v>
      </c>
    </row>
    <row r="16" spans="1:20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 t="s">
        <v>74</v>
      </c>
      <c r="L16" s="120" t="s">
        <v>74</v>
      </c>
      <c r="M16" s="120" t="s">
        <v>74</v>
      </c>
      <c r="N16" s="120" t="s">
        <v>74</v>
      </c>
      <c r="O16" s="187">
        <v>84180</v>
      </c>
      <c r="P16" s="187">
        <v>88380</v>
      </c>
      <c r="Q16" s="120">
        <v>103600</v>
      </c>
      <c r="R16" s="281" t="s">
        <v>74</v>
      </c>
    </row>
    <row r="17" spans="1:18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17" t="s">
        <v>74</v>
      </c>
      <c r="N17" s="117" t="s">
        <v>74</v>
      </c>
      <c r="O17" s="179">
        <f>SUM(O5:O16)</f>
        <v>177480</v>
      </c>
      <c r="P17" s="179">
        <f>SUM(P5:P16)</f>
        <v>1264340</v>
      </c>
      <c r="Q17" s="179">
        <f>SUM(Q5:Q16)</f>
        <v>1302900</v>
      </c>
      <c r="R17" s="274">
        <f>SUM(R5:R16)</f>
        <v>535860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29" t="s">
        <v>104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1:R21"/>
    <mergeCell ref="A1:T1"/>
    <mergeCell ref="A20:R20"/>
    <mergeCell ref="A2:R2"/>
    <mergeCell ref="A3:R3"/>
    <mergeCell ref="A18:R18"/>
    <mergeCell ref="A19:R1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pageSetUpPr fitToPage="1"/>
  </sheetPr>
  <dimension ref="A1:R21"/>
  <sheetViews>
    <sheetView showGridLines="0" workbookViewId="0">
      <pane ySplit="1" topLeftCell="A2" activePane="bottomLeft" state="frozen"/>
      <selection pane="bottomLeft" sqref="A1:R1"/>
    </sheetView>
  </sheetViews>
  <sheetFormatPr defaultColWidth="13.5546875" defaultRowHeight="13.8" x14ac:dyDescent="0.25"/>
  <cols>
    <col min="1" max="1" width="12.5546875" style="184" customWidth="1"/>
    <col min="2" max="12" width="0" style="104" hidden="1" customWidth="1"/>
    <col min="13" max="16384" width="13.5546875" style="104"/>
  </cols>
  <sheetData>
    <row r="1" spans="1:18" s="101" customFormat="1" ht="21" x14ac:dyDescent="0.25">
      <c r="A1" s="325" t="s">
        <v>122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3" t="s">
        <v>142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13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74">
        <v>13660</v>
      </c>
      <c r="O5" s="174">
        <v>23400</v>
      </c>
      <c r="P5" s="174">
        <v>20380</v>
      </c>
      <c r="Q5" s="174">
        <v>19720</v>
      </c>
      <c r="R5" s="273">
        <v>39080</v>
      </c>
    </row>
    <row r="6" spans="1:18" s="103" customFormat="1" ht="15.6" x14ac:dyDescent="0.25">
      <c r="A6" s="129" t="s">
        <v>20</v>
      </c>
      <c r="B6" s="111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86">
        <v>12440</v>
      </c>
      <c r="O6" s="186">
        <v>15840</v>
      </c>
      <c r="P6" s="186">
        <v>21240</v>
      </c>
      <c r="Q6" s="186">
        <v>25000</v>
      </c>
      <c r="R6" s="276">
        <v>27450</v>
      </c>
    </row>
    <row r="7" spans="1:18" s="103" customFormat="1" ht="15.6" x14ac:dyDescent="0.25">
      <c r="A7" s="129" t="s">
        <v>21</v>
      </c>
      <c r="B7" s="111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86">
        <v>13980</v>
      </c>
      <c r="O7" s="186">
        <v>16860</v>
      </c>
      <c r="P7" s="186">
        <v>18020</v>
      </c>
      <c r="Q7" s="186">
        <v>19080</v>
      </c>
      <c r="R7" s="276">
        <v>22055</v>
      </c>
    </row>
    <row r="8" spans="1:18" s="103" customFormat="1" ht="15.6" x14ac:dyDescent="0.25">
      <c r="A8" s="129" t="s">
        <v>22</v>
      </c>
      <c r="B8" s="111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11" t="s">
        <v>74</v>
      </c>
      <c r="N8" s="186">
        <v>18920</v>
      </c>
      <c r="O8" s="186">
        <v>22540</v>
      </c>
      <c r="P8" s="186">
        <v>28160</v>
      </c>
      <c r="Q8" s="186">
        <v>33520</v>
      </c>
      <c r="R8" s="276">
        <v>24855</v>
      </c>
    </row>
    <row r="9" spans="1:18" s="103" customFormat="1" ht="15.6" x14ac:dyDescent="0.25">
      <c r="A9" s="129" t="s">
        <v>23</v>
      </c>
      <c r="B9" s="111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11" t="s">
        <v>74</v>
      </c>
      <c r="N9" s="186">
        <v>18540</v>
      </c>
      <c r="O9" s="186">
        <v>22220</v>
      </c>
      <c r="P9" s="186">
        <v>21600</v>
      </c>
      <c r="Q9" s="186">
        <v>29520</v>
      </c>
      <c r="R9" s="276">
        <v>18080</v>
      </c>
    </row>
    <row r="10" spans="1:18" s="103" customFormat="1" ht="15.6" x14ac:dyDescent="0.25">
      <c r="A10" s="129" t="s">
        <v>24</v>
      </c>
      <c r="B10" s="111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11" t="s">
        <v>74</v>
      </c>
      <c r="N10" s="186">
        <v>22140</v>
      </c>
      <c r="O10" s="186">
        <v>22440</v>
      </c>
      <c r="P10" s="186">
        <v>26780</v>
      </c>
      <c r="Q10" s="186">
        <v>25200</v>
      </c>
      <c r="R10" s="276">
        <v>29080</v>
      </c>
    </row>
    <row r="11" spans="1:18" s="103" customFormat="1" ht="15.6" x14ac:dyDescent="0.3">
      <c r="A11" s="129" t="s">
        <v>25</v>
      </c>
      <c r="B11" s="111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11" t="s">
        <v>74</v>
      </c>
      <c r="N11" s="186">
        <v>20560</v>
      </c>
      <c r="O11" s="186">
        <v>18760</v>
      </c>
      <c r="P11" s="186">
        <v>28460</v>
      </c>
      <c r="Q11" s="111">
        <v>33860</v>
      </c>
      <c r="R11" s="279" t="s">
        <v>74</v>
      </c>
    </row>
    <row r="12" spans="1:18" s="103" customFormat="1" ht="15.6" x14ac:dyDescent="0.3">
      <c r="A12" s="129" t="s">
        <v>26</v>
      </c>
      <c r="B12" s="111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11" t="s">
        <v>74</v>
      </c>
      <c r="M12" s="111" t="s">
        <v>74</v>
      </c>
      <c r="N12" s="186">
        <v>19320</v>
      </c>
      <c r="O12" s="186">
        <v>24120</v>
      </c>
      <c r="P12" s="186">
        <v>24560</v>
      </c>
      <c r="Q12" s="111">
        <v>25180</v>
      </c>
      <c r="R12" s="280" t="s">
        <v>74</v>
      </c>
    </row>
    <row r="13" spans="1:18" s="103" customFormat="1" ht="15.6" x14ac:dyDescent="0.3">
      <c r="A13" s="129" t="s">
        <v>27</v>
      </c>
      <c r="B13" s="111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11" t="s">
        <v>74</v>
      </c>
      <c r="M13" s="111" t="s">
        <v>74</v>
      </c>
      <c r="N13" s="186">
        <v>20200</v>
      </c>
      <c r="O13" s="186">
        <v>21000</v>
      </c>
      <c r="P13" s="186">
        <v>22900</v>
      </c>
      <c r="Q13" s="111">
        <v>24080</v>
      </c>
      <c r="R13" s="280" t="s">
        <v>74</v>
      </c>
    </row>
    <row r="14" spans="1:18" s="103" customFormat="1" ht="15.6" x14ac:dyDescent="0.3">
      <c r="A14" s="129" t="s">
        <v>28</v>
      </c>
      <c r="B14" s="111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11" t="s">
        <v>74</v>
      </c>
      <c r="M14" s="111" t="s">
        <v>74</v>
      </c>
      <c r="N14" s="186">
        <v>19720</v>
      </c>
      <c r="O14" s="186">
        <v>18880</v>
      </c>
      <c r="P14" s="186">
        <v>19940</v>
      </c>
      <c r="Q14" s="111">
        <v>25780</v>
      </c>
      <c r="R14" s="280" t="s">
        <v>74</v>
      </c>
    </row>
    <row r="15" spans="1:18" s="103" customFormat="1" ht="15.6" x14ac:dyDescent="0.3">
      <c r="A15" s="129" t="s">
        <v>29</v>
      </c>
      <c r="B15" s="111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11" t="s">
        <v>74</v>
      </c>
      <c r="M15" s="185">
        <v>12400</v>
      </c>
      <c r="N15" s="188">
        <v>15540</v>
      </c>
      <c r="O15" s="186">
        <v>19180</v>
      </c>
      <c r="P15" s="186">
        <v>20720</v>
      </c>
      <c r="Q15" s="111">
        <v>29550</v>
      </c>
      <c r="R15" s="280" t="s">
        <v>74</v>
      </c>
    </row>
    <row r="16" spans="1:18" s="103" customFormat="1" ht="16.2" thickBot="1" x14ac:dyDescent="0.35">
      <c r="A16" s="130" t="s">
        <v>30</v>
      </c>
      <c r="B16" s="120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 t="s">
        <v>74</v>
      </c>
      <c r="L16" s="120" t="s">
        <v>74</v>
      </c>
      <c r="M16" s="187">
        <v>12960</v>
      </c>
      <c r="N16" s="187">
        <v>14360</v>
      </c>
      <c r="O16" s="187">
        <v>17240</v>
      </c>
      <c r="P16" s="187">
        <v>16920</v>
      </c>
      <c r="Q16" s="120">
        <v>31515</v>
      </c>
      <c r="R16" s="281" t="s">
        <v>74</v>
      </c>
    </row>
    <row r="17" spans="1:18" s="103" customFormat="1" ht="16.2" thickTop="1" x14ac:dyDescent="0.25">
      <c r="A17" s="127" t="s">
        <v>8</v>
      </c>
      <c r="B17" s="117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79">
        <f t="shared" ref="M17:R17" si="0">SUM(M5:M16)</f>
        <v>25360</v>
      </c>
      <c r="N17" s="179">
        <f t="shared" si="0"/>
        <v>209380</v>
      </c>
      <c r="O17" s="179">
        <f t="shared" si="0"/>
        <v>242480</v>
      </c>
      <c r="P17" s="179">
        <f t="shared" si="0"/>
        <v>269680</v>
      </c>
      <c r="Q17" s="179">
        <f t="shared" si="0"/>
        <v>322005</v>
      </c>
      <c r="R17" s="274">
        <f t="shared" si="0"/>
        <v>160600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29" t="s">
        <v>90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0:R20"/>
    <mergeCell ref="A21:R21"/>
    <mergeCell ref="A1:R1"/>
    <mergeCell ref="A2:R2"/>
    <mergeCell ref="A3:R3"/>
    <mergeCell ref="A18:R18"/>
    <mergeCell ref="A19:R19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>
    <pageSetUpPr fitToPage="1"/>
  </sheetPr>
  <dimension ref="A1:R21"/>
  <sheetViews>
    <sheetView showGridLines="0" workbookViewId="0">
      <pane ySplit="1" topLeftCell="A2" activePane="bottomLeft" state="frozen"/>
      <selection pane="bottomLeft" sqref="A1:R1"/>
    </sheetView>
  </sheetViews>
  <sheetFormatPr defaultColWidth="13.5546875" defaultRowHeight="13.8" x14ac:dyDescent="0.25"/>
  <cols>
    <col min="1" max="1" width="12.5546875" style="184" customWidth="1"/>
    <col min="2" max="12" width="0" style="104" hidden="1" customWidth="1"/>
    <col min="13" max="16384" width="13.5546875" style="104"/>
  </cols>
  <sheetData>
    <row r="1" spans="1:18" s="101" customFormat="1" ht="21" x14ac:dyDescent="0.25">
      <c r="A1" s="325" t="s">
        <v>123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3" t="s">
        <v>143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74">
        <v>29920</v>
      </c>
      <c r="O5" s="174">
        <v>37320</v>
      </c>
      <c r="P5" s="174">
        <v>26440</v>
      </c>
      <c r="Q5" s="174">
        <v>32680</v>
      </c>
      <c r="R5" s="273">
        <v>42680</v>
      </c>
    </row>
    <row r="6" spans="1:18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86">
        <v>18460</v>
      </c>
      <c r="O6" s="186">
        <v>21900</v>
      </c>
      <c r="P6" s="186">
        <v>28640</v>
      </c>
      <c r="Q6" s="186">
        <v>26440</v>
      </c>
      <c r="R6" s="276">
        <v>36540</v>
      </c>
    </row>
    <row r="7" spans="1:18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86">
        <v>22500</v>
      </c>
      <c r="O7" s="186">
        <v>24520</v>
      </c>
      <c r="P7" s="186">
        <v>27500</v>
      </c>
      <c r="Q7" s="186">
        <v>33260</v>
      </c>
      <c r="R7" s="276">
        <v>36360</v>
      </c>
    </row>
    <row r="8" spans="1:18" s="103" customFormat="1" ht="15.6" x14ac:dyDescent="0.25">
      <c r="A8" s="129" t="s">
        <v>22</v>
      </c>
      <c r="B8" s="190" t="s">
        <v>74</v>
      </c>
      <c r="C8" s="109" t="s">
        <v>74</v>
      </c>
      <c r="D8" s="109" t="s">
        <v>74</v>
      </c>
      <c r="E8" s="109" t="s">
        <v>74</v>
      </c>
      <c r="F8" s="109" t="s">
        <v>74</v>
      </c>
      <c r="G8" s="109" t="s">
        <v>74</v>
      </c>
      <c r="H8" s="109" t="s">
        <v>74</v>
      </c>
      <c r="I8" s="109" t="s">
        <v>74</v>
      </c>
      <c r="J8" s="109" t="s">
        <v>74</v>
      </c>
      <c r="K8" s="109" t="s">
        <v>74</v>
      </c>
      <c r="L8" s="109" t="s">
        <v>74</v>
      </c>
      <c r="M8" s="109" t="s">
        <v>74</v>
      </c>
      <c r="N8" s="188">
        <v>27640</v>
      </c>
      <c r="O8" s="186">
        <v>30900</v>
      </c>
      <c r="P8" s="186">
        <v>39780</v>
      </c>
      <c r="Q8" s="186">
        <v>39440</v>
      </c>
      <c r="R8" s="276">
        <v>32060</v>
      </c>
    </row>
    <row r="9" spans="1:18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85">
        <v>26320</v>
      </c>
      <c r="N9" s="188">
        <v>28020</v>
      </c>
      <c r="O9" s="186">
        <v>27200</v>
      </c>
      <c r="P9" s="186">
        <v>34280</v>
      </c>
      <c r="Q9" s="186">
        <v>36780</v>
      </c>
      <c r="R9" s="276">
        <v>25660</v>
      </c>
    </row>
    <row r="10" spans="1:18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86">
        <v>25040</v>
      </c>
      <c r="N10" s="186">
        <v>26380</v>
      </c>
      <c r="O10" s="186">
        <v>29340</v>
      </c>
      <c r="P10" s="186">
        <v>35640</v>
      </c>
      <c r="Q10" s="186">
        <v>40380</v>
      </c>
      <c r="R10" s="276">
        <v>-5300</v>
      </c>
    </row>
    <row r="11" spans="1:18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86">
        <v>29820</v>
      </c>
      <c r="N11" s="186">
        <v>25920</v>
      </c>
      <c r="O11" s="186">
        <v>32580</v>
      </c>
      <c r="P11" s="186">
        <v>35900</v>
      </c>
      <c r="Q11" s="111">
        <v>41080</v>
      </c>
      <c r="R11" s="279" t="s">
        <v>74</v>
      </c>
    </row>
    <row r="12" spans="1:18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11" t="s">
        <v>74</v>
      </c>
      <c r="M12" s="186">
        <v>28140</v>
      </c>
      <c r="N12" s="186">
        <v>29120</v>
      </c>
      <c r="O12" s="186">
        <v>29320</v>
      </c>
      <c r="P12" s="186">
        <v>38120</v>
      </c>
      <c r="Q12" s="111">
        <v>39000</v>
      </c>
      <c r="R12" s="280" t="s">
        <v>74</v>
      </c>
    </row>
    <row r="13" spans="1:18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11" t="s">
        <v>74</v>
      </c>
      <c r="M13" s="186">
        <v>27740</v>
      </c>
      <c r="N13" s="186">
        <v>31540</v>
      </c>
      <c r="O13" s="186">
        <v>32300</v>
      </c>
      <c r="P13" s="186">
        <v>38500</v>
      </c>
      <c r="Q13" s="111">
        <v>44660</v>
      </c>
      <c r="R13" s="280" t="s">
        <v>74</v>
      </c>
    </row>
    <row r="14" spans="1:18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11" t="s">
        <v>74</v>
      </c>
      <c r="M14" s="186">
        <v>28480</v>
      </c>
      <c r="N14" s="186">
        <v>28420</v>
      </c>
      <c r="O14" s="186">
        <v>33000</v>
      </c>
      <c r="P14" s="186">
        <v>35400</v>
      </c>
      <c r="Q14" s="111">
        <v>43520</v>
      </c>
      <c r="R14" s="280" t="s">
        <v>74</v>
      </c>
    </row>
    <row r="15" spans="1:18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11" t="s">
        <v>74</v>
      </c>
      <c r="M15" s="186">
        <v>23960</v>
      </c>
      <c r="N15" s="186">
        <v>24280</v>
      </c>
      <c r="O15" s="186">
        <v>26240</v>
      </c>
      <c r="P15" s="186">
        <v>33940</v>
      </c>
      <c r="Q15" s="111">
        <v>39200</v>
      </c>
      <c r="R15" s="280" t="s">
        <v>74</v>
      </c>
    </row>
    <row r="16" spans="1:18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 t="s">
        <v>74</v>
      </c>
      <c r="L16" s="120" t="s">
        <v>74</v>
      </c>
      <c r="M16" s="187">
        <v>20140</v>
      </c>
      <c r="N16" s="187">
        <v>21320</v>
      </c>
      <c r="O16" s="187">
        <v>26840</v>
      </c>
      <c r="P16" s="187">
        <v>34380</v>
      </c>
      <c r="Q16" s="120">
        <v>38540</v>
      </c>
      <c r="R16" s="281" t="s">
        <v>74</v>
      </c>
    </row>
    <row r="17" spans="1:18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79">
        <f t="shared" ref="M17:R17" si="0">SUM(M5:M16)</f>
        <v>209640</v>
      </c>
      <c r="N17" s="179">
        <f t="shared" si="0"/>
        <v>313520</v>
      </c>
      <c r="O17" s="179">
        <f t="shared" si="0"/>
        <v>351460</v>
      </c>
      <c r="P17" s="179">
        <f t="shared" si="0"/>
        <v>408520</v>
      </c>
      <c r="Q17" s="179">
        <f t="shared" si="0"/>
        <v>454980</v>
      </c>
      <c r="R17" s="274">
        <f t="shared" si="0"/>
        <v>168000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s="189" customFormat="1" x14ac:dyDescent="0.25">
      <c r="A19" s="329" t="s">
        <v>90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0:R20"/>
    <mergeCell ref="A21:R21"/>
    <mergeCell ref="A1:R1"/>
    <mergeCell ref="A2:R2"/>
    <mergeCell ref="A3:R3"/>
    <mergeCell ref="A18:R18"/>
    <mergeCell ref="A19:R1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pageSetUpPr fitToPage="1"/>
  </sheetPr>
  <dimension ref="A1:T21"/>
  <sheetViews>
    <sheetView showGridLines="0" workbookViewId="0">
      <pane ySplit="1" topLeftCell="A2" activePane="bottomLeft" state="frozen"/>
      <selection pane="bottomLeft" sqref="A1:T1"/>
    </sheetView>
  </sheetViews>
  <sheetFormatPr defaultColWidth="13.5546875" defaultRowHeight="13.8" x14ac:dyDescent="0.25"/>
  <cols>
    <col min="1" max="1" width="12.5546875" style="184" customWidth="1"/>
    <col min="2" max="14" width="0" style="104" hidden="1" customWidth="1"/>
    <col min="15" max="16384" width="13.5546875" style="104"/>
  </cols>
  <sheetData>
    <row r="1" spans="1:20" s="101" customFormat="1" ht="21" x14ac:dyDescent="0.25">
      <c r="A1" s="325" t="s">
        <v>124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</row>
    <row r="2" spans="1:20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20" s="102" customFormat="1" ht="18" x14ac:dyDescent="0.25">
      <c r="A3" s="326" t="s">
        <v>144</v>
      </c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</row>
    <row r="4" spans="1:20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20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13" t="s">
        <v>74</v>
      </c>
      <c r="O5" s="113" t="s">
        <v>74</v>
      </c>
      <c r="P5" s="174">
        <v>36000</v>
      </c>
      <c r="Q5" s="174">
        <v>33200</v>
      </c>
      <c r="R5" s="273">
        <v>36520</v>
      </c>
    </row>
    <row r="6" spans="1:20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11" t="s">
        <v>74</v>
      </c>
      <c r="O6" s="111" t="s">
        <v>74</v>
      </c>
      <c r="P6" s="111">
        <v>32540</v>
      </c>
      <c r="Q6" s="111">
        <v>33740</v>
      </c>
      <c r="R6" s="267">
        <v>31860</v>
      </c>
    </row>
    <row r="7" spans="1:20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11" t="s">
        <v>74</v>
      </c>
      <c r="O7" s="111" t="s">
        <v>74</v>
      </c>
      <c r="P7" s="111">
        <v>26980</v>
      </c>
      <c r="Q7" s="111">
        <v>28600</v>
      </c>
      <c r="R7" s="267">
        <v>24040</v>
      </c>
    </row>
    <row r="8" spans="1:20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11" t="s">
        <v>74</v>
      </c>
      <c r="N8" s="111" t="s">
        <v>74</v>
      </c>
      <c r="O8" s="111" t="s">
        <v>74</v>
      </c>
      <c r="P8" s="111">
        <v>43680</v>
      </c>
      <c r="Q8" s="111">
        <v>44160</v>
      </c>
      <c r="R8" s="267">
        <v>31580</v>
      </c>
    </row>
    <row r="9" spans="1:20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11" t="s">
        <v>74</v>
      </c>
      <c r="N9" s="111" t="s">
        <v>74</v>
      </c>
      <c r="O9" s="111" t="s">
        <v>74</v>
      </c>
      <c r="P9" s="111">
        <v>38400</v>
      </c>
      <c r="Q9" s="111">
        <v>40260</v>
      </c>
      <c r="R9" s="267">
        <v>20500</v>
      </c>
    </row>
    <row r="10" spans="1:20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11" t="s">
        <v>74</v>
      </c>
      <c r="N10" s="111" t="s">
        <v>74</v>
      </c>
      <c r="O10" s="111" t="s">
        <v>74</v>
      </c>
      <c r="P10" s="111">
        <v>38740</v>
      </c>
      <c r="Q10" s="111">
        <v>34660</v>
      </c>
      <c r="R10" s="267">
        <v>31100</v>
      </c>
    </row>
    <row r="11" spans="1:20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11" t="s">
        <v>74</v>
      </c>
      <c r="N11" s="111" t="s">
        <v>74</v>
      </c>
      <c r="O11" s="111" t="s">
        <v>74</v>
      </c>
      <c r="P11" s="111">
        <v>43020</v>
      </c>
      <c r="Q11" s="111">
        <v>38800</v>
      </c>
      <c r="R11" s="279" t="s">
        <v>74</v>
      </c>
    </row>
    <row r="12" spans="1:20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11" t="s">
        <v>74</v>
      </c>
      <c r="M12" s="111" t="s">
        <v>74</v>
      </c>
      <c r="N12" s="111" t="s">
        <v>74</v>
      </c>
      <c r="O12" s="111" t="s">
        <v>74</v>
      </c>
      <c r="P12" s="111">
        <v>33300</v>
      </c>
      <c r="Q12" s="111">
        <v>38560</v>
      </c>
      <c r="R12" s="280" t="s">
        <v>74</v>
      </c>
    </row>
    <row r="13" spans="1:20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11" t="s">
        <v>74</v>
      </c>
      <c r="M13" s="111" t="s">
        <v>74</v>
      </c>
      <c r="N13" s="111" t="s">
        <v>74</v>
      </c>
      <c r="O13" s="111" t="s">
        <v>74</v>
      </c>
      <c r="P13" s="111">
        <v>26880</v>
      </c>
      <c r="Q13" s="111">
        <v>32900</v>
      </c>
      <c r="R13" s="280" t="s">
        <v>74</v>
      </c>
    </row>
    <row r="14" spans="1:20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11" t="s">
        <v>74</v>
      </c>
      <c r="M14" s="111" t="s">
        <v>74</v>
      </c>
      <c r="N14" s="111" t="s">
        <v>74</v>
      </c>
      <c r="O14" s="111" t="s">
        <v>74</v>
      </c>
      <c r="P14" s="111">
        <v>36340</v>
      </c>
      <c r="Q14" s="111">
        <v>36460</v>
      </c>
      <c r="R14" s="280" t="s">
        <v>74</v>
      </c>
    </row>
    <row r="15" spans="1:20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11" t="s">
        <v>74</v>
      </c>
      <c r="M15" s="111" t="s">
        <v>74</v>
      </c>
      <c r="N15" s="111" t="s">
        <v>74</v>
      </c>
      <c r="O15" s="185">
        <v>25280</v>
      </c>
      <c r="P15" s="186">
        <v>31080</v>
      </c>
      <c r="Q15" s="111">
        <v>29120</v>
      </c>
      <c r="R15" s="280" t="s">
        <v>74</v>
      </c>
    </row>
    <row r="16" spans="1:20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 t="s">
        <v>74</v>
      </c>
      <c r="L16" s="120" t="s">
        <v>74</v>
      </c>
      <c r="M16" s="120" t="s">
        <v>74</v>
      </c>
      <c r="N16" s="120" t="s">
        <v>74</v>
      </c>
      <c r="O16" s="187">
        <v>27020</v>
      </c>
      <c r="P16" s="187">
        <v>33020</v>
      </c>
      <c r="Q16" s="120">
        <v>31220</v>
      </c>
      <c r="R16" s="281" t="s">
        <v>74</v>
      </c>
    </row>
    <row r="17" spans="1:18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17" t="s">
        <v>74</v>
      </c>
      <c r="N17" s="117" t="s">
        <v>74</v>
      </c>
      <c r="O17" s="179">
        <f>SUM(O5:O16)</f>
        <v>52300</v>
      </c>
      <c r="P17" s="179">
        <f>SUM(P5:P16)</f>
        <v>419980</v>
      </c>
      <c r="Q17" s="179">
        <f>SUM(Q5:Q16)</f>
        <v>421680</v>
      </c>
      <c r="R17" s="274">
        <f>SUM(R5:R16)</f>
        <v>175600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29" t="s">
        <v>104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1:R21"/>
    <mergeCell ref="A1:T1"/>
    <mergeCell ref="A20:R20"/>
    <mergeCell ref="A3:R3"/>
    <mergeCell ref="A2:R2"/>
    <mergeCell ref="A18:R18"/>
    <mergeCell ref="A19:R19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A1:S21"/>
  <sheetViews>
    <sheetView showGridLines="0" workbookViewId="0">
      <pane ySplit="1" topLeftCell="A2" activePane="bottomLeft" state="frozen"/>
      <selection pane="bottomLeft" sqref="A1:S1"/>
    </sheetView>
  </sheetViews>
  <sheetFormatPr defaultColWidth="13.5546875" defaultRowHeight="13.8" x14ac:dyDescent="0.25"/>
  <cols>
    <col min="1" max="1" width="12.5546875" style="184" customWidth="1"/>
    <col min="2" max="13" width="0" style="104" hidden="1" customWidth="1"/>
    <col min="14" max="16384" width="13.5546875" style="104"/>
  </cols>
  <sheetData>
    <row r="1" spans="1:19" s="101" customFormat="1" ht="21" x14ac:dyDescent="0.25">
      <c r="A1" s="325" t="s">
        <v>120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</row>
    <row r="2" spans="1:19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9" s="102" customFormat="1" ht="18" x14ac:dyDescent="0.25">
      <c r="A3" s="333" t="s">
        <v>140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9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9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74">
        <v>0</v>
      </c>
      <c r="O5" s="174">
        <v>5620</v>
      </c>
      <c r="P5" s="174">
        <v>6720</v>
      </c>
      <c r="Q5" s="174">
        <v>8260</v>
      </c>
      <c r="R5" s="273">
        <v>68940</v>
      </c>
    </row>
    <row r="6" spans="1:19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86">
        <v>4700</v>
      </c>
      <c r="O6" s="186">
        <v>6900</v>
      </c>
      <c r="P6" s="186">
        <v>8420</v>
      </c>
      <c r="Q6" s="186">
        <v>8780</v>
      </c>
      <c r="R6" s="276">
        <v>7140</v>
      </c>
    </row>
    <row r="7" spans="1:19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86">
        <v>4360</v>
      </c>
      <c r="O7" s="186">
        <v>5080</v>
      </c>
      <c r="P7" s="186">
        <v>31100</v>
      </c>
      <c r="Q7" s="186">
        <v>66920</v>
      </c>
      <c r="R7" s="276">
        <v>67660</v>
      </c>
    </row>
    <row r="8" spans="1:19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11" t="s">
        <v>74</v>
      </c>
      <c r="N8" s="186">
        <v>6000</v>
      </c>
      <c r="O8" s="186">
        <v>6580</v>
      </c>
      <c r="P8" s="186">
        <v>8920</v>
      </c>
      <c r="Q8" s="186">
        <v>9660</v>
      </c>
      <c r="R8" s="276">
        <v>6460</v>
      </c>
    </row>
    <row r="9" spans="1:19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11" t="s">
        <v>74</v>
      </c>
      <c r="N9" s="186">
        <v>5240</v>
      </c>
      <c r="O9" s="186">
        <v>6380</v>
      </c>
      <c r="P9" s="186">
        <v>5520</v>
      </c>
      <c r="Q9" s="186">
        <v>9560</v>
      </c>
      <c r="R9" s="276">
        <v>5980</v>
      </c>
    </row>
    <row r="10" spans="1:19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11" t="s">
        <v>74</v>
      </c>
      <c r="N10" s="186">
        <v>5460</v>
      </c>
      <c r="O10" s="186">
        <v>6600</v>
      </c>
      <c r="P10" s="186">
        <v>8580</v>
      </c>
      <c r="Q10" s="186">
        <v>9460</v>
      </c>
      <c r="R10" s="276">
        <v>9360</v>
      </c>
    </row>
    <row r="11" spans="1:19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11" t="s">
        <v>74</v>
      </c>
      <c r="N11" s="186">
        <v>5340</v>
      </c>
      <c r="O11" s="186">
        <v>6300</v>
      </c>
      <c r="P11" s="186">
        <v>6640</v>
      </c>
      <c r="Q11" s="186">
        <v>6320</v>
      </c>
      <c r="R11" s="279" t="s">
        <v>74</v>
      </c>
    </row>
    <row r="12" spans="1:19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11" t="s">
        <v>74</v>
      </c>
      <c r="M12" s="111" t="s">
        <v>74</v>
      </c>
      <c r="N12" s="186">
        <v>5040</v>
      </c>
      <c r="O12" s="186">
        <v>5700</v>
      </c>
      <c r="P12" s="186">
        <v>12000</v>
      </c>
      <c r="Q12" s="186">
        <v>11520</v>
      </c>
      <c r="R12" s="280" t="s">
        <v>74</v>
      </c>
    </row>
    <row r="13" spans="1:19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11" t="s">
        <v>74</v>
      </c>
      <c r="M13" s="111" t="s">
        <v>74</v>
      </c>
      <c r="N13" s="186">
        <v>5180</v>
      </c>
      <c r="O13" s="186">
        <v>6460</v>
      </c>
      <c r="P13" s="186">
        <v>8780</v>
      </c>
      <c r="Q13" s="186">
        <v>9460</v>
      </c>
      <c r="R13" s="280" t="s">
        <v>74</v>
      </c>
    </row>
    <row r="14" spans="1:19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11" t="s">
        <v>74</v>
      </c>
      <c r="M14" s="111" t="s">
        <v>74</v>
      </c>
      <c r="N14" s="186">
        <v>5120</v>
      </c>
      <c r="O14" s="186">
        <v>6080</v>
      </c>
      <c r="P14" s="186">
        <v>8060</v>
      </c>
      <c r="Q14" s="186">
        <v>8160</v>
      </c>
      <c r="R14" s="280" t="s">
        <v>74</v>
      </c>
    </row>
    <row r="15" spans="1:19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11" t="s">
        <v>74</v>
      </c>
      <c r="M15" s="111" t="s">
        <v>74</v>
      </c>
      <c r="N15" s="186">
        <v>4900</v>
      </c>
      <c r="O15" s="186">
        <v>5540</v>
      </c>
      <c r="P15" s="186">
        <v>7500</v>
      </c>
      <c r="Q15" s="186">
        <v>-51460</v>
      </c>
      <c r="R15" s="280" t="s">
        <v>74</v>
      </c>
    </row>
    <row r="16" spans="1:19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 t="s">
        <v>74</v>
      </c>
      <c r="L16" s="120" t="s">
        <v>74</v>
      </c>
      <c r="M16" s="120" t="s">
        <v>74</v>
      </c>
      <c r="N16" s="187">
        <v>5280</v>
      </c>
      <c r="O16" s="187">
        <v>4780</v>
      </c>
      <c r="P16" s="187">
        <v>7960</v>
      </c>
      <c r="Q16" s="187">
        <v>67840</v>
      </c>
      <c r="R16" s="281" t="s">
        <v>74</v>
      </c>
    </row>
    <row r="17" spans="1:18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17" t="s">
        <v>74</v>
      </c>
      <c r="N17" s="179">
        <f>SUM(N5:N16)</f>
        <v>56620</v>
      </c>
      <c r="O17" s="179">
        <f>SUM(O5:O16)</f>
        <v>72020</v>
      </c>
      <c r="P17" s="179">
        <f>SUM(P5:P16)</f>
        <v>120200</v>
      </c>
      <c r="Q17" s="179">
        <f>SUM(Q5:Q16)</f>
        <v>164480</v>
      </c>
      <c r="R17" s="274">
        <f>SUM(R5:R16)</f>
        <v>165540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29" t="s">
        <v>107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0:R20"/>
    <mergeCell ref="A21:R21"/>
    <mergeCell ref="A1:S1"/>
    <mergeCell ref="A2:R2"/>
    <mergeCell ref="A3:R3"/>
    <mergeCell ref="A18:R18"/>
    <mergeCell ref="A19:R19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pageSetUpPr fitToPage="1"/>
  </sheetPr>
  <dimension ref="A1:R21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3.8" x14ac:dyDescent="0.25"/>
  <cols>
    <col min="1" max="1" width="12.5546875" style="184"/>
    <col min="2" max="12" width="0" style="104" hidden="1" customWidth="1"/>
    <col min="13" max="16384" width="12.5546875" style="104"/>
  </cols>
  <sheetData>
    <row r="1" spans="1:18" s="101" customFormat="1" ht="21" x14ac:dyDescent="0.25">
      <c r="A1" s="325" t="s">
        <v>116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3" t="s">
        <v>136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74">
        <v>3200</v>
      </c>
      <c r="O5" s="174">
        <v>1860</v>
      </c>
      <c r="P5" s="174">
        <v>3380</v>
      </c>
      <c r="Q5" s="174">
        <v>2760</v>
      </c>
      <c r="R5" s="273">
        <v>2960</v>
      </c>
    </row>
    <row r="6" spans="1:18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86">
        <v>1380</v>
      </c>
      <c r="O6" s="186">
        <v>15720</v>
      </c>
      <c r="P6" s="186">
        <v>2360</v>
      </c>
      <c r="Q6" s="186">
        <v>2160</v>
      </c>
      <c r="R6" s="276">
        <v>2100</v>
      </c>
    </row>
    <row r="7" spans="1:18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86">
        <v>1780</v>
      </c>
      <c r="O7" s="186">
        <v>2380</v>
      </c>
      <c r="P7" s="186">
        <v>2440</v>
      </c>
      <c r="Q7" s="186">
        <v>2160</v>
      </c>
      <c r="R7" s="276">
        <v>2300</v>
      </c>
    </row>
    <row r="8" spans="1:18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09" t="s">
        <v>74</v>
      </c>
      <c r="N8" s="188">
        <v>2020</v>
      </c>
      <c r="O8" s="186">
        <v>3040</v>
      </c>
      <c r="P8" s="186">
        <v>4960</v>
      </c>
      <c r="Q8" s="186">
        <v>3160</v>
      </c>
      <c r="R8" s="276">
        <v>2540</v>
      </c>
    </row>
    <row r="9" spans="1:18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85">
        <v>1040</v>
      </c>
      <c r="N9" s="188">
        <v>1880</v>
      </c>
      <c r="O9" s="186">
        <v>2720</v>
      </c>
      <c r="P9" s="186">
        <v>3360</v>
      </c>
      <c r="Q9" s="186">
        <v>3860</v>
      </c>
      <c r="R9" s="276">
        <v>2060</v>
      </c>
    </row>
    <row r="10" spans="1:18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86">
        <v>1040</v>
      </c>
      <c r="N10" s="186">
        <v>1940</v>
      </c>
      <c r="O10" s="186">
        <v>3040</v>
      </c>
      <c r="P10" s="186">
        <v>5060</v>
      </c>
      <c r="Q10" s="186">
        <v>3760</v>
      </c>
      <c r="R10" s="276">
        <v>3340</v>
      </c>
    </row>
    <row r="11" spans="1:18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86">
        <v>1340</v>
      </c>
      <c r="N11" s="186">
        <v>2220</v>
      </c>
      <c r="O11" s="186">
        <v>3780</v>
      </c>
      <c r="P11" s="186">
        <v>5220</v>
      </c>
      <c r="Q11" s="111">
        <v>4160</v>
      </c>
      <c r="R11" s="279" t="s">
        <v>74</v>
      </c>
    </row>
    <row r="12" spans="1:18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11" t="s">
        <v>74</v>
      </c>
      <c r="M12" s="186">
        <v>1180</v>
      </c>
      <c r="N12" s="186">
        <v>1480</v>
      </c>
      <c r="O12" s="186">
        <v>2420</v>
      </c>
      <c r="P12" s="186">
        <v>4220</v>
      </c>
      <c r="Q12" s="111">
        <v>3360</v>
      </c>
      <c r="R12" s="280" t="s">
        <v>74</v>
      </c>
    </row>
    <row r="13" spans="1:18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11" t="s">
        <v>74</v>
      </c>
      <c r="M13" s="186">
        <v>760</v>
      </c>
      <c r="N13" s="186">
        <v>1660</v>
      </c>
      <c r="O13" s="186">
        <v>2700</v>
      </c>
      <c r="P13" s="186">
        <v>3600</v>
      </c>
      <c r="Q13" s="111">
        <v>3380</v>
      </c>
      <c r="R13" s="280" t="s">
        <v>74</v>
      </c>
    </row>
    <row r="14" spans="1:18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11" t="s">
        <v>74</v>
      </c>
      <c r="M14" s="186">
        <v>1680</v>
      </c>
      <c r="N14" s="186">
        <v>1880</v>
      </c>
      <c r="O14" s="186">
        <v>4880</v>
      </c>
      <c r="P14" s="186">
        <v>3640</v>
      </c>
      <c r="Q14" s="111">
        <v>3600</v>
      </c>
      <c r="R14" s="280" t="s">
        <v>74</v>
      </c>
    </row>
    <row r="15" spans="1:18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11" t="s">
        <v>74</v>
      </c>
      <c r="M15" s="186">
        <v>1000</v>
      </c>
      <c r="N15" s="186">
        <v>1380</v>
      </c>
      <c r="O15" s="186">
        <v>5080</v>
      </c>
      <c r="P15" s="186">
        <v>3260</v>
      </c>
      <c r="Q15" s="111">
        <v>2840</v>
      </c>
      <c r="R15" s="280" t="s">
        <v>74</v>
      </c>
    </row>
    <row r="16" spans="1:18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 t="s">
        <v>74</v>
      </c>
      <c r="L16" s="120" t="s">
        <v>74</v>
      </c>
      <c r="M16" s="187">
        <v>860</v>
      </c>
      <c r="N16" s="187">
        <v>3800</v>
      </c>
      <c r="O16" s="187">
        <v>2300</v>
      </c>
      <c r="P16" s="187">
        <v>2760</v>
      </c>
      <c r="Q16" s="120">
        <v>2920</v>
      </c>
      <c r="R16" s="281" t="s">
        <v>74</v>
      </c>
    </row>
    <row r="17" spans="1:18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17" t="s">
        <v>74</v>
      </c>
      <c r="M17" s="179">
        <f t="shared" ref="M17:R17" si="0">SUM(M5:M16)</f>
        <v>8900</v>
      </c>
      <c r="N17" s="179">
        <f t="shared" si="0"/>
        <v>24620</v>
      </c>
      <c r="O17" s="179">
        <f t="shared" si="0"/>
        <v>49920</v>
      </c>
      <c r="P17" s="179">
        <f t="shared" si="0"/>
        <v>44260</v>
      </c>
      <c r="Q17" s="179">
        <f t="shared" si="0"/>
        <v>38120</v>
      </c>
      <c r="R17" s="274">
        <f t="shared" si="0"/>
        <v>15300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29" t="s">
        <v>90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0:R20"/>
    <mergeCell ref="A21:R21"/>
    <mergeCell ref="A1:R1"/>
    <mergeCell ref="A2:R2"/>
    <mergeCell ref="A3:R3"/>
    <mergeCell ref="A18:R18"/>
    <mergeCell ref="A19:R19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pageSetUpPr fitToPage="1"/>
  </sheetPr>
  <dimension ref="A1:R21"/>
  <sheetViews>
    <sheetView showGridLines="0" workbookViewId="0">
      <pane ySplit="1" topLeftCell="A2" activePane="bottomLeft" state="frozen"/>
      <selection pane="bottomLeft" sqref="A1:R1"/>
    </sheetView>
  </sheetViews>
  <sheetFormatPr defaultColWidth="12.5546875" defaultRowHeight="13.8" x14ac:dyDescent="0.25"/>
  <cols>
    <col min="1" max="1" width="12.5546875" style="184"/>
    <col min="2" max="11" width="0" style="104" hidden="1" customWidth="1"/>
    <col min="12" max="16384" width="12.5546875" style="104"/>
  </cols>
  <sheetData>
    <row r="1" spans="1:18" s="101" customFormat="1" ht="21" x14ac:dyDescent="0.25">
      <c r="A1" s="325" t="s">
        <v>114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3" t="s">
        <v>134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98">
        <v>5820</v>
      </c>
      <c r="N5" s="198">
        <v>6460</v>
      </c>
      <c r="O5" s="198">
        <v>6680</v>
      </c>
      <c r="P5" s="198">
        <v>19040</v>
      </c>
      <c r="Q5" s="198">
        <v>8420</v>
      </c>
      <c r="R5" s="275">
        <v>9000</v>
      </c>
    </row>
    <row r="6" spans="1:18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86">
        <v>5440</v>
      </c>
      <c r="N6" s="186">
        <v>5460</v>
      </c>
      <c r="O6" s="186">
        <v>3880</v>
      </c>
      <c r="P6" s="186">
        <v>4180</v>
      </c>
      <c r="Q6" s="186">
        <v>8400</v>
      </c>
      <c r="R6" s="276">
        <v>4720</v>
      </c>
    </row>
    <row r="7" spans="1:18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86">
        <v>6420</v>
      </c>
      <c r="N7" s="186">
        <v>6840</v>
      </c>
      <c r="O7" s="186">
        <v>4640</v>
      </c>
      <c r="P7" s="186">
        <v>5960</v>
      </c>
      <c r="Q7" s="186">
        <v>5700</v>
      </c>
      <c r="R7" s="276">
        <v>6000</v>
      </c>
    </row>
    <row r="8" spans="1:18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86">
        <v>6880</v>
      </c>
      <c r="N8" s="186">
        <v>5600</v>
      </c>
      <c r="O8" s="186">
        <v>7200</v>
      </c>
      <c r="P8" s="186">
        <v>8380</v>
      </c>
      <c r="Q8" s="186">
        <v>8260</v>
      </c>
      <c r="R8" s="276">
        <v>6980</v>
      </c>
    </row>
    <row r="9" spans="1:18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96">
        <v>5500</v>
      </c>
      <c r="M9" s="186">
        <v>5760</v>
      </c>
      <c r="N9" s="186">
        <v>5060</v>
      </c>
      <c r="O9" s="186">
        <v>6640</v>
      </c>
      <c r="P9" s="186">
        <v>6320</v>
      </c>
      <c r="Q9" s="186">
        <v>6620</v>
      </c>
      <c r="R9" s="276">
        <v>4360</v>
      </c>
    </row>
    <row r="10" spans="1:18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86">
        <v>5560</v>
      </c>
      <c r="M10" s="186">
        <v>4900</v>
      </c>
      <c r="N10" s="186">
        <v>4980</v>
      </c>
      <c r="O10" s="186">
        <v>5480</v>
      </c>
      <c r="P10" s="186">
        <v>5620</v>
      </c>
      <c r="Q10" s="186">
        <v>6340</v>
      </c>
      <c r="R10" s="276">
        <v>6220</v>
      </c>
    </row>
    <row r="11" spans="1:18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86">
        <v>6360</v>
      </c>
      <c r="M11" s="186">
        <v>8020</v>
      </c>
      <c r="N11" s="186">
        <v>6240</v>
      </c>
      <c r="O11" s="186">
        <v>6380</v>
      </c>
      <c r="P11" s="186">
        <v>6540</v>
      </c>
      <c r="Q11" s="111">
        <v>8100</v>
      </c>
      <c r="R11" s="279" t="s">
        <v>74</v>
      </c>
    </row>
    <row r="12" spans="1:18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1" t="s">
        <v>74</v>
      </c>
      <c r="L12" s="186">
        <v>6940</v>
      </c>
      <c r="M12" s="186">
        <v>6560</v>
      </c>
      <c r="N12" s="186">
        <v>6380</v>
      </c>
      <c r="O12" s="186">
        <v>5200</v>
      </c>
      <c r="P12" s="186">
        <v>6320</v>
      </c>
      <c r="Q12" s="111">
        <v>7460</v>
      </c>
      <c r="R12" s="280" t="s">
        <v>74</v>
      </c>
    </row>
    <row r="13" spans="1:18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 t="s">
        <v>74</v>
      </c>
      <c r="L13" s="186">
        <v>5520</v>
      </c>
      <c r="M13" s="186">
        <v>6200</v>
      </c>
      <c r="N13" s="186">
        <v>6220</v>
      </c>
      <c r="O13" s="186">
        <v>6600</v>
      </c>
      <c r="P13" s="186">
        <v>7340</v>
      </c>
      <c r="Q13" s="111">
        <v>6840</v>
      </c>
      <c r="R13" s="280" t="s">
        <v>74</v>
      </c>
    </row>
    <row r="14" spans="1:18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 t="s">
        <v>74</v>
      </c>
      <c r="L14" s="186">
        <v>6440</v>
      </c>
      <c r="M14" s="186">
        <v>11160</v>
      </c>
      <c r="N14" s="186">
        <v>6240</v>
      </c>
      <c r="O14" s="186">
        <v>5820</v>
      </c>
      <c r="P14" s="186">
        <v>6840</v>
      </c>
      <c r="Q14" s="111">
        <v>7320</v>
      </c>
      <c r="R14" s="280" t="s">
        <v>74</v>
      </c>
    </row>
    <row r="15" spans="1:18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 t="s">
        <v>74</v>
      </c>
      <c r="L15" s="186">
        <v>6260</v>
      </c>
      <c r="M15" s="186">
        <v>6300</v>
      </c>
      <c r="N15" s="186">
        <v>5500</v>
      </c>
      <c r="O15" s="186">
        <v>6500</v>
      </c>
      <c r="P15" s="186">
        <v>8140</v>
      </c>
      <c r="Q15" s="111">
        <v>8300</v>
      </c>
      <c r="R15" s="280" t="s">
        <v>74</v>
      </c>
    </row>
    <row r="16" spans="1:18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 t="s">
        <v>74</v>
      </c>
      <c r="L16" s="187">
        <v>4580</v>
      </c>
      <c r="M16" s="187">
        <v>4660</v>
      </c>
      <c r="N16" s="187">
        <v>4220</v>
      </c>
      <c r="O16" s="187">
        <v>4040</v>
      </c>
      <c r="P16" s="187">
        <v>4760</v>
      </c>
      <c r="Q16" s="120">
        <v>5340</v>
      </c>
      <c r="R16" s="281" t="s">
        <v>74</v>
      </c>
    </row>
    <row r="17" spans="1:18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7" t="s">
        <v>74</v>
      </c>
      <c r="J17" s="117" t="s">
        <v>74</v>
      </c>
      <c r="K17" s="117" t="s">
        <v>74</v>
      </c>
      <c r="L17" s="197">
        <f t="shared" ref="L17:Q17" si="0">SUM(L5:L16)</f>
        <v>47160</v>
      </c>
      <c r="M17" s="197">
        <f t="shared" si="0"/>
        <v>78120</v>
      </c>
      <c r="N17" s="197">
        <f t="shared" si="0"/>
        <v>69200</v>
      </c>
      <c r="O17" s="197">
        <f t="shared" si="0"/>
        <v>69060</v>
      </c>
      <c r="P17" s="197">
        <f t="shared" si="0"/>
        <v>89440</v>
      </c>
      <c r="Q17" s="197">
        <f t="shared" si="0"/>
        <v>87100</v>
      </c>
      <c r="R17" s="277">
        <f t="shared" ref="R17" si="1">SUM(R5:R16)</f>
        <v>37280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29" t="s">
        <v>105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0:R20"/>
    <mergeCell ref="A21:R21"/>
    <mergeCell ref="A1:R1"/>
    <mergeCell ref="A2:R2"/>
    <mergeCell ref="A3:R3"/>
    <mergeCell ref="A18:R18"/>
    <mergeCell ref="A19:R19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/>
  <dimension ref="A1:R21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RowHeight="13.8" x14ac:dyDescent="0.25"/>
  <cols>
    <col min="1" max="1" width="12.5546875" style="107" customWidth="1"/>
    <col min="2" max="8" width="13.5546875" style="104" hidden="1" customWidth="1"/>
    <col min="9" max="18" width="13.5546875" style="104" customWidth="1"/>
    <col min="19" max="16384" width="8.88671875" style="104"/>
  </cols>
  <sheetData>
    <row r="1" spans="1:18" s="101" customFormat="1" ht="21" x14ac:dyDescent="0.25">
      <c r="A1" s="325" t="s">
        <v>80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3" t="s">
        <v>81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4">
        <v>23512</v>
      </c>
      <c r="K5" s="114">
        <v>25331</v>
      </c>
      <c r="L5" s="114">
        <v>25642</v>
      </c>
      <c r="M5" s="114">
        <v>27992</v>
      </c>
      <c r="N5" s="114">
        <v>29317</v>
      </c>
      <c r="O5" s="114">
        <v>29551</v>
      </c>
      <c r="P5" s="114">
        <v>31486</v>
      </c>
      <c r="Q5" s="114">
        <v>54405</v>
      </c>
      <c r="R5" s="266">
        <v>34818</v>
      </c>
    </row>
    <row r="6" spans="1:18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>
        <v>21097</v>
      </c>
      <c r="K6" s="111">
        <v>20983</v>
      </c>
      <c r="L6" s="111">
        <v>21493</v>
      </c>
      <c r="M6" s="111">
        <v>25326</v>
      </c>
      <c r="N6" s="111">
        <v>26304</v>
      </c>
      <c r="O6" s="111">
        <v>28517</v>
      </c>
      <c r="P6" s="111">
        <v>30710</v>
      </c>
      <c r="Q6" s="111">
        <v>53157</v>
      </c>
      <c r="R6" s="267">
        <v>29790</v>
      </c>
    </row>
    <row r="7" spans="1:18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>
        <v>21258</v>
      </c>
      <c r="K7" s="111">
        <v>24090</v>
      </c>
      <c r="L7" s="111">
        <v>22408</v>
      </c>
      <c r="M7" s="111">
        <v>24299</v>
      </c>
      <c r="N7" s="111">
        <v>27415</v>
      </c>
      <c r="O7" s="111">
        <v>27243</v>
      </c>
      <c r="P7" s="111">
        <v>30517</v>
      </c>
      <c r="Q7" s="111">
        <v>29045</v>
      </c>
      <c r="R7" s="267">
        <v>33043</v>
      </c>
    </row>
    <row r="8" spans="1:18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>
        <v>24546</v>
      </c>
      <c r="K8" s="111">
        <v>23432</v>
      </c>
      <c r="L8" s="111">
        <v>25582</v>
      </c>
      <c r="M8" s="111">
        <v>27796</v>
      </c>
      <c r="N8" s="111">
        <v>29087</v>
      </c>
      <c r="O8" s="111">
        <v>30929</v>
      </c>
      <c r="P8" s="111">
        <v>33113</v>
      </c>
      <c r="Q8" s="111">
        <v>34105</v>
      </c>
      <c r="R8" s="267">
        <v>25116</v>
      </c>
    </row>
    <row r="9" spans="1:18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0">
        <v>21267</v>
      </c>
      <c r="J9" s="111">
        <v>23824</v>
      </c>
      <c r="K9" s="111">
        <v>23823</v>
      </c>
      <c r="L9" s="111">
        <v>26048</v>
      </c>
      <c r="M9" s="111">
        <v>28869</v>
      </c>
      <c r="N9" s="111">
        <v>30233</v>
      </c>
      <c r="O9" s="111">
        <v>30978</v>
      </c>
      <c r="P9" s="111">
        <v>31329</v>
      </c>
      <c r="Q9" s="111">
        <v>33846</v>
      </c>
      <c r="R9" s="267">
        <v>18232</v>
      </c>
    </row>
    <row r="10" spans="1:18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>
        <v>25101</v>
      </c>
      <c r="J10" s="111">
        <v>29758</v>
      </c>
      <c r="K10" s="111">
        <v>29181</v>
      </c>
      <c r="L10" s="111">
        <v>32611</v>
      </c>
      <c r="M10" s="111">
        <v>35066</v>
      </c>
      <c r="N10" s="111">
        <v>36352</v>
      </c>
      <c r="O10" s="111">
        <v>37482</v>
      </c>
      <c r="P10" s="111">
        <v>40697</v>
      </c>
      <c r="Q10" s="111">
        <v>43250</v>
      </c>
      <c r="R10" s="267">
        <v>28276</v>
      </c>
    </row>
    <row r="11" spans="1:18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>
        <v>31679</v>
      </c>
      <c r="J11" s="111">
        <v>32156</v>
      </c>
      <c r="K11" s="111">
        <v>31949</v>
      </c>
      <c r="L11" s="111">
        <v>34931</v>
      </c>
      <c r="M11" s="111">
        <v>37913</v>
      </c>
      <c r="N11" s="111">
        <v>37030</v>
      </c>
      <c r="O11" s="111">
        <v>38629</v>
      </c>
      <c r="P11" s="111">
        <v>41552</v>
      </c>
      <c r="Q11" s="111">
        <v>48521</v>
      </c>
      <c r="R11" s="279" t="s">
        <v>74</v>
      </c>
    </row>
    <row r="12" spans="1:18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>
        <v>38129</v>
      </c>
      <c r="J12" s="111">
        <v>44089</v>
      </c>
      <c r="K12" s="111">
        <v>42669</v>
      </c>
      <c r="L12" s="111">
        <v>45827</v>
      </c>
      <c r="M12" s="111">
        <v>45407</v>
      </c>
      <c r="N12" s="111">
        <v>55797</v>
      </c>
      <c r="O12" s="111">
        <v>60079</v>
      </c>
      <c r="P12" s="111">
        <v>62748</v>
      </c>
      <c r="Q12" s="111">
        <v>59557</v>
      </c>
      <c r="R12" s="280" t="s">
        <v>74</v>
      </c>
    </row>
    <row r="13" spans="1:18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>
        <v>32969</v>
      </c>
      <c r="J13" s="111">
        <v>36987</v>
      </c>
      <c r="K13" s="111">
        <v>39643</v>
      </c>
      <c r="L13" s="111">
        <v>42655</v>
      </c>
      <c r="M13" s="111">
        <v>42907</v>
      </c>
      <c r="N13" s="111">
        <v>43220</v>
      </c>
      <c r="O13" s="111">
        <v>44035</v>
      </c>
      <c r="P13" s="111">
        <v>47523</v>
      </c>
      <c r="Q13" s="111">
        <v>57426</v>
      </c>
      <c r="R13" s="280" t="s">
        <v>74</v>
      </c>
    </row>
    <row r="14" spans="1:18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>
        <v>26616</v>
      </c>
      <c r="J14" s="111">
        <v>29057</v>
      </c>
      <c r="K14" s="111">
        <v>29601</v>
      </c>
      <c r="L14" s="111">
        <v>31711</v>
      </c>
      <c r="M14" s="111">
        <v>32783</v>
      </c>
      <c r="N14" s="111">
        <v>36174</v>
      </c>
      <c r="O14" s="111">
        <v>37504</v>
      </c>
      <c r="P14" s="111">
        <v>36634</v>
      </c>
      <c r="Q14" s="111">
        <v>39073</v>
      </c>
      <c r="R14" s="280" t="s">
        <v>74</v>
      </c>
    </row>
    <row r="15" spans="1:18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>
        <v>23750</v>
      </c>
      <c r="J15" s="111">
        <v>24675</v>
      </c>
      <c r="K15" s="111">
        <v>25961</v>
      </c>
      <c r="L15" s="111">
        <v>27783</v>
      </c>
      <c r="M15" s="111">
        <v>29001</v>
      </c>
      <c r="N15" s="111">
        <v>31669</v>
      </c>
      <c r="O15" s="111">
        <v>31443</v>
      </c>
      <c r="P15" s="111">
        <v>31646</v>
      </c>
      <c r="Q15" s="111">
        <v>34037</v>
      </c>
      <c r="R15" s="280" t="s">
        <v>74</v>
      </c>
    </row>
    <row r="16" spans="1:18" s="103" customFormat="1" ht="16.2" thickBot="1" x14ac:dyDescent="0.35">
      <c r="A16" s="130" t="s">
        <v>30</v>
      </c>
      <c r="B16" s="124" t="s">
        <v>74</v>
      </c>
      <c r="C16" s="119" t="s">
        <v>74</v>
      </c>
      <c r="D16" s="119" t="s">
        <v>74</v>
      </c>
      <c r="E16" s="119" t="s">
        <v>74</v>
      </c>
      <c r="F16" s="119" t="s">
        <v>74</v>
      </c>
      <c r="G16" s="119" t="s">
        <v>74</v>
      </c>
      <c r="H16" s="120" t="s">
        <v>74</v>
      </c>
      <c r="I16" s="120">
        <v>21092</v>
      </c>
      <c r="J16" s="120">
        <v>23091</v>
      </c>
      <c r="K16" s="120">
        <v>22896</v>
      </c>
      <c r="L16" s="120">
        <v>24714</v>
      </c>
      <c r="M16" s="120">
        <v>24572</v>
      </c>
      <c r="N16" s="120">
        <v>26780</v>
      </c>
      <c r="O16" s="120">
        <v>32764</v>
      </c>
      <c r="P16" s="120">
        <v>32314</v>
      </c>
      <c r="Q16" s="120">
        <v>30306</v>
      </c>
      <c r="R16" s="281" t="s">
        <v>74</v>
      </c>
    </row>
    <row r="17" spans="1:18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8">
        <f t="shared" ref="I17:P17" si="0">SUM(I5:I16)</f>
        <v>220603</v>
      </c>
      <c r="J17" s="118">
        <f t="shared" si="0"/>
        <v>334050</v>
      </c>
      <c r="K17" s="118">
        <f t="shared" si="0"/>
        <v>339559</v>
      </c>
      <c r="L17" s="118">
        <f t="shared" si="0"/>
        <v>361405</v>
      </c>
      <c r="M17" s="118">
        <f t="shared" si="0"/>
        <v>381931</v>
      </c>
      <c r="N17" s="118">
        <f t="shared" si="0"/>
        <v>409378</v>
      </c>
      <c r="O17" s="118">
        <f t="shared" si="0"/>
        <v>429154</v>
      </c>
      <c r="P17" s="118">
        <f t="shared" si="0"/>
        <v>450269</v>
      </c>
      <c r="Q17" s="118">
        <f t="shared" ref="Q17" si="1">SUM(Q5:Q16)</f>
        <v>516728</v>
      </c>
      <c r="R17" s="268">
        <f t="shared" ref="R17" si="2">SUM(R5:R16)</f>
        <v>169275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29" t="s">
        <v>82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0:R20"/>
    <mergeCell ref="A21:R21"/>
    <mergeCell ref="A1:R1"/>
    <mergeCell ref="A2:R2"/>
    <mergeCell ref="A3:R3"/>
    <mergeCell ref="A18:R18"/>
    <mergeCell ref="A19:R19"/>
  </mergeCells>
  <pageMargins left="0.6" right="0.25" top="0.75" bottom="0.75" header="0.3" footer="0.3"/>
  <pageSetup scale="83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R53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RowHeight="13.8" x14ac:dyDescent="0.25"/>
  <cols>
    <col min="1" max="1" width="12.5546875" style="107" customWidth="1"/>
    <col min="2" max="8" width="13.5546875" style="104" hidden="1" customWidth="1"/>
    <col min="9" max="18" width="13.5546875" style="104" customWidth="1"/>
    <col min="19" max="16384" width="8.88671875" style="104"/>
  </cols>
  <sheetData>
    <row r="1" spans="1:18" s="101" customFormat="1" ht="21" x14ac:dyDescent="0.25">
      <c r="A1" s="325" t="s">
        <v>83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3" t="s">
        <v>127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4">
        <v>4000</v>
      </c>
      <c r="K5" s="114">
        <v>3500</v>
      </c>
      <c r="L5" s="114">
        <v>3424</v>
      </c>
      <c r="M5" s="114">
        <v>2561</v>
      </c>
      <c r="N5" s="114">
        <v>1737</v>
      </c>
      <c r="O5" s="114">
        <v>-176086</v>
      </c>
      <c r="P5" s="114">
        <v>741</v>
      </c>
      <c r="Q5" s="114">
        <v>734</v>
      </c>
      <c r="R5" s="266">
        <v>1144</v>
      </c>
    </row>
    <row r="6" spans="1:18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>
        <v>3881</v>
      </c>
      <c r="K6" s="111">
        <v>3683</v>
      </c>
      <c r="L6" s="111">
        <v>3784</v>
      </c>
      <c r="M6" s="111">
        <v>4044</v>
      </c>
      <c r="N6" s="111">
        <v>2905</v>
      </c>
      <c r="O6" s="111">
        <v>1220</v>
      </c>
      <c r="P6" s="111">
        <v>1871</v>
      </c>
      <c r="Q6" s="111">
        <v>1938</v>
      </c>
      <c r="R6" s="267">
        <v>1958</v>
      </c>
    </row>
    <row r="7" spans="1:18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>
        <v>4783</v>
      </c>
      <c r="K7" s="111">
        <v>6129</v>
      </c>
      <c r="L7" s="111">
        <v>3555</v>
      </c>
      <c r="M7" s="111">
        <v>3282</v>
      </c>
      <c r="N7" s="111">
        <v>3122</v>
      </c>
      <c r="O7" s="111">
        <v>2044</v>
      </c>
      <c r="P7" s="111">
        <v>1891</v>
      </c>
      <c r="Q7" s="111">
        <v>1905</v>
      </c>
      <c r="R7" s="267">
        <v>1941</v>
      </c>
    </row>
    <row r="8" spans="1:18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>
        <v>5827</v>
      </c>
      <c r="K8" s="111">
        <v>6985</v>
      </c>
      <c r="L8" s="111">
        <v>5428</v>
      </c>
      <c r="M8" s="111">
        <v>5469</v>
      </c>
      <c r="N8" s="111">
        <v>3737</v>
      </c>
      <c r="O8" s="111">
        <v>1534</v>
      </c>
      <c r="P8" s="111">
        <v>1992</v>
      </c>
      <c r="Q8" s="111">
        <v>1696</v>
      </c>
      <c r="R8" s="267">
        <v>1146</v>
      </c>
    </row>
    <row r="9" spans="1:18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>
        <v>1783</v>
      </c>
      <c r="K9" s="111">
        <v>768</v>
      </c>
      <c r="L9" s="111">
        <v>992</v>
      </c>
      <c r="M9" s="111">
        <v>607</v>
      </c>
      <c r="N9" s="111">
        <v>190</v>
      </c>
      <c r="O9" s="111">
        <v>466</v>
      </c>
      <c r="P9" s="111">
        <v>524</v>
      </c>
      <c r="Q9" s="111">
        <v>575</v>
      </c>
      <c r="R9" s="267">
        <v>14</v>
      </c>
    </row>
    <row r="10" spans="1:18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>
        <v>4595</v>
      </c>
      <c r="K10" s="111">
        <v>4026</v>
      </c>
      <c r="L10" s="111">
        <v>2741</v>
      </c>
      <c r="M10" s="111">
        <v>3088</v>
      </c>
      <c r="N10" s="111">
        <v>1869</v>
      </c>
      <c r="O10" s="111">
        <v>1156</v>
      </c>
      <c r="P10" s="111">
        <v>708</v>
      </c>
      <c r="Q10" s="111">
        <v>821</v>
      </c>
      <c r="R10" s="267">
        <v>185</v>
      </c>
    </row>
    <row r="11" spans="1:18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>
        <v>6049</v>
      </c>
      <c r="K11" s="111">
        <v>7254</v>
      </c>
      <c r="L11" s="111">
        <v>7038</v>
      </c>
      <c r="M11" s="111">
        <v>3520</v>
      </c>
      <c r="N11" s="111">
        <v>7546</v>
      </c>
      <c r="O11" s="111">
        <v>1936</v>
      </c>
      <c r="P11" s="111">
        <v>1648</v>
      </c>
      <c r="Q11" s="111">
        <v>1326</v>
      </c>
      <c r="R11" s="279" t="s">
        <v>74</v>
      </c>
    </row>
    <row r="12" spans="1:18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0">
        <v>682</v>
      </c>
      <c r="J12" s="111">
        <v>6459</v>
      </c>
      <c r="K12" s="111">
        <v>7115</v>
      </c>
      <c r="L12" s="111">
        <v>5878</v>
      </c>
      <c r="M12" s="111">
        <v>10409</v>
      </c>
      <c r="N12" s="111">
        <v>1911</v>
      </c>
      <c r="O12" s="111">
        <v>2058</v>
      </c>
      <c r="P12" s="111">
        <v>1456</v>
      </c>
      <c r="Q12" s="111">
        <v>2320</v>
      </c>
      <c r="R12" s="280" t="s">
        <v>74</v>
      </c>
    </row>
    <row r="13" spans="1:18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>
        <v>181</v>
      </c>
      <c r="J13" s="111">
        <v>8802</v>
      </c>
      <c r="K13" s="111">
        <v>9053</v>
      </c>
      <c r="L13" s="111">
        <v>9171</v>
      </c>
      <c r="M13" s="111">
        <v>7601</v>
      </c>
      <c r="N13" s="111">
        <v>2850</v>
      </c>
      <c r="O13" s="111">
        <v>3043</v>
      </c>
      <c r="P13" s="111">
        <v>1628</v>
      </c>
      <c r="Q13" s="111">
        <v>2156</v>
      </c>
      <c r="R13" s="280" t="s">
        <v>74</v>
      </c>
    </row>
    <row r="14" spans="1:18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>
        <v>978</v>
      </c>
      <c r="J14" s="111">
        <v>9732</v>
      </c>
      <c r="K14" s="111">
        <v>9254</v>
      </c>
      <c r="L14" s="111">
        <v>8025</v>
      </c>
      <c r="M14" s="111">
        <v>6709</v>
      </c>
      <c r="N14" s="111">
        <v>2347</v>
      </c>
      <c r="O14" s="111">
        <v>2245</v>
      </c>
      <c r="P14" s="111">
        <v>1521</v>
      </c>
      <c r="Q14" s="111">
        <v>1651</v>
      </c>
      <c r="R14" s="280" t="s">
        <v>74</v>
      </c>
    </row>
    <row r="15" spans="1:18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>
        <v>3352</v>
      </c>
      <c r="J15" s="111">
        <v>1688</v>
      </c>
      <c r="K15" s="111">
        <v>2155</v>
      </c>
      <c r="L15" s="111">
        <v>1654</v>
      </c>
      <c r="M15" s="111">
        <v>1866</v>
      </c>
      <c r="N15" s="111">
        <v>1556</v>
      </c>
      <c r="O15" s="111">
        <v>1198</v>
      </c>
      <c r="P15" s="111">
        <v>1102</v>
      </c>
      <c r="Q15" s="111">
        <v>931</v>
      </c>
      <c r="R15" s="280" t="s">
        <v>74</v>
      </c>
    </row>
    <row r="16" spans="1:18" s="103" customFormat="1" ht="16.2" thickBot="1" x14ac:dyDescent="0.35">
      <c r="A16" s="130" t="s">
        <v>30</v>
      </c>
      <c r="B16" s="124" t="s">
        <v>74</v>
      </c>
      <c r="C16" s="119" t="s">
        <v>74</v>
      </c>
      <c r="D16" s="119" t="s">
        <v>74</v>
      </c>
      <c r="E16" s="119" t="s">
        <v>74</v>
      </c>
      <c r="F16" s="119" t="s">
        <v>74</v>
      </c>
      <c r="G16" s="119" t="s">
        <v>74</v>
      </c>
      <c r="H16" s="120" t="s">
        <v>74</v>
      </c>
      <c r="I16" s="120">
        <v>276</v>
      </c>
      <c r="J16" s="120">
        <v>537</v>
      </c>
      <c r="K16" s="120">
        <v>618</v>
      </c>
      <c r="L16" s="120">
        <v>260</v>
      </c>
      <c r="M16" s="120">
        <v>85</v>
      </c>
      <c r="N16" s="120">
        <v>514</v>
      </c>
      <c r="O16" s="120">
        <v>353</v>
      </c>
      <c r="P16" s="120">
        <v>491</v>
      </c>
      <c r="Q16" s="120">
        <v>552</v>
      </c>
      <c r="R16" s="281" t="s">
        <v>74</v>
      </c>
    </row>
    <row r="17" spans="1:18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17" t="s">
        <v>74</v>
      </c>
      <c r="G17" s="117" t="s">
        <v>74</v>
      </c>
      <c r="H17" s="117" t="s">
        <v>74</v>
      </c>
      <c r="I17" s="118">
        <f t="shared" ref="I17:P17" si="0">SUM(I5:I16)</f>
        <v>5469</v>
      </c>
      <c r="J17" s="118">
        <f t="shared" si="0"/>
        <v>58136</v>
      </c>
      <c r="K17" s="118">
        <f t="shared" si="0"/>
        <v>60540</v>
      </c>
      <c r="L17" s="118">
        <f t="shared" si="0"/>
        <v>51950</v>
      </c>
      <c r="M17" s="118">
        <f t="shared" si="0"/>
        <v>49241</v>
      </c>
      <c r="N17" s="118">
        <f t="shared" si="0"/>
        <v>30284</v>
      </c>
      <c r="O17" s="118">
        <f t="shared" si="0"/>
        <v>-158833</v>
      </c>
      <c r="P17" s="118">
        <f t="shared" si="0"/>
        <v>15573</v>
      </c>
      <c r="Q17" s="118">
        <f t="shared" ref="Q17:R17" si="1">SUM(Q5:Q16)</f>
        <v>16605</v>
      </c>
      <c r="R17" s="268">
        <f t="shared" si="1"/>
        <v>6388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s="102" customFormat="1" ht="18" x14ac:dyDescent="0.25">
      <c r="A19" s="333" t="s">
        <v>49</v>
      </c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</row>
    <row r="20" spans="1:18" s="103" customFormat="1" ht="15.6" x14ac:dyDescent="0.25">
      <c r="A20" s="126" t="s">
        <v>18</v>
      </c>
      <c r="B20" s="121">
        <v>2004</v>
      </c>
      <c r="C20" s="115">
        <v>2005</v>
      </c>
      <c r="D20" s="115">
        <v>2006</v>
      </c>
      <c r="E20" s="115">
        <v>2007</v>
      </c>
      <c r="F20" s="115">
        <v>2008</v>
      </c>
      <c r="G20" s="115">
        <v>2009</v>
      </c>
      <c r="H20" s="115">
        <v>2010</v>
      </c>
      <c r="I20" s="115">
        <v>2011</v>
      </c>
      <c r="J20" s="116">
        <v>2012</v>
      </c>
      <c r="K20" s="116">
        <v>2013</v>
      </c>
      <c r="L20" s="116">
        <v>2014</v>
      </c>
      <c r="M20" s="116">
        <v>2015</v>
      </c>
      <c r="N20" s="116">
        <v>2016</v>
      </c>
      <c r="O20" s="116">
        <v>2017</v>
      </c>
      <c r="P20" s="116">
        <v>2018</v>
      </c>
      <c r="Q20" s="116">
        <v>2019</v>
      </c>
      <c r="R20" s="265">
        <v>2020</v>
      </c>
    </row>
    <row r="21" spans="1:18" s="103" customFormat="1" ht="15.6" x14ac:dyDescent="0.25">
      <c r="A21" s="128" t="s">
        <v>19</v>
      </c>
      <c r="B21" s="122" t="s">
        <v>74</v>
      </c>
      <c r="C21" s="113" t="s">
        <v>74</v>
      </c>
      <c r="D21" s="113" t="s">
        <v>74</v>
      </c>
      <c r="E21" s="113" t="s">
        <v>74</v>
      </c>
      <c r="F21" s="113" t="s">
        <v>74</v>
      </c>
      <c r="G21" s="113" t="s">
        <v>74</v>
      </c>
      <c r="H21" s="113" t="s">
        <v>74</v>
      </c>
      <c r="I21" s="113" t="s">
        <v>74</v>
      </c>
      <c r="J21" s="114">
        <v>4263</v>
      </c>
      <c r="K21" s="114">
        <v>4004</v>
      </c>
      <c r="L21" s="114">
        <v>3020</v>
      </c>
      <c r="M21" s="114">
        <v>4189</v>
      </c>
      <c r="N21" s="114">
        <v>5041</v>
      </c>
      <c r="O21" s="114">
        <v>4280</v>
      </c>
      <c r="P21" s="114">
        <v>4521</v>
      </c>
      <c r="Q21" s="114">
        <v>4580</v>
      </c>
      <c r="R21" s="266">
        <v>5755</v>
      </c>
    </row>
    <row r="22" spans="1:18" s="103" customFormat="1" ht="15.6" x14ac:dyDescent="0.25">
      <c r="A22" s="129" t="s">
        <v>20</v>
      </c>
      <c r="B22" s="123" t="s">
        <v>74</v>
      </c>
      <c r="C22" s="111" t="s">
        <v>74</v>
      </c>
      <c r="D22" s="111" t="s">
        <v>74</v>
      </c>
      <c r="E22" s="111" t="s">
        <v>74</v>
      </c>
      <c r="F22" s="111" t="s">
        <v>74</v>
      </c>
      <c r="G22" s="111" t="s">
        <v>74</v>
      </c>
      <c r="H22" s="111" t="s">
        <v>74</v>
      </c>
      <c r="I22" s="111" t="s">
        <v>74</v>
      </c>
      <c r="J22" s="111">
        <v>4244</v>
      </c>
      <c r="K22" s="111">
        <v>3412</v>
      </c>
      <c r="L22" s="111">
        <v>4954</v>
      </c>
      <c r="M22" s="111">
        <v>6057</v>
      </c>
      <c r="N22" s="111">
        <v>6455</v>
      </c>
      <c r="O22" s="111">
        <v>3901</v>
      </c>
      <c r="P22" s="111">
        <v>5039</v>
      </c>
      <c r="Q22" s="111">
        <v>5009</v>
      </c>
      <c r="R22" s="267">
        <v>4817</v>
      </c>
    </row>
    <row r="23" spans="1:18" s="103" customFormat="1" ht="15.6" x14ac:dyDescent="0.25">
      <c r="A23" s="129" t="s">
        <v>21</v>
      </c>
      <c r="B23" s="123" t="s">
        <v>74</v>
      </c>
      <c r="C23" s="111" t="s">
        <v>74</v>
      </c>
      <c r="D23" s="111" t="s">
        <v>74</v>
      </c>
      <c r="E23" s="111" t="s">
        <v>74</v>
      </c>
      <c r="F23" s="111" t="s">
        <v>74</v>
      </c>
      <c r="G23" s="111" t="s">
        <v>74</v>
      </c>
      <c r="H23" s="111" t="s">
        <v>74</v>
      </c>
      <c r="I23" s="111" t="s">
        <v>74</v>
      </c>
      <c r="J23" s="111">
        <v>4259</v>
      </c>
      <c r="K23" s="111">
        <v>5753</v>
      </c>
      <c r="L23" s="111">
        <v>4328</v>
      </c>
      <c r="M23" s="111">
        <v>5059</v>
      </c>
      <c r="N23" s="111">
        <v>5472</v>
      </c>
      <c r="O23" s="111">
        <v>6521</v>
      </c>
      <c r="P23" s="111">
        <v>5635</v>
      </c>
      <c r="Q23" s="111">
        <v>7449</v>
      </c>
      <c r="R23" s="267">
        <v>7746</v>
      </c>
    </row>
    <row r="24" spans="1:18" s="103" customFormat="1" ht="15.6" x14ac:dyDescent="0.25">
      <c r="A24" s="129" t="s">
        <v>22</v>
      </c>
      <c r="B24" s="123" t="s">
        <v>74</v>
      </c>
      <c r="C24" s="111" t="s">
        <v>74</v>
      </c>
      <c r="D24" s="111" t="s">
        <v>74</v>
      </c>
      <c r="E24" s="111" t="s">
        <v>74</v>
      </c>
      <c r="F24" s="111" t="s">
        <v>74</v>
      </c>
      <c r="G24" s="111" t="s">
        <v>74</v>
      </c>
      <c r="H24" s="111" t="s">
        <v>74</v>
      </c>
      <c r="I24" s="111" t="s">
        <v>74</v>
      </c>
      <c r="J24" s="111">
        <v>3457</v>
      </c>
      <c r="K24" s="111">
        <v>4002</v>
      </c>
      <c r="L24" s="111">
        <v>4220</v>
      </c>
      <c r="M24" s="111">
        <v>3130</v>
      </c>
      <c r="N24" s="111">
        <v>3433</v>
      </c>
      <c r="O24" s="111">
        <v>3914</v>
      </c>
      <c r="P24" s="111">
        <v>10843</v>
      </c>
      <c r="Q24" s="111">
        <v>5924</v>
      </c>
      <c r="R24" s="267">
        <v>3073</v>
      </c>
    </row>
    <row r="25" spans="1:18" s="103" customFormat="1" ht="15.6" x14ac:dyDescent="0.25">
      <c r="A25" s="129" t="s">
        <v>23</v>
      </c>
      <c r="B25" s="123" t="s">
        <v>74</v>
      </c>
      <c r="C25" s="111" t="s">
        <v>74</v>
      </c>
      <c r="D25" s="111" t="s">
        <v>74</v>
      </c>
      <c r="E25" s="111" t="s">
        <v>74</v>
      </c>
      <c r="F25" s="111" t="s">
        <v>74</v>
      </c>
      <c r="G25" s="111" t="s">
        <v>74</v>
      </c>
      <c r="H25" s="111" t="s">
        <v>74</v>
      </c>
      <c r="I25" s="111" t="s">
        <v>74</v>
      </c>
      <c r="J25" s="111">
        <v>1751</v>
      </c>
      <c r="K25" s="111">
        <v>996</v>
      </c>
      <c r="L25" s="111">
        <v>749</v>
      </c>
      <c r="M25" s="111">
        <v>822</v>
      </c>
      <c r="N25" s="111">
        <v>686</v>
      </c>
      <c r="O25" s="111">
        <v>808</v>
      </c>
      <c r="P25" s="111">
        <v>924</v>
      </c>
      <c r="Q25" s="111">
        <v>1408</v>
      </c>
      <c r="R25" s="267">
        <v>135</v>
      </c>
    </row>
    <row r="26" spans="1:18" s="103" customFormat="1" ht="15.6" x14ac:dyDescent="0.25">
      <c r="A26" s="129" t="s">
        <v>24</v>
      </c>
      <c r="B26" s="123" t="s">
        <v>74</v>
      </c>
      <c r="C26" s="111" t="s">
        <v>74</v>
      </c>
      <c r="D26" s="111" t="s">
        <v>74</v>
      </c>
      <c r="E26" s="111" t="s">
        <v>74</v>
      </c>
      <c r="F26" s="111" t="s">
        <v>74</v>
      </c>
      <c r="G26" s="111" t="s">
        <v>74</v>
      </c>
      <c r="H26" s="111" t="s">
        <v>74</v>
      </c>
      <c r="I26" s="111" t="s">
        <v>74</v>
      </c>
      <c r="J26" s="111">
        <v>1879</v>
      </c>
      <c r="K26" s="111">
        <v>1104</v>
      </c>
      <c r="L26" s="111">
        <v>1617</v>
      </c>
      <c r="M26" s="111">
        <v>2096</v>
      </c>
      <c r="N26" s="111">
        <v>1778</v>
      </c>
      <c r="O26" s="111">
        <v>2046</v>
      </c>
      <c r="P26" s="111">
        <v>2436</v>
      </c>
      <c r="Q26" s="111">
        <v>2055</v>
      </c>
      <c r="R26" s="267">
        <v>1186</v>
      </c>
    </row>
    <row r="27" spans="1:18" s="103" customFormat="1" ht="15.6" x14ac:dyDescent="0.3">
      <c r="A27" s="129" t="s">
        <v>25</v>
      </c>
      <c r="B27" s="123" t="s">
        <v>74</v>
      </c>
      <c r="C27" s="111" t="s">
        <v>74</v>
      </c>
      <c r="D27" s="111" t="s">
        <v>74</v>
      </c>
      <c r="E27" s="111" t="s">
        <v>74</v>
      </c>
      <c r="F27" s="111" t="s">
        <v>74</v>
      </c>
      <c r="G27" s="111" t="s">
        <v>74</v>
      </c>
      <c r="H27" s="111" t="s">
        <v>74</v>
      </c>
      <c r="I27" s="111" t="s">
        <v>74</v>
      </c>
      <c r="J27" s="111">
        <v>2625</v>
      </c>
      <c r="K27" s="111">
        <v>2239</v>
      </c>
      <c r="L27" s="111">
        <v>2918</v>
      </c>
      <c r="M27" s="111">
        <v>3354</v>
      </c>
      <c r="N27" s="111">
        <v>3289</v>
      </c>
      <c r="O27" s="111">
        <v>4224</v>
      </c>
      <c r="P27" s="111">
        <v>6261</v>
      </c>
      <c r="Q27" s="111">
        <v>3892</v>
      </c>
      <c r="R27" s="279" t="s">
        <v>74</v>
      </c>
    </row>
    <row r="28" spans="1:18" s="103" customFormat="1" ht="15.6" x14ac:dyDescent="0.3">
      <c r="A28" s="129" t="s">
        <v>26</v>
      </c>
      <c r="B28" s="123" t="s">
        <v>74</v>
      </c>
      <c r="C28" s="111" t="s">
        <v>74</v>
      </c>
      <c r="D28" s="111" t="s">
        <v>74</v>
      </c>
      <c r="E28" s="111" t="s">
        <v>74</v>
      </c>
      <c r="F28" s="111" t="s">
        <v>74</v>
      </c>
      <c r="G28" s="111" t="s">
        <v>74</v>
      </c>
      <c r="H28" s="111" t="s">
        <v>74</v>
      </c>
      <c r="I28" s="110">
        <v>3844</v>
      </c>
      <c r="J28" s="111">
        <v>4305</v>
      </c>
      <c r="K28" s="111">
        <v>4452</v>
      </c>
      <c r="L28" s="111">
        <v>4575</v>
      </c>
      <c r="M28" s="111">
        <v>6254</v>
      </c>
      <c r="N28" s="111">
        <v>7392</v>
      </c>
      <c r="O28" s="111">
        <v>6739</v>
      </c>
      <c r="P28" s="111">
        <v>7287</v>
      </c>
      <c r="Q28" s="111">
        <v>6907</v>
      </c>
      <c r="R28" s="280" t="s">
        <v>74</v>
      </c>
    </row>
    <row r="29" spans="1:18" s="103" customFormat="1" ht="15.6" x14ac:dyDescent="0.3">
      <c r="A29" s="129" t="s">
        <v>27</v>
      </c>
      <c r="B29" s="123" t="s">
        <v>74</v>
      </c>
      <c r="C29" s="111" t="s">
        <v>74</v>
      </c>
      <c r="D29" s="111" t="s">
        <v>74</v>
      </c>
      <c r="E29" s="111" t="s">
        <v>74</v>
      </c>
      <c r="F29" s="111" t="s">
        <v>74</v>
      </c>
      <c r="G29" s="111" t="s">
        <v>74</v>
      </c>
      <c r="H29" s="111" t="s">
        <v>74</v>
      </c>
      <c r="I29" s="111">
        <v>3829</v>
      </c>
      <c r="J29" s="111">
        <v>4075</v>
      </c>
      <c r="K29" s="111">
        <v>4659</v>
      </c>
      <c r="L29" s="111">
        <v>6230</v>
      </c>
      <c r="M29" s="111">
        <v>5474</v>
      </c>
      <c r="N29" s="111">
        <v>5592</v>
      </c>
      <c r="O29" s="111">
        <v>5959</v>
      </c>
      <c r="P29" s="111">
        <v>5412</v>
      </c>
      <c r="Q29" s="111">
        <v>6219</v>
      </c>
      <c r="R29" s="280" t="s">
        <v>74</v>
      </c>
    </row>
    <row r="30" spans="1:18" s="103" customFormat="1" ht="15.6" x14ac:dyDescent="0.3">
      <c r="A30" s="129" t="s">
        <v>28</v>
      </c>
      <c r="B30" s="123" t="s">
        <v>74</v>
      </c>
      <c r="C30" s="111" t="s">
        <v>74</v>
      </c>
      <c r="D30" s="111" t="s">
        <v>74</v>
      </c>
      <c r="E30" s="111" t="s">
        <v>74</v>
      </c>
      <c r="F30" s="111" t="s">
        <v>74</v>
      </c>
      <c r="G30" s="111" t="s">
        <v>74</v>
      </c>
      <c r="H30" s="111" t="s">
        <v>74</v>
      </c>
      <c r="I30" s="111">
        <v>3319</v>
      </c>
      <c r="J30" s="111">
        <v>2655</v>
      </c>
      <c r="K30" s="111">
        <v>3255</v>
      </c>
      <c r="L30" s="111">
        <v>3304</v>
      </c>
      <c r="M30" s="111">
        <v>4109</v>
      </c>
      <c r="N30" s="111">
        <v>4406</v>
      </c>
      <c r="O30" s="111">
        <v>4826</v>
      </c>
      <c r="P30" s="111">
        <v>3513</v>
      </c>
      <c r="Q30" s="111">
        <v>4474</v>
      </c>
      <c r="R30" s="280" t="s">
        <v>74</v>
      </c>
    </row>
    <row r="31" spans="1:18" s="103" customFormat="1" ht="15.6" x14ac:dyDescent="0.3">
      <c r="A31" s="129" t="s">
        <v>29</v>
      </c>
      <c r="B31" s="123" t="s">
        <v>74</v>
      </c>
      <c r="C31" s="111" t="s">
        <v>74</v>
      </c>
      <c r="D31" s="111" t="s">
        <v>74</v>
      </c>
      <c r="E31" s="111" t="s">
        <v>74</v>
      </c>
      <c r="F31" s="111" t="s">
        <v>74</v>
      </c>
      <c r="G31" s="111" t="s">
        <v>74</v>
      </c>
      <c r="H31" s="111" t="s">
        <v>74</v>
      </c>
      <c r="I31" s="111">
        <v>1504</v>
      </c>
      <c r="J31" s="111">
        <v>957</v>
      </c>
      <c r="K31" s="111">
        <v>900</v>
      </c>
      <c r="L31" s="111">
        <v>2355</v>
      </c>
      <c r="M31" s="111">
        <v>2058</v>
      </c>
      <c r="N31" s="111">
        <v>2315</v>
      </c>
      <c r="O31" s="111">
        <v>2416</v>
      </c>
      <c r="P31" s="111">
        <v>2667</v>
      </c>
      <c r="Q31" s="111">
        <v>2785</v>
      </c>
      <c r="R31" s="280" t="s">
        <v>74</v>
      </c>
    </row>
    <row r="32" spans="1:18" s="103" customFormat="1" ht="16.2" thickBot="1" x14ac:dyDescent="0.35">
      <c r="A32" s="130" t="s">
        <v>30</v>
      </c>
      <c r="B32" s="124" t="s">
        <v>74</v>
      </c>
      <c r="C32" s="119" t="s">
        <v>74</v>
      </c>
      <c r="D32" s="119" t="s">
        <v>74</v>
      </c>
      <c r="E32" s="119" t="s">
        <v>74</v>
      </c>
      <c r="F32" s="119" t="s">
        <v>74</v>
      </c>
      <c r="G32" s="119" t="s">
        <v>74</v>
      </c>
      <c r="H32" s="120" t="s">
        <v>74</v>
      </c>
      <c r="I32" s="120">
        <v>1687</v>
      </c>
      <c r="J32" s="120">
        <v>1047</v>
      </c>
      <c r="K32" s="120">
        <v>1000</v>
      </c>
      <c r="L32" s="120">
        <v>840</v>
      </c>
      <c r="M32" s="120">
        <v>1180</v>
      </c>
      <c r="N32" s="120">
        <v>2196</v>
      </c>
      <c r="O32" s="120">
        <v>1643</v>
      </c>
      <c r="P32" s="120">
        <v>-1639</v>
      </c>
      <c r="Q32" s="120">
        <v>1461</v>
      </c>
      <c r="R32" s="281" t="s">
        <v>74</v>
      </c>
    </row>
    <row r="33" spans="1:18" s="103" customFormat="1" ht="16.2" thickTop="1" x14ac:dyDescent="0.25">
      <c r="A33" s="127" t="s">
        <v>8</v>
      </c>
      <c r="B33" s="125" t="s">
        <v>74</v>
      </c>
      <c r="C33" s="117" t="s">
        <v>74</v>
      </c>
      <c r="D33" s="117" t="s">
        <v>74</v>
      </c>
      <c r="E33" s="117" t="s">
        <v>74</v>
      </c>
      <c r="F33" s="117" t="s">
        <v>74</v>
      </c>
      <c r="G33" s="117" t="s">
        <v>74</v>
      </c>
      <c r="H33" s="117" t="s">
        <v>74</v>
      </c>
      <c r="I33" s="118">
        <f t="shared" ref="I33:P33" si="2">SUM(I21:I32)</f>
        <v>14183</v>
      </c>
      <c r="J33" s="118">
        <f t="shared" si="2"/>
        <v>35517</v>
      </c>
      <c r="K33" s="118">
        <f t="shared" si="2"/>
        <v>35776</v>
      </c>
      <c r="L33" s="118">
        <f t="shared" si="2"/>
        <v>39110</v>
      </c>
      <c r="M33" s="118">
        <f t="shared" si="2"/>
        <v>43782</v>
      </c>
      <c r="N33" s="118">
        <f t="shared" si="2"/>
        <v>48055</v>
      </c>
      <c r="O33" s="118">
        <f t="shared" si="2"/>
        <v>47277</v>
      </c>
      <c r="P33" s="118">
        <f t="shared" si="2"/>
        <v>52899</v>
      </c>
      <c r="Q33" s="118">
        <f t="shared" ref="Q33:R33" si="3">SUM(Q21:Q32)</f>
        <v>52163</v>
      </c>
      <c r="R33" s="268">
        <f t="shared" si="3"/>
        <v>22712</v>
      </c>
    </row>
    <row r="34" spans="1:18" s="108" customFormat="1" ht="6.6" x14ac:dyDescent="0.25">
      <c r="A34" s="328" t="s">
        <v>84</v>
      </c>
      <c r="B34" s="328"/>
      <c r="C34" s="328"/>
      <c r="D34" s="328"/>
      <c r="E34" s="328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8"/>
      <c r="R34" s="328"/>
    </row>
    <row r="35" spans="1:18" s="102" customFormat="1" ht="18" x14ac:dyDescent="0.25">
      <c r="A35" s="333" t="s">
        <v>48</v>
      </c>
      <c r="B35" s="333"/>
      <c r="C35" s="333"/>
      <c r="D35" s="333"/>
      <c r="E35" s="333"/>
      <c r="F35" s="333"/>
      <c r="G35" s="333"/>
      <c r="H35" s="333"/>
      <c r="I35" s="333"/>
      <c r="J35" s="333"/>
      <c r="K35" s="333"/>
      <c r="L35" s="333"/>
      <c r="M35" s="333"/>
      <c r="N35" s="333"/>
      <c r="O35" s="333"/>
      <c r="P35" s="333"/>
      <c r="Q35" s="333"/>
      <c r="R35" s="333"/>
    </row>
    <row r="36" spans="1:18" s="103" customFormat="1" ht="15.6" x14ac:dyDescent="0.25">
      <c r="A36" s="126" t="s">
        <v>18</v>
      </c>
      <c r="B36" s="121">
        <v>2004</v>
      </c>
      <c r="C36" s="115">
        <v>2005</v>
      </c>
      <c r="D36" s="115">
        <v>2006</v>
      </c>
      <c r="E36" s="115">
        <v>2007</v>
      </c>
      <c r="F36" s="115">
        <v>2008</v>
      </c>
      <c r="G36" s="115">
        <v>2009</v>
      </c>
      <c r="H36" s="115">
        <v>2010</v>
      </c>
      <c r="I36" s="115">
        <v>2011</v>
      </c>
      <c r="J36" s="116">
        <v>2012</v>
      </c>
      <c r="K36" s="116">
        <v>2013</v>
      </c>
      <c r="L36" s="116">
        <v>2014</v>
      </c>
      <c r="M36" s="116">
        <v>2015</v>
      </c>
      <c r="N36" s="116">
        <v>2016</v>
      </c>
      <c r="O36" s="116">
        <v>2017</v>
      </c>
      <c r="P36" s="116">
        <v>2018</v>
      </c>
      <c r="Q36" s="116">
        <v>2019</v>
      </c>
      <c r="R36" s="265">
        <v>2020</v>
      </c>
    </row>
    <row r="37" spans="1:18" s="103" customFormat="1" ht="15.6" x14ac:dyDescent="0.25">
      <c r="A37" s="128" t="s">
        <v>19</v>
      </c>
      <c r="B37" s="122" t="s">
        <v>74</v>
      </c>
      <c r="C37" s="113" t="s">
        <v>74</v>
      </c>
      <c r="D37" s="113" t="s">
        <v>74</v>
      </c>
      <c r="E37" s="113" t="s">
        <v>74</v>
      </c>
      <c r="F37" s="113" t="s">
        <v>74</v>
      </c>
      <c r="G37" s="113" t="s">
        <v>74</v>
      </c>
      <c r="H37" s="113" t="s">
        <v>74</v>
      </c>
      <c r="I37" s="113" t="s">
        <v>74</v>
      </c>
      <c r="J37" s="114">
        <v>4105</v>
      </c>
      <c r="K37" s="114">
        <v>3754</v>
      </c>
      <c r="L37" s="114">
        <v>3134</v>
      </c>
      <c r="M37" s="114">
        <v>3190</v>
      </c>
      <c r="N37" s="114">
        <v>2456</v>
      </c>
      <c r="O37" s="114">
        <v>2995</v>
      </c>
      <c r="P37" s="114">
        <v>1597</v>
      </c>
      <c r="Q37" s="114">
        <v>1443</v>
      </c>
      <c r="R37" s="266">
        <v>1929</v>
      </c>
    </row>
    <row r="38" spans="1:18" s="103" customFormat="1" ht="15.6" x14ac:dyDescent="0.25">
      <c r="A38" s="129" t="s">
        <v>20</v>
      </c>
      <c r="B38" s="123" t="s">
        <v>74</v>
      </c>
      <c r="C38" s="111" t="s">
        <v>74</v>
      </c>
      <c r="D38" s="111" t="s">
        <v>74</v>
      </c>
      <c r="E38" s="111" t="s">
        <v>74</v>
      </c>
      <c r="F38" s="111" t="s">
        <v>74</v>
      </c>
      <c r="G38" s="111" t="s">
        <v>74</v>
      </c>
      <c r="H38" s="111" t="s">
        <v>74</v>
      </c>
      <c r="I38" s="111" t="s">
        <v>74</v>
      </c>
      <c r="J38" s="111">
        <v>3660</v>
      </c>
      <c r="K38" s="111">
        <v>3247</v>
      </c>
      <c r="L38" s="111">
        <v>3467</v>
      </c>
      <c r="M38" s="111">
        <v>4179</v>
      </c>
      <c r="N38" s="111">
        <v>3730</v>
      </c>
      <c r="O38" s="111">
        <v>3721</v>
      </c>
      <c r="P38" s="111">
        <v>5160</v>
      </c>
      <c r="Q38" s="111">
        <v>6193</v>
      </c>
      <c r="R38" s="267">
        <v>8789</v>
      </c>
    </row>
    <row r="39" spans="1:18" s="103" customFormat="1" ht="15.6" x14ac:dyDescent="0.25">
      <c r="A39" s="129" t="s">
        <v>21</v>
      </c>
      <c r="B39" s="123" t="s">
        <v>74</v>
      </c>
      <c r="C39" s="111" t="s">
        <v>74</v>
      </c>
      <c r="D39" s="111" t="s">
        <v>74</v>
      </c>
      <c r="E39" s="111" t="s">
        <v>74</v>
      </c>
      <c r="F39" s="111" t="s">
        <v>74</v>
      </c>
      <c r="G39" s="111" t="s">
        <v>74</v>
      </c>
      <c r="H39" s="111" t="s">
        <v>74</v>
      </c>
      <c r="I39" s="111" t="s">
        <v>74</v>
      </c>
      <c r="J39" s="111">
        <v>5090</v>
      </c>
      <c r="K39" s="111">
        <v>5114</v>
      </c>
      <c r="L39" s="111">
        <v>5052</v>
      </c>
      <c r="M39" s="111">
        <v>3043</v>
      </c>
      <c r="N39" s="111">
        <v>4451</v>
      </c>
      <c r="O39" s="111">
        <v>4775</v>
      </c>
      <c r="P39" s="111">
        <v>5153</v>
      </c>
      <c r="Q39" s="111">
        <v>4665</v>
      </c>
      <c r="R39" s="267">
        <v>5546</v>
      </c>
    </row>
    <row r="40" spans="1:18" s="103" customFormat="1" ht="15.6" x14ac:dyDescent="0.25">
      <c r="A40" s="129" t="s">
        <v>22</v>
      </c>
      <c r="B40" s="123" t="s">
        <v>74</v>
      </c>
      <c r="C40" s="111" t="s">
        <v>74</v>
      </c>
      <c r="D40" s="111" t="s">
        <v>74</v>
      </c>
      <c r="E40" s="111" t="s">
        <v>74</v>
      </c>
      <c r="F40" s="111" t="s">
        <v>74</v>
      </c>
      <c r="G40" s="111" t="s">
        <v>74</v>
      </c>
      <c r="H40" s="111" t="s">
        <v>74</v>
      </c>
      <c r="I40" s="111" t="s">
        <v>74</v>
      </c>
      <c r="J40" s="111">
        <v>4033</v>
      </c>
      <c r="K40" s="111">
        <v>6043</v>
      </c>
      <c r="L40" s="111">
        <v>5754</v>
      </c>
      <c r="M40" s="111">
        <v>4942</v>
      </c>
      <c r="N40" s="111">
        <v>4200</v>
      </c>
      <c r="O40" s="111">
        <v>1626</v>
      </c>
      <c r="P40" s="111">
        <v>6205</v>
      </c>
      <c r="Q40" s="111">
        <v>4268</v>
      </c>
      <c r="R40" s="267">
        <v>4668</v>
      </c>
    </row>
    <row r="41" spans="1:18" s="103" customFormat="1" ht="15.6" x14ac:dyDescent="0.25">
      <c r="A41" s="129" t="s">
        <v>23</v>
      </c>
      <c r="B41" s="123" t="s">
        <v>74</v>
      </c>
      <c r="C41" s="111" t="s">
        <v>74</v>
      </c>
      <c r="D41" s="111" t="s">
        <v>74</v>
      </c>
      <c r="E41" s="111" t="s">
        <v>74</v>
      </c>
      <c r="F41" s="111" t="s">
        <v>74</v>
      </c>
      <c r="G41" s="111" t="s">
        <v>74</v>
      </c>
      <c r="H41" s="111" t="s">
        <v>74</v>
      </c>
      <c r="I41" s="111" t="s">
        <v>74</v>
      </c>
      <c r="J41" s="111">
        <v>797</v>
      </c>
      <c r="K41" s="111">
        <v>614</v>
      </c>
      <c r="L41" s="111">
        <v>975</v>
      </c>
      <c r="M41" s="111">
        <v>619</v>
      </c>
      <c r="N41" s="111">
        <v>295</v>
      </c>
      <c r="O41" s="111">
        <v>364</v>
      </c>
      <c r="P41" s="111">
        <v>1634</v>
      </c>
      <c r="Q41" s="111">
        <v>2236</v>
      </c>
      <c r="R41" s="267">
        <v>279</v>
      </c>
    </row>
    <row r="42" spans="1:18" s="103" customFormat="1" ht="15.6" x14ac:dyDescent="0.25">
      <c r="A42" s="129" t="s">
        <v>24</v>
      </c>
      <c r="B42" s="123" t="s">
        <v>74</v>
      </c>
      <c r="C42" s="111" t="s">
        <v>74</v>
      </c>
      <c r="D42" s="111" t="s">
        <v>74</v>
      </c>
      <c r="E42" s="111" t="s">
        <v>74</v>
      </c>
      <c r="F42" s="111" t="s">
        <v>74</v>
      </c>
      <c r="G42" s="111" t="s">
        <v>74</v>
      </c>
      <c r="H42" s="111" t="s">
        <v>74</v>
      </c>
      <c r="I42" s="111" t="s">
        <v>74</v>
      </c>
      <c r="J42" s="111">
        <v>4555</v>
      </c>
      <c r="K42" s="111">
        <v>2646</v>
      </c>
      <c r="L42" s="111">
        <v>2166</v>
      </c>
      <c r="M42" s="111">
        <v>2152</v>
      </c>
      <c r="N42" s="111">
        <v>1587</v>
      </c>
      <c r="O42" s="111">
        <v>1292</v>
      </c>
      <c r="P42" s="111">
        <v>1656</v>
      </c>
      <c r="Q42" s="111">
        <v>1003</v>
      </c>
      <c r="R42" s="267">
        <v>2320</v>
      </c>
    </row>
    <row r="43" spans="1:18" s="103" customFormat="1" ht="15.6" x14ac:dyDescent="0.3">
      <c r="A43" s="129" t="s">
        <v>25</v>
      </c>
      <c r="B43" s="123" t="s">
        <v>74</v>
      </c>
      <c r="C43" s="111" t="s">
        <v>74</v>
      </c>
      <c r="D43" s="111" t="s">
        <v>74</v>
      </c>
      <c r="E43" s="111" t="s">
        <v>74</v>
      </c>
      <c r="F43" s="111" t="s">
        <v>74</v>
      </c>
      <c r="G43" s="111" t="s">
        <v>74</v>
      </c>
      <c r="H43" s="111" t="s">
        <v>74</v>
      </c>
      <c r="I43" s="111" t="s">
        <v>74</v>
      </c>
      <c r="J43" s="111">
        <v>4760</v>
      </c>
      <c r="K43" s="111">
        <v>5253</v>
      </c>
      <c r="L43" s="111">
        <v>5640</v>
      </c>
      <c r="M43" s="111">
        <v>9765</v>
      </c>
      <c r="N43" s="111">
        <v>4943</v>
      </c>
      <c r="O43" s="111">
        <v>5987</v>
      </c>
      <c r="P43" s="111">
        <v>2590</v>
      </c>
      <c r="Q43" s="111">
        <v>3202</v>
      </c>
      <c r="R43" s="279" t="s">
        <v>74</v>
      </c>
    </row>
    <row r="44" spans="1:18" s="103" customFormat="1" ht="15.6" x14ac:dyDescent="0.3">
      <c r="A44" s="129" t="s">
        <v>26</v>
      </c>
      <c r="B44" s="123" t="s">
        <v>74</v>
      </c>
      <c r="C44" s="111" t="s">
        <v>74</v>
      </c>
      <c r="D44" s="111" t="s">
        <v>74</v>
      </c>
      <c r="E44" s="111" t="s">
        <v>74</v>
      </c>
      <c r="F44" s="111" t="s">
        <v>74</v>
      </c>
      <c r="G44" s="111" t="s">
        <v>74</v>
      </c>
      <c r="H44" s="111" t="s">
        <v>74</v>
      </c>
      <c r="I44" s="110">
        <v>6</v>
      </c>
      <c r="J44" s="111">
        <v>5676</v>
      </c>
      <c r="K44" s="111">
        <v>6277</v>
      </c>
      <c r="L44" s="111">
        <v>6329</v>
      </c>
      <c r="M44" s="111">
        <v>4259</v>
      </c>
      <c r="N44" s="111">
        <v>6859</v>
      </c>
      <c r="O44" s="111">
        <v>7041</v>
      </c>
      <c r="P44" s="111">
        <v>2982</v>
      </c>
      <c r="Q44" s="111">
        <v>6220</v>
      </c>
      <c r="R44" s="280" t="s">
        <v>74</v>
      </c>
    </row>
    <row r="45" spans="1:18" s="103" customFormat="1" ht="15.6" x14ac:dyDescent="0.3">
      <c r="A45" s="129" t="s">
        <v>27</v>
      </c>
      <c r="B45" s="123" t="s">
        <v>74</v>
      </c>
      <c r="C45" s="111" t="s">
        <v>74</v>
      </c>
      <c r="D45" s="111" t="s">
        <v>74</v>
      </c>
      <c r="E45" s="111" t="s">
        <v>74</v>
      </c>
      <c r="F45" s="111" t="s">
        <v>74</v>
      </c>
      <c r="G45" s="111" t="s">
        <v>74</v>
      </c>
      <c r="H45" s="111" t="s">
        <v>74</v>
      </c>
      <c r="I45" s="111">
        <v>60</v>
      </c>
      <c r="J45" s="111">
        <v>8357</v>
      </c>
      <c r="K45" s="111">
        <v>8014</v>
      </c>
      <c r="L45" s="111">
        <v>8780</v>
      </c>
      <c r="M45" s="111">
        <v>8393</v>
      </c>
      <c r="N45" s="111">
        <v>9491</v>
      </c>
      <c r="O45" s="111">
        <v>10876</v>
      </c>
      <c r="P45" s="111">
        <v>3602</v>
      </c>
      <c r="Q45" s="111">
        <v>7171</v>
      </c>
      <c r="R45" s="280" t="s">
        <v>74</v>
      </c>
    </row>
    <row r="46" spans="1:18" s="103" customFormat="1" ht="15.6" x14ac:dyDescent="0.3">
      <c r="A46" s="129" t="s">
        <v>28</v>
      </c>
      <c r="B46" s="123" t="s">
        <v>74</v>
      </c>
      <c r="C46" s="111" t="s">
        <v>74</v>
      </c>
      <c r="D46" s="111" t="s">
        <v>74</v>
      </c>
      <c r="E46" s="111" t="s">
        <v>74</v>
      </c>
      <c r="F46" s="111" t="s">
        <v>74</v>
      </c>
      <c r="G46" s="111" t="s">
        <v>74</v>
      </c>
      <c r="H46" s="111" t="s">
        <v>74</v>
      </c>
      <c r="I46" s="111">
        <v>25</v>
      </c>
      <c r="J46" s="111">
        <v>6097</v>
      </c>
      <c r="K46" s="111">
        <v>6346</v>
      </c>
      <c r="L46" s="111">
        <v>6425</v>
      </c>
      <c r="M46" s="111">
        <v>6761</v>
      </c>
      <c r="N46" s="111">
        <v>5851</v>
      </c>
      <c r="O46" s="111">
        <v>7624</v>
      </c>
      <c r="P46" s="111">
        <v>3043</v>
      </c>
      <c r="Q46" s="111">
        <v>4027</v>
      </c>
      <c r="R46" s="280" t="s">
        <v>74</v>
      </c>
    </row>
    <row r="47" spans="1:18" s="103" customFormat="1" ht="15.6" x14ac:dyDescent="0.3">
      <c r="A47" s="129" t="s">
        <v>29</v>
      </c>
      <c r="B47" s="123" t="s">
        <v>74</v>
      </c>
      <c r="C47" s="111" t="s">
        <v>74</v>
      </c>
      <c r="D47" s="111" t="s">
        <v>74</v>
      </c>
      <c r="E47" s="111" t="s">
        <v>74</v>
      </c>
      <c r="F47" s="111" t="s">
        <v>74</v>
      </c>
      <c r="G47" s="111" t="s">
        <v>74</v>
      </c>
      <c r="H47" s="111" t="s">
        <v>74</v>
      </c>
      <c r="I47" s="111">
        <v>16287</v>
      </c>
      <c r="J47" s="111">
        <v>555</v>
      </c>
      <c r="K47" s="111">
        <v>1050</v>
      </c>
      <c r="L47" s="111">
        <v>1074</v>
      </c>
      <c r="M47" s="111">
        <v>1644</v>
      </c>
      <c r="N47" s="111">
        <v>1895</v>
      </c>
      <c r="O47" s="111">
        <v>4697</v>
      </c>
      <c r="P47" s="111">
        <v>918</v>
      </c>
      <c r="Q47" s="111">
        <v>1151</v>
      </c>
      <c r="R47" s="280" t="s">
        <v>74</v>
      </c>
    </row>
    <row r="48" spans="1:18" s="103" customFormat="1" ht="16.2" thickBot="1" x14ac:dyDescent="0.35">
      <c r="A48" s="130" t="s">
        <v>30</v>
      </c>
      <c r="B48" s="124" t="s">
        <v>74</v>
      </c>
      <c r="C48" s="119" t="s">
        <v>74</v>
      </c>
      <c r="D48" s="119" t="s">
        <v>74</v>
      </c>
      <c r="E48" s="119" t="s">
        <v>74</v>
      </c>
      <c r="F48" s="119" t="s">
        <v>74</v>
      </c>
      <c r="G48" s="119" t="s">
        <v>74</v>
      </c>
      <c r="H48" s="120" t="s">
        <v>74</v>
      </c>
      <c r="I48" s="120">
        <v>114</v>
      </c>
      <c r="J48" s="120">
        <v>48</v>
      </c>
      <c r="K48" s="120">
        <v>164</v>
      </c>
      <c r="L48" s="120">
        <v>219</v>
      </c>
      <c r="M48" s="120">
        <v>156</v>
      </c>
      <c r="N48" s="120">
        <v>225</v>
      </c>
      <c r="O48" s="120">
        <v>1047</v>
      </c>
      <c r="P48" s="120">
        <v>221</v>
      </c>
      <c r="Q48" s="120">
        <v>106</v>
      </c>
      <c r="R48" s="281" t="s">
        <v>74</v>
      </c>
    </row>
    <row r="49" spans="1:18" s="103" customFormat="1" ht="16.2" thickTop="1" x14ac:dyDescent="0.25">
      <c r="A49" s="127" t="s">
        <v>8</v>
      </c>
      <c r="B49" s="125" t="s">
        <v>74</v>
      </c>
      <c r="C49" s="117" t="s">
        <v>74</v>
      </c>
      <c r="D49" s="117" t="s">
        <v>74</v>
      </c>
      <c r="E49" s="117" t="s">
        <v>74</v>
      </c>
      <c r="F49" s="117" t="s">
        <v>74</v>
      </c>
      <c r="G49" s="117" t="s">
        <v>74</v>
      </c>
      <c r="H49" s="117" t="s">
        <v>74</v>
      </c>
      <c r="I49" s="118">
        <f t="shared" ref="I49:P49" si="4">SUM(I37:I48)</f>
        <v>16492</v>
      </c>
      <c r="J49" s="118">
        <f t="shared" si="4"/>
        <v>47733</v>
      </c>
      <c r="K49" s="118">
        <f t="shared" si="4"/>
        <v>48522</v>
      </c>
      <c r="L49" s="118">
        <f t="shared" si="4"/>
        <v>49015</v>
      </c>
      <c r="M49" s="118">
        <f t="shared" si="4"/>
        <v>49103</v>
      </c>
      <c r="N49" s="118">
        <f t="shared" si="4"/>
        <v>45983</v>
      </c>
      <c r="O49" s="118">
        <f t="shared" si="4"/>
        <v>52045</v>
      </c>
      <c r="P49" s="118">
        <f t="shared" si="4"/>
        <v>34761</v>
      </c>
      <c r="Q49" s="118">
        <f t="shared" ref="Q49:R49" si="5">SUM(Q37:Q48)</f>
        <v>41685</v>
      </c>
      <c r="R49" s="268">
        <f t="shared" si="5"/>
        <v>23531</v>
      </c>
    </row>
    <row r="50" spans="1:18" s="108" customFormat="1" ht="6.6" x14ac:dyDescent="0.25">
      <c r="A50" s="328" t="s">
        <v>84</v>
      </c>
      <c r="B50" s="328"/>
      <c r="C50" s="328"/>
      <c r="D50" s="328"/>
      <c r="E50" s="328"/>
      <c r="F50" s="328"/>
      <c r="G50" s="328"/>
      <c r="H50" s="328"/>
      <c r="I50" s="328"/>
      <c r="J50" s="328"/>
      <c r="K50" s="328"/>
      <c r="L50" s="328"/>
      <c r="M50" s="328"/>
      <c r="N50" s="328"/>
      <c r="O50" s="328"/>
      <c r="P50" s="328"/>
      <c r="Q50" s="328"/>
      <c r="R50" s="328"/>
    </row>
    <row r="51" spans="1:18" x14ac:dyDescent="0.25">
      <c r="A51" s="329" t="s">
        <v>82</v>
      </c>
      <c r="B51" s="329"/>
      <c r="C51" s="329"/>
      <c r="D51" s="329"/>
      <c r="E51" s="329"/>
      <c r="F51" s="329"/>
      <c r="G51" s="329"/>
      <c r="H51" s="329"/>
      <c r="I51" s="329"/>
      <c r="J51" s="329"/>
      <c r="K51" s="329"/>
      <c r="L51" s="329"/>
      <c r="M51" s="329"/>
      <c r="N51" s="329"/>
      <c r="O51" s="329"/>
      <c r="P51" s="329"/>
      <c r="Q51" s="329"/>
      <c r="R51" s="329"/>
    </row>
    <row r="52" spans="1:18" x14ac:dyDescent="0.25">
      <c r="A52" s="323" t="str">
        <f>'Lod&amp;Liq'!A64:F64</f>
        <v>Source:  Minnesota Department of Revenue, Tax Research Division, February 2021</v>
      </c>
      <c r="B52" s="323"/>
      <c r="C52" s="323"/>
      <c r="D52" s="323"/>
      <c r="E52" s="323"/>
      <c r="F52" s="323"/>
      <c r="G52" s="323"/>
      <c r="H52" s="323"/>
      <c r="I52" s="323"/>
      <c r="J52" s="323"/>
      <c r="K52" s="323"/>
      <c r="L52" s="323"/>
      <c r="M52" s="323"/>
      <c r="N52" s="323"/>
      <c r="O52" s="323"/>
      <c r="P52" s="323"/>
      <c r="Q52" s="323"/>
      <c r="R52" s="323"/>
    </row>
    <row r="53" spans="1:18" x14ac:dyDescent="0.25">
      <c r="A53" s="324" t="s">
        <v>73</v>
      </c>
      <c r="B53" s="324"/>
      <c r="C53" s="324"/>
      <c r="D53" s="324"/>
      <c r="E53" s="324"/>
      <c r="F53" s="324"/>
      <c r="G53" s="324"/>
      <c r="H53" s="324"/>
      <c r="I53" s="324"/>
      <c r="J53" s="324"/>
      <c r="K53" s="324"/>
      <c r="L53" s="324"/>
      <c r="M53" s="324"/>
      <c r="N53" s="324"/>
      <c r="O53" s="324"/>
      <c r="P53" s="324"/>
      <c r="Q53" s="324"/>
      <c r="R53" s="324"/>
    </row>
  </sheetData>
  <mergeCells count="11">
    <mergeCell ref="A52:R52"/>
    <mergeCell ref="A53:R53"/>
    <mergeCell ref="A1:R1"/>
    <mergeCell ref="A2:R2"/>
    <mergeCell ref="A3:R3"/>
    <mergeCell ref="A18:R18"/>
    <mergeCell ref="A19:R19"/>
    <mergeCell ref="A34:R34"/>
    <mergeCell ref="A35:R35"/>
    <mergeCell ref="A50:R50"/>
    <mergeCell ref="A51:R51"/>
  </mergeCells>
  <pageMargins left="0.6" right="0.25" top="0.75" bottom="0.75" header="0.3" footer="0.3"/>
  <pageSetup scale="82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>
    <pageSetUpPr fitToPage="1"/>
  </sheetPr>
  <dimension ref="A1:R37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RowHeight="13.8" x14ac:dyDescent="0.25"/>
  <cols>
    <col min="1" max="1" width="12.5546875" style="107" customWidth="1"/>
    <col min="2" max="6" width="13.5546875" style="104" hidden="1" customWidth="1"/>
    <col min="7" max="18" width="13.5546875" style="104" customWidth="1"/>
    <col min="19" max="16384" width="8.88671875" style="104"/>
  </cols>
  <sheetData>
    <row r="1" spans="1:18" s="101" customFormat="1" ht="21" x14ac:dyDescent="0.25">
      <c r="A1" s="325" t="s">
        <v>85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3" t="s">
        <v>31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4">
        <v>5736</v>
      </c>
      <c r="I5" s="114">
        <v>5736</v>
      </c>
      <c r="J5" s="114">
        <v>5456</v>
      </c>
      <c r="K5" s="114">
        <v>5405</v>
      </c>
      <c r="L5" s="114">
        <v>1994</v>
      </c>
      <c r="M5" s="114">
        <v>2802</v>
      </c>
      <c r="N5" s="114">
        <v>3433</v>
      </c>
      <c r="O5" s="114">
        <v>3123</v>
      </c>
      <c r="P5" s="114">
        <v>3293</v>
      </c>
      <c r="Q5" s="114">
        <v>2845</v>
      </c>
      <c r="R5" s="266">
        <v>4152</v>
      </c>
    </row>
    <row r="6" spans="1:18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>
        <v>5814</v>
      </c>
      <c r="I6" s="111">
        <v>4423</v>
      </c>
      <c r="J6" s="111">
        <v>4682</v>
      </c>
      <c r="K6" s="111">
        <v>5238</v>
      </c>
      <c r="L6" s="111">
        <v>1743</v>
      </c>
      <c r="M6" s="111">
        <v>2759</v>
      </c>
      <c r="N6" s="111">
        <v>2483</v>
      </c>
      <c r="O6" s="111">
        <v>2304</v>
      </c>
      <c r="P6" s="111">
        <v>2669</v>
      </c>
      <c r="Q6" s="111">
        <v>2629</v>
      </c>
      <c r="R6" s="267">
        <v>2611</v>
      </c>
    </row>
    <row r="7" spans="1:18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>
        <v>4732</v>
      </c>
      <c r="I7" s="111">
        <v>4736</v>
      </c>
      <c r="J7" s="111">
        <v>5315</v>
      </c>
      <c r="K7" s="111">
        <v>5357</v>
      </c>
      <c r="L7" s="111">
        <v>1667</v>
      </c>
      <c r="M7" s="111">
        <v>2584</v>
      </c>
      <c r="N7" s="111">
        <v>2899</v>
      </c>
      <c r="O7" s="111">
        <v>1810</v>
      </c>
      <c r="P7" s="111">
        <v>2068</v>
      </c>
      <c r="Q7" s="111">
        <v>1996</v>
      </c>
      <c r="R7" s="267">
        <v>2664</v>
      </c>
    </row>
    <row r="8" spans="1:18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>
        <v>7091</v>
      </c>
      <c r="I8" s="111">
        <v>6029</v>
      </c>
      <c r="J8" s="111">
        <v>5901</v>
      </c>
      <c r="K8" s="111">
        <v>6052</v>
      </c>
      <c r="L8" s="111">
        <v>1443</v>
      </c>
      <c r="M8" s="111">
        <v>890</v>
      </c>
      <c r="N8" s="111">
        <v>1426</v>
      </c>
      <c r="O8" s="111">
        <v>2931</v>
      </c>
      <c r="P8" s="111">
        <v>2465</v>
      </c>
      <c r="Q8" s="111">
        <v>4772</v>
      </c>
      <c r="R8" s="267">
        <v>1208</v>
      </c>
    </row>
    <row r="9" spans="1:18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36">
        <v>4215</v>
      </c>
      <c r="H9" s="111">
        <v>4359</v>
      </c>
      <c r="I9" s="111">
        <v>4852</v>
      </c>
      <c r="J9" s="111">
        <v>8073</v>
      </c>
      <c r="K9" s="111">
        <v>4404</v>
      </c>
      <c r="L9" s="111">
        <v>1209</v>
      </c>
      <c r="M9" s="111">
        <v>1629</v>
      </c>
      <c r="N9" s="111">
        <v>939</v>
      </c>
      <c r="O9" s="111">
        <v>4409</v>
      </c>
      <c r="P9" s="111">
        <v>1615</v>
      </c>
      <c r="Q9" s="111">
        <v>2600</v>
      </c>
      <c r="R9" s="267">
        <v>96</v>
      </c>
    </row>
    <row r="10" spans="1:18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2">
        <v>4928</v>
      </c>
      <c r="H10" s="111">
        <v>4633</v>
      </c>
      <c r="I10" s="111">
        <v>4770</v>
      </c>
      <c r="J10" s="111">
        <v>4645</v>
      </c>
      <c r="K10" s="111">
        <v>5387</v>
      </c>
      <c r="L10" s="111">
        <v>1288</v>
      </c>
      <c r="M10" s="111">
        <v>1904</v>
      </c>
      <c r="N10" s="111">
        <v>3604</v>
      </c>
      <c r="O10" s="111">
        <v>2921</v>
      </c>
      <c r="P10" s="111">
        <v>3015</v>
      </c>
      <c r="Q10" s="111">
        <v>2881</v>
      </c>
      <c r="R10" s="267">
        <v>20</v>
      </c>
    </row>
    <row r="11" spans="1:18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2">
        <v>5045</v>
      </c>
      <c r="H11" s="111">
        <v>4539</v>
      </c>
      <c r="I11" s="111">
        <v>3836</v>
      </c>
      <c r="J11" s="111">
        <v>3629</v>
      </c>
      <c r="K11" s="111">
        <v>4477</v>
      </c>
      <c r="L11" s="111">
        <v>1828</v>
      </c>
      <c r="M11" s="111">
        <v>5054</v>
      </c>
      <c r="N11" s="111">
        <v>1584</v>
      </c>
      <c r="O11" s="111">
        <v>2100</v>
      </c>
      <c r="P11" s="111">
        <v>3809</v>
      </c>
      <c r="Q11" s="111">
        <v>5484</v>
      </c>
      <c r="R11" s="279" t="s">
        <v>74</v>
      </c>
    </row>
    <row r="12" spans="1:18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2">
        <v>2344</v>
      </c>
      <c r="H12" s="111">
        <v>4801</v>
      </c>
      <c r="I12" s="111">
        <v>5893</v>
      </c>
      <c r="J12" s="111">
        <v>9107</v>
      </c>
      <c r="K12" s="111">
        <v>4077</v>
      </c>
      <c r="L12" s="111">
        <v>2438</v>
      </c>
      <c r="M12" s="111">
        <v>2733</v>
      </c>
      <c r="N12" s="111">
        <v>3547</v>
      </c>
      <c r="O12" s="111">
        <v>3483</v>
      </c>
      <c r="P12" s="111">
        <v>3458</v>
      </c>
      <c r="Q12" s="111">
        <v>4983</v>
      </c>
      <c r="R12" s="280" t="s">
        <v>74</v>
      </c>
    </row>
    <row r="13" spans="1:18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2">
        <v>3516</v>
      </c>
      <c r="H13" s="111">
        <v>5851</v>
      </c>
      <c r="I13" s="111">
        <v>5529</v>
      </c>
      <c r="J13" s="111">
        <v>5591</v>
      </c>
      <c r="K13" s="111">
        <v>2329</v>
      </c>
      <c r="L13" s="111">
        <v>4174</v>
      </c>
      <c r="M13" s="111">
        <v>4593</v>
      </c>
      <c r="N13" s="111">
        <v>4480</v>
      </c>
      <c r="O13" s="111">
        <v>2938</v>
      </c>
      <c r="P13" s="111">
        <v>3246</v>
      </c>
      <c r="Q13" s="111">
        <v>3905</v>
      </c>
      <c r="R13" s="280" t="s">
        <v>74</v>
      </c>
    </row>
    <row r="14" spans="1:18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2">
        <v>5956</v>
      </c>
      <c r="H14" s="111">
        <v>5162</v>
      </c>
      <c r="I14" s="111">
        <v>6403</v>
      </c>
      <c r="J14" s="111">
        <v>7306</v>
      </c>
      <c r="K14" s="111">
        <v>1454</v>
      </c>
      <c r="L14" s="111">
        <v>1818</v>
      </c>
      <c r="M14" s="111">
        <v>4464</v>
      </c>
      <c r="N14" s="111">
        <v>1044</v>
      </c>
      <c r="O14" s="111">
        <v>2545</v>
      </c>
      <c r="P14" s="111">
        <v>1902</v>
      </c>
      <c r="Q14" s="111">
        <v>2583</v>
      </c>
      <c r="R14" s="280" t="s">
        <v>74</v>
      </c>
    </row>
    <row r="15" spans="1:18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2">
        <v>4918</v>
      </c>
      <c r="H15" s="111">
        <v>4823</v>
      </c>
      <c r="I15" s="111">
        <v>4657</v>
      </c>
      <c r="J15" s="111">
        <v>6121</v>
      </c>
      <c r="K15" s="111">
        <v>1872</v>
      </c>
      <c r="L15" s="111">
        <v>3346</v>
      </c>
      <c r="M15" s="111">
        <v>3400</v>
      </c>
      <c r="N15" s="111">
        <v>3133</v>
      </c>
      <c r="O15" s="111">
        <v>2648</v>
      </c>
      <c r="P15" s="111">
        <v>2306</v>
      </c>
      <c r="Q15" s="111">
        <v>7195</v>
      </c>
      <c r="R15" s="280" t="s">
        <v>74</v>
      </c>
    </row>
    <row r="16" spans="1:18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19">
        <v>4789</v>
      </c>
      <c r="H16" s="120">
        <v>4695</v>
      </c>
      <c r="I16" s="120">
        <v>4829</v>
      </c>
      <c r="J16" s="120">
        <v>5168</v>
      </c>
      <c r="K16" s="120">
        <v>2185</v>
      </c>
      <c r="L16" s="120">
        <v>2089</v>
      </c>
      <c r="M16" s="120">
        <v>2462</v>
      </c>
      <c r="N16" s="120">
        <v>2223</v>
      </c>
      <c r="O16" s="120">
        <v>2685</v>
      </c>
      <c r="P16" s="120">
        <v>2803</v>
      </c>
      <c r="Q16" s="120">
        <v>3008</v>
      </c>
      <c r="R16" s="281" t="s">
        <v>74</v>
      </c>
    </row>
    <row r="17" spans="1:18" s="103" customFormat="1" ht="16.2" thickTop="1" x14ac:dyDescent="0.25">
      <c r="A17" s="127" t="s">
        <v>8</v>
      </c>
      <c r="B17" s="134" t="s">
        <v>74</v>
      </c>
      <c r="C17" s="135" t="s">
        <v>74</v>
      </c>
      <c r="D17" s="135" t="s">
        <v>74</v>
      </c>
      <c r="E17" s="135" t="s">
        <v>74</v>
      </c>
      <c r="F17" s="117" t="s">
        <v>74</v>
      </c>
      <c r="G17" s="118">
        <f t="shared" ref="G17:P17" si="0">SUM(G5:G16)</f>
        <v>35711</v>
      </c>
      <c r="H17" s="118">
        <f t="shared" si="0"/>
        <v>62236</v>
      </c>
      <c r="I17" s="118">
        <f t="shared" si="0"/>
        <v>61693</v>
      </c>
      <c r="J17" s="118">
        <f t="shared" si="0"/>
        <v>70994</v>
      </c>
      <c r="K17" s="118">
        <f t="shared" si="0"/>
        <v>48237</v>
      </c>
      <c r="L17" s="118">
        <f t="shared" si="0"/>
        <v>25037</v>
      </c>
      <c r="M17" s="118">
        <f t="shared" si="0"/>
        <v>35274</v>
      </c>
      <c r="N17" s="118">
        <f t="shared" si="0"/>
        <v>30795</v>
      </c>
      <c r="O17" s="118">
        <f t="shared" si="0"/>
        <v>33897</v>
      </c>
      <c r="P17" s="118">
        <f t="shared" si="0"/>
        <v>32649</v>
      </c>
      <c r="Q17" s="118">
        <f t="shared" ref="Q17:R17" si="1">SUM(Q5:Q16)</f>
        <v>44881</v>
      </c>
      <c r="R17" s="268">
        <f t="shared" si="1"/>
        <v>10751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s="102" customFormat="1" ht="18" x14ac:dyDescent="0.25">
      <c r="A19" s="333" t="s">
        <v>128</v>
      </c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</row>
    <row r="20" spans="1:18" s="103" customFormat="1" ht="15.6" x14ac:dyDescent="0.25">
      <c r="A20" s="126" t="s">
        <v>18</v>
      </c>
      <c r="B20" s="121">
        <v>2004</v>
      </c>
      <c r="C20" s="115">
        <v>2005</v>
      </c>
      <c r="D20" s="115">
        <v>2006</v>
      </c>
      <c r="E20" s="115">
        <v>2007</v>
      </c>
      <c r="F20" s="115">
        <v>2008</v>
      </c>
      <c r="G20" s="115">
        <v>2009</v>
      </c>
      <c r="H20" s="115">
        <v>2010</v>
      </c>
      <c r="I20" s="115">
        <v>2011</v>
      </c>
      <c r="J20" s="116">
        <v>2012</v>
      </c>
      <c r="K20" s="116">
        <v>2013</v>
      </c>
      <c r="L20" s="116">
        <v>2014</v>
      </c>
      <c r="M20" s="116">
        <v>2015</v>
      </c>
      <c r="N20" s="116">
        <v>2016</v>
      </c>
      <c r="O20" s="116">
        <v>2017</v>
      </c>
      <c r="P20" s="116">
        <v>2018</v>
      </c>
      <c r="Q20" s="116">
        <v>2019</v>
      </c>
      <c r="R20" s="265">
        <v>2020</v>
      </c>
    </row>
    <row r="21" spans="1:18" s="103" customFormat="1" ht="15.6" x14ac:dyDescent="0.25">
      <c r="A21" s="128" t="s">
        <v>19</v>
      </c>
      <c r="B21" s="122" t="s">
        <v>74</v>
      </c>
      <c r="C21" s="113" t="s">
        <v>74</v>
      </c>
      <c r="D21" s="113" t="s">
        <v>74</v>
      </c>
      <c r="E21" s="113" t="s">
        <v>74</v>
      </c>
      <c r="F21" s="113" t="s">
        <v>74</v>
      </c>
      <c r="G21" s="113" t="s">
        <v>74</v>
      </c>
      <c r="H21" s="114">
        <v>39570</v>
      </c>
      <c r="I21" s="114">
        <v>39179</v>
      </c>
      <c r="J21" s="114">
        <v>44640</v>
      </c>
      <c r="K21" s="114">
        <v>49577</v>
      </c>
      <c r="L21" s="114">
        <v>51295</v>
      </c>
      <c r="M21" s="114">
        <v>59967</v>
      </c>
      <c r="N21" s="114">
        <v>61436</v>
      </c>
      <c r="O21" s="114">
        <v>63572</v>
      </c>
      <c r="P21" s="114">
        <v>60631</v>
      </c>
      <c r="Q21" s="114">
        <v>66970</v>
      </c>
      <c r="R21" s="266">
        <v>69815</v>
      </c>
    </row>
    <row r="22" spans="1:18" s="103" customFormat="1" ht="15.6" x14ac:dyDescent="0.25">
      <c r="A22" s="129" t="s">
        <v>20</v>
      </c>
      <c r="B22" s="123" t="s">
        <v>74</v>
      </c>
      <c r="C22" s="111" t="s">
        <v>74</v>
      </c>
      <c r="D22" s="111" t="s">
        <v>74</v>
      </c>
      <c r="E22" s="111" t="s">
        <v>74</v>
      </c>
      <c r="F22" s="111" t="s">
        <v>74</v>
      </c>
      <c r="G22" s="111" t="s">
        <v>74</v>
      </c>
      <c r="H22" s="111">
        <v>36437</v>
      </c>
      <c r="I22" s="111">
        <v>38937</v>
      </c>
      <c r="J22" s="111">
        <v>41238</v>
      </c>
      <c r="K22" s="111">
        <v>43665</v>
      </c>
      <c r="L22" s="111">
        <v>79668</v>
      </c>
      <c r="M22" s="111">
        <v>59347</v>
      </c>
      <c r="N22" s="111">
        <v>56020</v>
      </c>
      <c r="O22" s="111">
        <v>55821</v>
      </c>
      <c r="P22" s="111">
        <v>54667</v>
      </c>
      <c r="Q22" s="111">
        <v>55429</v>
      </c>
      <c r="R22" s="267">
        <v>57910</v>
      </c>
    </row>
    <row r="23" spans="1:18" s="103" customFormat="1" ht="15.6" x14ac:dyDescent="0.25">
      <c r="A23" s="129" t="s">
        <v>21</v>
      </c>
      <c r="B23" s="123" t="s">
        <v>74</v>
      </c>
      <c r="C23" s="111" t="s">
        <v>74</v>
      </c>
      <c r="D23" s="111" t="s">
        <v>74</v>
      </c>
      <c r="E23" s="111" t="s">
        <v>74</v>
      </c>
      <c r="F23" s="111" t="s">
        <v>74</v>
      </c>
      <c r="G23" s="111" t="s">
        <v>74</v>
      </c>
      <c r="H23" s="111">
        <v>37141</v>
      </c>
      <c r="I23" s="111">
        <v>39069</v>
      </c>
      <c r="J23" s="111">
        <v>42570</v>
      </c>
      <c r="K23" s="111">
        <v>44206</v>
      </c>
      <c r="L23" s="111">
        <v>106851</v>
      </c>
      <c r="M23" s="111">
        <v>71820</v>
      </c>
      <c r="N23" s="111">
        <v>54929</v>
      </c>
      <c r="O23" s="111">
        <v>59033</v>
      </c>
      <c r="P23" s="111">
        <v>55103</v>
      </c>
      <c r="Q23" s="111">
        <v>51106</v>
      </c>
      <c r="R23" s="267">
        <v>60897</v>
      </c>
    </row>
    <row r="24" spans="1:18" s="103" customFormat="1" ht="15.6" x14ac:dyDescent="0.25">
      <c r="A24" s="129" t="s">
        <v>22</v>
      </c>
      <c r="B24" s="123" t="s">
        <v>74</v>
      </c>
      <c r="C24" s="111" t="s">
        <v>74</v>
      </c>
      <c r="D24" s="111" t="s">
        <v>74</v>
      </c>
      <c r="E24" s="111" t="s">
        <v>74</v>
      </c>
      <c r="F24" s="111" t="s">
        <v>74</v>
      </c>
      <c r="G24" s="111" t="s">
        <v>74</v>
      </c>
      <c r="H24" s="111">
        <v>41061</v>
      </c>
      <c r="I24" s="111">
        <v>43994</v>
      </c>
      <c r="J24" s="111">
        <v>55626</v>
      </c>
      <c r="K24" s="111">
        <v>50764</v>
      </c>
      <c r="L24" s="111">
        <v>57331</v>
      </c>
      <c r="M24" s="111">
        <v>58920</v>
      </c>
      <c r="N24" s="111">
        <v>59619</v>
      </c>
      <c r="O24" s="111">
        <v>62708</v>
      </c>
      <c r="P24" s="111">
        <v>63958</v>
      </c>
      <c r="Q24" s="111">
        <v>66192</v>
      </c>
      <c r="R24" s="267">
        <v>45296</v>
      </c>
    </row>
    <row r="25" spans="1:18" s="103" customFormat="1" ht="15.6" x14ac:dyDescent="0.25">
      <c r="A25" s="129" t="s">
        <v>23</v>
      </c>
      <c r="B25" s="123" t="s">
        <v>74</v>
      </c>
      <c r="C25" s="111" t="s">
        <v>74</v>
      </c>
      <c r="D25" s="111" t="s">
        <v>74</v>
      </c>
      <c r="E25" s="111" t="s">
        <v>74</v>
      </c>
      <c r="F25" s="111" t="s">
        <v>74</v>
      </c>
      <c r="G25" s="136">
        <v>36284</v>
      </c>
      <c r="H25" s="111">
        <v>38915</v>
      </c>
      <c r="I25" s="111">
        <v>43988</v>
      </c>
      <c r="J25" s="111">
        <v>45420</v>
      </c>
      <c r="K25" s="111">
        <v>48374</v>
      </c>
      <c r="L25" s="111">
        <v>54114</v>
      </c>
      <c r="M25" s="111">
        <v>70536</v>
      </c>
      <c r="N25" s="111">
        <v>61929</v>
      </c>
      <c r="O25" s="111">
        <v>63254</v>
      </c>
      <c r="P25" s="111">
        <v>56649</v>
      </c>
      <c r="Q25" s="111">
        <v>62672</v>
      </c>
      <c r="R25" s="267">
        <v>30651</v>
      </c>
    </row>
    <row r="26" spans="1:18" s="103" customFormat="1" ht="15.6" x14ac:dyDescent="0.25">
      <c r="A26" s="129" t="s">
        <v>24</v>
      </c>
      <c r="B26" s="123" t="s">
        <v>74</v>
      </c>
      <c r="C26" s="111" t="s">
        <v>74</v>
      </c>
      <c r="D26" s="111" t="s">
        <v>74</v>
      </c>
      <c r="E26" s="111" t="s">
        <v>74</v>
      </c>
      <c r="F26" s="111" t="s">
        <v>74</v>
      </c>
      <c r="G26" s="112">
        <v>38270</v>
      </c>
      <c r="H26" s="111">
        <v>39179</v>
      </c>
      <c r="I26" s="111">
        <v>40767</v>
      </c>
      <c r="J26" s="111">
        <v>44154</v>
      </c>
      <c r="K26" s="111">
        <v>46531</v>
      </c>
      <c r="L26" s="111">
        <v>59388</v>
      </c>
      <c r="M26" s="111">
        <v>58119</v>
      </c>
      <c r="N26" s="111">
        <v>57610</v>
      </c>
      <c r="O26" s="111">
        <v>60583</v>
      </c>
      <c r="P26" s="111">
        <v>57701</v>
      </c>
      <c r="Q26" s="111">
        <v>62803</v>
      </c>
      <c r="R26" s="267">
        <v>39408</v>
      </c>
    </row>
    <row r="27" spans="1:18" s="103" customFormat="1" ht="15.6" x14ac:dyDescent="0.3">
      <c r="A27" s="129" t="s">
        <v>25</v>
      </c>
      <c r="B27" s="123" t="s">
        <v>74</v>
      </c>
      <c r="C27" s="111" t="s">
        <v>74</v>
      </c>
      <c r="D27" s="111" t="s">
        <v>74</v>
      </c>
      <c r="E27" s="111" t="s">
        <v>74</v>
      </c>
      <c r="F27" s="111" t="s">
        <v>74</v>
      </c>
      <c r="G27" s="112">
        <v>33618</v>
      </c>
      <c r="H27" s="111">
        <v>35198</v>
      </c>
      <c r="I27" s="111">
        <v>36557</v>
      </c>
      <c r="J27" s="111">
        <v>34034</v>
      </c>
      <c r="K27" s="111">
        <v>39889</v>
      </c>
      <c r="L27" s="111">
        <v>45556</v>
      </c>
      <c r="M27" s="111">
        <v>45884</v>
      </c>
      <c r="N27" s="111">
        <v>51232</v>
      </c>
      <c r="O27" s="111">
        <v>57743</v>
      </c>
      <c r="P27" s="111">
        <v>55081</v>
      </c>
      <c r="Q27" s="111">
        <v>57048</v>
      </c>
      <c r="R27" s="279" t="s">
        <v>74</v>
      </c>
    </row>
    <row r="28" spans="1:18" s="103" customFormat="1" ht="15.6" x14ac:dyDescent="0.3">
      <c r="A28" s="129" t="s">
        <v>26</v>
      </c>
      <c r="B28" s="123" t="s">
        <v>74</v>
      </c>
      <c r="C28" s="111" t="s">
        <v>74</v>
      </c>
      <c r="D28" s="111" t="s">
        <v>74</v>
      </c>
      <c r="E28" s="111" t="s">
        <v>74</v>
      </c>
      <c r="F28" s="111" t="s">
        <v>74</v>
      </c>
      <c r="G28" s="112">
        <v>40674</v>
      </c>
      <c r="H28" s="111">
        <v>40403</v>
      </c>
      <c r="I28" s="111">
        <v>42080</v>
      </c>
      <c r="J28" s="111">
        <v>52934</v>
      </c>
      <c r="K28" s="111">
        <v>53967</v>
      </c>
      <c r="L28" s="111">
        <v>54859</v>
      </c>
      <c r="M28" s="111">
        <v>62737</v>
      </c>
      <c r="N28" s="111">
        <v>62978</v>
      </c>
      <c r="O28" s="111">
        <v>71449</v>
      </c>
      <c r="P28" s="111">
        <v>61596</v>
      </c>
      <c r="Q28" s="111">
        <v>63821</v>
      </c>
      <c r="R28" s="280" t="s">
        <v>74</v>
      </c>
    </row>
    <row r="29" spans="1:18" s="103" customFormat="1" ht="15.6" x14ac:dyDescent="0.3">
      <c r="A29" s="129" t="s">
        <v>27</v>
      </c>
      <c r="B29" s="123" t="s">
        <v>74</v>
      </c>
      <c r="C29" s="111" t="s">
        <v>74</v>
      </c>
      <c r="D29" s="111" t="s">
        <v>74</v>
      </c>
      <c r="E29" s="111" t="s">
        <v>74</v>
      </c>
      <c r="F29" s="111" t="s">
        <v>74</v>
      </c>
      <c r="G29" s="112">
        <v>41635</v>
      </c>
      <c r="H29" s="111">
        <v>40474</v>
      </c>
      <c r="I29" s="111">
        <v>47439</v>
      </c>
      <c r="J29" s="111">
        <v>47596</v>
      </c>
      <c r="K29" s="111">
        <v>53508</v>
      </c>
      <c r="L29" s="111">
        <v>54840</v>
      </c>
      <c r="M29" s="111">
        <v>167895</v>
      </c>
      <c r="N29" s="111">
        <v>68394</v>
      </c>
      <c r="O29" s="111">
        <v>61658</v>
      </c>
      <c r="P29" s="111">
        <v>61428</v>
      </c>
      <c r="Q29" s="111">
        <v>62626</v>
      </c>
      <c r="R29" s="280" t="s">
        <v>74</v>
      </c>
    </row>
    <row r="30" spans="1:18" s="103" customFormat="1" ht="15.6" x14ac:dyDescent="0.3">
      <c r="A30" s="129" t="s">
        <v>28</v>
      </c>
      <c r="B30" s="123" t="s">
        <v>74</v>
      </c>
      <c r="C30" s="111" t="s">
        <v>74</v>
      </c>
      <c r="D30" s="111" t="s">
        <v>74</v>
      </c>
      <c r="E30" s="111" t="s">
        <v>74</v>
      </c>
      <c r="F30" s="111" t="s">
        <v>74</v>
      </c>
      <c r="G30" s="112">
        <v>37859</v>
      </c>
      <c r="H30" s="111">
        <v>40607</v>
      </c>
      <c r="I30" s="111">
        <v>44383</v>
      </c>
      <c r="J30" s="111">
        <v>45524</v>
      </c>
      <c r="K30" s="111">
        <v>53631</v>
      </c>
      <c r="L30" s="111">
        <v>55059</v>
      </c>
      <c r="M30" s="111">
        <v>58750</v>
      </c>
      <c r="N30" s="111">
        <v>63142</v>
      </c>
      <c r="O30" s="111">
        <v>64128</v>
      </c>
      <c r="P30" s="111">
        <v>60102</v>
      </c>
      <c r="Q30" s="111">
        <v>61746</v>
      </c>
      <c r="R30" s="280" t="s">
        <v>74</v>
      </c>
    </row>
    <row r="31" spans="1:18" s="103" customFormat="1" ht="15.6" x14ac:dyDescent="0.3">
      <c r="A31" s="129" t="s">
        <v>29</v>
      </c>
      <c r="B31" s="123" t="s">
        <v>74</v>
      </c>
      <c r="C31" s="111" t="s">
        <v>74</v>
      </c>
      <c r="D31" s="111" t="s">
        <v>74</v>
      </c>
      <c r="E31" s="111" t="s">
        <v>74</v>
      </c>
      <c r="F31" s="111" t="s">
        <v>74</v>
      </c>
      <c r="G31" s="112">
        <v>41334</v>
      </c>
      <c r="H31" s="111">
        <v>42231</v>
      </c>
      <c r="I31" s="111">
        <v>45397</v>
      </c>
      <c r="J31" s="111">
        <v>47682</v>
      </c>
      <c r="K31" s="111">
        <v>54470</v>
      </c>
      <c r="L31" s="111">
        <v>57146</v>
      </c>
      <c r="M31" s="111">
        <v>69035</v>
      </c>
      <c r="N31" s="111">
        <v>73306</v>
      </c>
      <c r="O31" s="111">
        <v>63869</v>
      </c>
      <c r="P31" s="111">
        <v>62326</v>
      </c>
      <c r="Q31" s="111">
        <v>66750</v>
      </c>
      <c r="R31" s="280" t="s">
        <v>74</v>
      </c>
    </row>
    <row r="32" spans="1:18" s="103" customFormat="1" ht="16.2" thickBot="1" x14ac:dyDescent="0.35">
      <c r="A32" s="130" t="s">
        <v>30</v>
      </c>
      <c r="B32" s="133" t="s">
        <v>74</v>
      </c>
      <c r="C32" s="120" t="s">
        <v>74</v>
      </c>
      <c r="D32" s="120" t="s">
        <v>74</v>
      </c>
      <c r="E32" s="120" t="s">
        <v>74</v>
      </c>
      <c r="F32" s="120" t="s">
        <v>74</v>
      </c>
      <c r="G32" s="119">
        <v>38204</v>
      </c>
      <c r="H32" s="120">
        <v>36521</v>
      </c>
      <c r="I32" s="120">
        <v>39821</v>
      </c>
      <c r="J32" s="120">
        <v>50001</v>
      </c>
      <c r="K32" s="120">
        <v>50517</v>
      </c>
      <c r="L32" s="120">
        <v>52992</v>
      </c>
      <c r="M32" s="120">
        <v>54662</v>
      </c>
      <c r="N32" s="120">
        <v>56712</v>
      </c>
      <c r="O32" s="120">
        <v>58227</v>
      </c>
      <c r="P32" s="120">
        <v>57850</v>
      </c>
      <c r="Q32" s="120">
        <v>60875</v>
      </c>
      <c r="R32" s="281" t="s">
        <v>74</v>
      </c>
    </row>
    <row r="33" spans="1:18" s="103" customFormat="1" ht="16.2" thickTop="1" x14ac:dyDescent="0.25">
      <c r="A33" s="127" t="s">
        <v>8</v>
      </c>
      <c r="B33" s="134" t="s">
        <v>74</v>
      </c>
      <c r="C33" s="135" t="s">
        <v>74</v>
      </c>
      <c r="D33" s="135" t="s">
        <v>74</v>
      </c>
      <c r="E33" s="135" t="s">
        <v>74</v>
      </c>
      <c r="F33" s="117" t="s">
        <v>74</v>
      </c>
      <c r="G33" s="118">
        <f t="shared" ref="G33:P33" si="2">SUM(G21:G32)</f>
        <v>307878</v>
      </c>
      <c r="H33" s="118">
        <f t="shared" si="2"/>
        <v>467737</v>
      </c>
      <c r="I33" s="118">
        <f t="shared" si="2"/>
        <v>501611</v>
      </c>
      <c r="J33" s="118">
        <f t="shared" si="2"/>
        <v>551419</v>
      </c>
      <c r="K33" s="118">
        <f t="shared" si="2"/>
        <v>589099</v>
      </c>
      <c r="L33" s="118">
        <f t="shared" si="2"/>
        <v>729099</v>
      </c>
      <c r="M33" s="118">
        <f t="shared" si="2"/>
        <v>837672</v>
      </c>
      <c r="N33" s="118">
        <f t="shared" si="2"/>
        <v>727307</v>
      </c>
      <c r="O33" s="118">
        <f t="shared" si="2"/>
        <v>742045</v>
      </c>
      <c r="P33" s="118">
        <f t="shared" si="2"/>
        <v>707092</v>
      </c>
      <c r="Q33" s="118">
        <f t="shared" ref="Q33:R33" si="3">SUM(Q21:Q32)</f>
        <v>738038</v>
      </c>
      <c r="R33" s="268">
        <f t="shared" si="3"/>
        <v>303977</v>
      </c>
    </row>
    <row r="34" spans="1:18" s="108" customFormat="1" ht="6.6" x14ac:dyDescent="0.25">
      <c r="A34" s="328" t="s">
        <v>84</v>
      </c>
      <c r="B34" s="328"/>
      <c r="C34" s="328"/>
      <c r="D34" s="328"/>
      <c r="E34" s="328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8"/>
      <c r="R34" s="328"/>
    </row>
    <row r="35" spans="1:18" x14ac:dyDescent="0.25">
      <c r="A35" s="329" t="s">
        <v>86</v>
      </c>
      <c r="B35" s="329"/>
      <c r="C35" s="329"/>
      <c r="D35" s="329"/>
      <c r="E35" s="329"/>
      <c r="F35" s="329"/>
      <c r="G35" s="329"/>
      <c r="H35" s="329"/>
      <c r="I35" s="329"/>
      <c r="J35" s="329"/>
      <c r="K35" s="329"/>
      <c r="L35" s="329"/>
      <c r="M35" s="329"/>
      <c r="N35" s="329"/>
      <c r="O35" s="329"/>
      <c r="P35" s="329"/>
      <c r="Q35" s="329"/>
      <c r="R35" s="329"/>
    </row>
    <row r="36" spans="1:18" x14ac:dyDescent="0.25">
      <c r="A36" s="323" t="str">
        <f>'Lod&amp;Liq'!A64:F64</f>
        <v>Source:  Minnesota Department of Revenue, Tax Research Division, February 2021</v>
      </c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</row>
    <row r="37" spans="1:18" x14ac:dyDescent="0.25">
      <c r="A37" s="324" t="s">
        <v>73</v>
      </c>
      <c r="B37" s="324"/>
      <c r="C37" s="324"/>
      <c r="D37" s="324"/>
      <c r="E37" s="324"/>
      <c r="F37" s="324"/>
      <c r="G37" s="324"/>
      <c r="H37" s="324"/>
      <c r="I37" s="324"/>
      <c r="J37" s="324"/>
      <c r="K37" s="324"/>
      <c r="L37" s="324"/>
      <c r="M37" s="324"/>
      <c r="N37" s="324"/>
      <c r="O37" s="324"/>
      <c r="P37" s="324"/>
      <c r="Q37" s="324"/>
      <c r="R37" s="324"/>
    </row>
  </sheetData>
  <mergeCells count="9">
    <mergeCell ref="A36:R36"/>
    <mergeCell ref="A37:R37"/>
    <mergeCell ref="A1:R1"/>
    <mergeCell ref="A2:R2"/>
    <mergeCell ref="A3:R3"/>
    <mergeCell ref="A18:R18"/>
    <mergeCell ref="A19:R19"/>
    <mergeCell ref="A34:R34"/>
    <mergeCell ref="A35:R35"/>
  </mergeCells>
  <pageMargins left="0.6" right="0.25" top="0.75" bottom="0.75" header="0.3" footer="0.3"/>
  <pageSetup scale="88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">
    <pageSetUpPr fitToPage="1"/>
  </sheetPr>
  <dimension ref="A1:R212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RowHeight="13.8" x14ac:dyDescent="0.25"/>
  <cols>
    <col min="1" max="1" width="12.5546875" style="107" customWidth="1"/>
    <col min="2" max="18" width="13.5546875" style="104" customWidth="1"/>
    <col min="19" max="16384" width="8.88671875" style="104"/>
  </cols>
  <sheetData>
    <row r="1" spans="1:18" s="101" customFormat="1" ht="21" x14ac:dyDescent="0.25">
      <c r="A1" s="325" t="s">
        <v>89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3" t="s">
        <v>32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48">
        <v>321062.01</v>
      </c>
      <c r="C5" s="149">
        <v>356409</v>
      </c>
      <c r="D5" s="149">
        <v>340968.79</v>
      </c>
      <c r="E5" s="149">
        <v>363027</v>
      </c>
      <c r="F5" s="149">
        <v>353603</v>
      </c>
      <c r="G5" s="149">
        <v>358567</v>
      </c>
      <c r="H5" s="114">
        <v>320401</v>
      </c>
      <c r="I5" s="114">
        <v>324470</v>
      </c>
      <c r="J5" s="149">
        <v>380139</v>
      </c>
      <c r="K5" s="149">
        <v>451483</v>
      </c>
      <c r="L5" s="149">
        <v>400958</v>
      </c>
      <c r="M5" s="149">
        <v>400871</v>
      </c>
      <c r="N5" s="149">
        <v>436295</v>
      </c>
      <c r="O5" s="149">
        <v>534046</v>
      </c>
      <c r="P5" s="149">
        <v>513262</v>
      </c>
      <c r="Q5" s="149">
        <v>535331</v>
      </c>
      <c r="R5" s="271">
        <v>542582</v>
      </c>
    </row>
    <row r="6" spans="1:18" s="103" customFormat="1" ht="15.6" x14ac:dyDescent="0.25">
      <c r="A6" s="129" t="s">
        <v>20</v>
      </c>
      <c r="B6" s="145">
        <v>253258</v>
      </c>
      <c r="C6" s="112">
        <v>264695</v>
      </c>
      <c r="D6" s="112">
        <v>257725.47</v>
      </c>
      <c r="E6" s="112">
        <v>300584.52</v>
      </c>
      <c r="F6" s="112">
        <v>291103</v>
      </c>
      <c r="G6" s="112">
        <v>345283</v>
      </c>
      <c r="H6" s="111">
        <v>265260</v>
      </c>
      <c r="I6" s="111">
        <v>301268</v>
      </c>
      <c r="J6" s="111">
        <v>301591</v>
      </c>
      <c r="K6" s="111">
        <v>304256</v>
      </c>
      <c r="L6" s="111">
        <v>320386</v>
      </c>
      <c r="M6" s="111">
        <v>355624</v>
      </c>
      <c r="N6" s="111">
        <v>355857</v>
      </c>
      <c r="O6" s="111">
        <v>398165</v>
      </c>
      <c r="P6" s="111">
        <v>474617</v>
      </c>
      <c r="Q6" s="111">
        <v>382229</v>
      </c>
      <c r="R6" s="267">
        <v>383991</v>
      </c>
    </row>
    <row r="7" spans="1:18" s="103" customFormat="1" ht="15.6" x14ac:dyDescent="0.25">
      <c r="A7" s="129" t="s">
        <v>21</v>
      </c>
      <c r="B7" s="145">
        <v>259449</v>
      </c>
      <c r="C7" s="112">
        <v>277502</v>
      </c>
      <c r="D7" s="112">
        <v>252657</v>
      </c>
      <c r="E7" s="112">
        <v>241733</v>
      </c>
      <c r="F7" s="112">
        <v>337702.04</v>
      </c>
      <c r="G7" s="112">
        <v>292479</v>
      </c>
      <c r="H7" s="111">
        <v>266057</v>
      </c>
      <c r="I7" s="111">
        <v>338081</v>
      </c>
      <c r="J7" s="111">
        <v>315174</v>
      </c>
      <c r="K7" s="111">
        <v>339789</v>
      </c>
      <c r="L7" s="111">
        <v>343067</v>
      </c>
      <c r="M7" s="111">
        <v>336548</v>
      </c>
      <c r="N7" s="111">
        <v>326928</v>
      </c>
      <c r="O7" s="111">
        <v>378350</v>
      </c>
      <c r="P7" s="111">
        <v>623742</v>
      </c>
      <c r="Q7" s="111">
        <v>547392</v>
      </c>
      <c r="R7" s="267">
        <v>387539</v>
      </c>
    </row>
    <row r="8" spans="1:18" s="103" customFormat="1" ht="15.6" x14ac:dyDescent="0.25">
      <c r="A8" s="129" t="s">
        <v>22</v>
      </c>
      <c r="B8" s="145">
        <v>274464.27</v>
      </c>
      <c r="C8" s="112">
        <v>297289</v>
      </c>
      <c r="D8" s="112">
        <v>290176.01</v>
      </c>
      <c r="E8" s="112">
        <v>312650</v>
      </c>
      <c r="F8" s="112">
        <v>315788.53999999998</v>
      </c>
      <c r="G8" s="112">
        <v>294989</v>
      </c>
      <c r="H8" s="111">
        <v>332697</v>
      </c>
      <c r="I8" s="111">
        <v>312550</v>
      </c>
      <c r="J8" s="111">
        <v>820666</v>
      </c>
      <c r="K8" s="111">
        <v>362869</v>
      </c>
      <c r="L8" s="111">
        <v>367733</v>
      </c>
      <c r="M8" s="111">
        <v>418370</v>
      </c>
      <c r="N8" s="111">
        <v>380219</v>
      </c>
      <c r="O8" s="111">
        <v>409560</v>
      </c>
      <c r="P8" s="111">
        <v>401896</v>
      </c>
      <c r="Q8" s="111">
        <v>464149</v>
      </c>
      <c r="R8" s="267">
        <v>173425</v>
      </c>
    </row>
    <row r="9" spans="1:18" s="103" customFormat="1" ht="15.6" x14ac:dyDescent="0.25">
      <c r="A9" s="129" t="s">
        <v>23</v>
      </c>
      <c r="B9" s="145">
        <v>267752</v>
      </c>
      <c r="C9" s="112">
        <v>354872.48</v>
      </c>
      <c r="D9" s="112">
        <v>280105</v>
      </c>
      <c r="E9" s="112">
        <v>281560</v>
      </c>
      <c r="F9" s="112">
        <v>327194.49</v>
      </c>
      <c r="G9" s="112">
        <v>375973</v>
      </c>
      <c r="H9" s="111">
        <v>435205</v>
      </c>
      <c r="I9" s="111">
        <v>450454</v>
      </c>
      <c r="J9" s="111">
        <v>511587</v>
      </c>
      <c r="K9" s="111">
        <v>422086</v>
      </c>
      <c r="L9" s="111">
        <v>400143</v>
      </c>
      <c r="M9" s="111">
        <v>402316</v>
      </c>
      <c r="N9" s="111">
        <v>518319</v>
      </c>
      <c r="O9" s="111">
        <v>450933</v>
      </c>
      <c r="P9" s="111">
        <v>449562</v>
      </c>
      <c r="Q9" s="111">
        <v>595383</v>
      </c>
      <c r="R9" s="267">
        <v>9993</v>
      </c>
    </row>
    <row r="10" spans="1:18" s="103" customFormat="1" ht="15.6" x14ac:dyDescent="0.25">
      <c r="A10" s="129" t="s">
        <v>24</v>
      </c>
      <c r="B10" s="145">
        <v>306295.26</v>
      </c>
      <c r="C10" s="112">
        <v>272402</v>
      </c>
      <c r="D10" s="112">
        <v>276780.90000000002</v>
      </c>
      <c r="E10" s="112">
        <v>307180.79999999999</v>
      </c>
      <c r="F10" s="112">
        <v>334823</v>
      </c>
      <c r="G10" s="112">
        <v>293738</v>
      </c>
      <c r="H10" s="111">
        <v>527538</v>
      </c>
      <c r="I10" s="111">
        <v>392667</v>
      </c>
      <c r="J10" s="111">
        <v>427731</v>
      </c>
      <c r="K10" s="111">
        <v>494835</v>
      </c>
      <c r="L10" s="111">
        <v>456497</v>
      </c>
      <c r="M10" s="111">
        <v>500525</v>
      </c>
      <c r="N10" s="111">
        <v>456569</v>
      </c>
      <c r="O10" s="111">
        <v>473137</v>
      </c>
      <c r="P10" s="111">
        <v>497231</v>
      </c>
      <c r="Q10" s="111">
        <v>580424</v>
      </c>
      <c r="R10" s="267">
        <v>38900</v>
      </c>
    </row>
    <row r="11" spans="1:18" s="103" customFormat="1" ht="15.6" x14ac:dyDescent="0.3">
      <c r="A11" s="129" t="s">
        <v>25</v>
      </c>
      <c r="B11" s="145">
        <v>234296</v>
      </c>
      <c r="C11" s="112">
        <v>240183.74</v>
      </c>
      <c r="D11" s="112">
        <v>225717.67</v>
      </c>
      <c r="E11" s="112">
        <v>306290</v>
      </c>
      <c r="F11" s="112">
        <v>281935.11</v>
      </c>
      <c r="G11" s="111">
        <v>231299</v>
      </c>
      <c r="H11" s="111">
        <v>373104</v>
      </c>
      <c r="I11" s="111">
        <v>383487</v>
      </c>
      <c r="J11" s="111">
        <v>432759</v>
      </c>
      <c r="K11" s="111">
        <v>422820</v>
      </c>
      <c r="L11" s="111">
        <v>421823</v>
      </c>
      <c r="M11" s="111">
        <v>468978</v>
      </c>
      <c r="N11" s="111">
        <v>484680</v>
      </c>
      <c r="O11" s="111">
        <v>484072</v>
      </c>
      <c r="P11" s="111">
        <v>559589</v>
      </c>
      <c r="Q11" s="111">
        <v>599754</v>
      </c>
      <c r="R11" s="279" t="s">
        <v>74</v>
      </c>
    </row>
    <row r="12" spans="1:18" s="103" customFormat="1" ht="15.6" x14ac:dyDescent="0.3">
      <c r="A12" s="129" t="s">
        <v>26</v>
      </c>
      <c r="B12" s="145">
        <v>368356.83</v>
      </c>
      <c r="C12" s="112">
        <v>383163</v>
      </c>
      <c r="D12" s="112">
        <v>376946.02</v>
      </c>
      <c r="E12" s="112">
        <v>360462</v>
      </c>
      <c r="F12" s="112">
        <v>367263</v>
      </c>
      <c r="G12" s="111">
        <v>344351</v>
      </c>
      <c r="H12" s="111">
        <v>502783</v>
      </c>
      <c r="I12" s="111">
        <v>567551</v>
      </c>
      <c r="J12" s="111">
        <v>547316</v>
      </c>
      <c r="K12" s="111">
        <v>610693</v>
      </c>
      <c r="L12" s="111">
        <v>636961</v>
      </c>
      <c r="M12" s="111">
        <v>601103</v>
      </c>
      <c r="N12" s="111">
        <v>518925</v>
      </c>
      <c r="O12" s="111">
        <v>592038</v>
      </c>
      <c r="P12" s="111">
        <v>606579</v>
      </c>
      <c r="Q12" s="111">
        <v>560919</v>
      </c>
      <c r="R12" s="280" t="s">
        <v>74</v>
      </c>
    </row>
    <row r="13" spans="1:18" s="103" customFormat="1" ht="15.6" x14ac:dyDescent="0.3">
      <c r="A13" s="129" t="s">
        <v>27</v>
      </c>
      <c r="B13" s="145">
        <v>284320</v>
      </c>
      <c r="C13" s="112">
        <v>295792</v>
      </c>
      <c r="D13" s="112">
        <v>303497</v>
      </c>
      <c r="E13" s="112">
        <v>325762</v>
      </c>
      <c r="F13" s="112">
        <v>396634.61</v>
      </c>
      <c r="G13" s="111">
        <v>309355</v>
      </c>
      <c r="H13" s="111">
        <v>409179</v>
      </c>
      <c r="I13" s="111">
        <v>489992</v>
      </c>
      <c r="J13" s="111">
        <v>415064</v>
      </c>
      <c r="K13" s="111">
        <v>461075</v>
      </c>
      <c r="L13" s="111">
        <v>500618</v>
      </c>
      <c r="M13" s="111">
        <v>464323</v>
      </c>
      <c r="N13" s="111">
        <v>531237</v>
      </c>
      <c r="O13" s="111">
        <v>507172</v>
      </c>
      <c r="P13" s="111">
        <v>582862</v>
      </c>
      <c r="Q13" s="111">
        <v>613099</v>
      </c>
      <c r="R13" s="280" t="s">
        <v>74</v>
      </c>
    </row>
    <row r="14" spans="1:18" s="103" customFormat="1" ht="15.6" x14ac:dyDescent="0.3">
      <c r="A14" s="129" t="s">
        <v>28</v>
      </c>
      <c r="B14" s="145">
        <v>291067</v>
      </c>
      <c r="C14" s="112">
        <v>325137.5</v>
      </c>
      <c r="D14" s="112">
        <v>452362.69</v>
      </c>
      <c r="E14" s="112">
        <v>357958.76</v>
      </c>
      <c r="F14" s="112">
        <v>383856</v>
      </c>
      <c r="G14" s="111">
        <v>319765</v>
      </c>
      <c r="H14" s="111">
        <v>465468</v>
      </c>
      <c r="I14" s="111">
        <v>413227</v>
      </c>
      <c r="J14" s="111">
        <v>480135</v>
      </c>
      <c r="K14" s="111">
        <v>450490</v>
      </c>
      <c r="L14" s="111">
        <v>551490</v>
      </c>
      <c r="M14" s="111">
        <v>469751</v>
      </c>
      <c r="N14" s="111">
        <v>494869</v>
      </c>
      <c r="O14" s="111">
        <v>657009</v>
      </c>
      <c r="P14" s="111">
        <v>585099</v>
      </c>
      <c r="Q14" s="111">
        <v>612533</v>
      </c>
      <c r="R14" s="280" t="s">
        <v>74</v>
      </c>
    </row>
    <row r="15" spans="1:18" s="103" customFormat="1" ht="15.6" x14ac:dyDescent="0.3">
      <c r="A15" s="129" t="s">
        <v>29</v>
      </c>
      <c r="B15" s="145">
        <v>305142</v>
      </c>
      <c r="C15" s="112">
        <v>279152</v>
      </c>
      <c r="D15" s="112">
        <v>317268.68</v>
      </c>
      <c r="E15" s="112">
        <v>337007.56</v>
      </c>
      <c r="F15" s="111" t="s">
        <v>33</v>
      </c>
      <c r="G15" s="111">
        <v>361880</v>
      </c>
      <c r="H15" s="111">
        <v>448040</v>
      </c>
      <c r="I15" s="111">
        <v>352544</v>
      </c>
      <c r="J15" s="111">
        <v>469273</v>
      </c>
      <c r="K15" s="111">
        <v>444834</v>
      </c>
      <c r="L15" s="111">
        <v>423899</v>
      </c>
      <c r="M15" s="111">
        <v>461484</v>
      </c>
      <c r="N15" s="111">
        <v>528528</v>
      </c>
      <c r="O15" s="111">
        <v>553947</v>
      </c>
      <c r="P15" s="111">
        <v>524576</v>
      </c>
      <c r="Q15" s="111">
        <v>522896</v>
      </c>
      <c r="R15" s="280" t="s">
        <v>74</v>
      </c>
    </row>
    <row r="16" spans="1:18" s="103" customFormat="1" ht="16.2" thickBot="1" x14ac:dyDescent="0.35">
      <c r="A16" s="130" t="s">
        <v>30</v>
      </c>
      <c r="B16" s="124">
        <v>317584</v>
      </c>
      <c r="C16" s="119">
        <v>279628.05</v>
      </c>
      <c r="D16" s="119">
        <v>300199</v>
      </c>
      <c r="E16" s="119">
        <v>385113.18</v>
      </c>
      <c r="F16" s="119">
        <v>620644</v>
      </c>
      <c r="G16" s="120">
        <v>297447</v>
      </c>
      <c r="H16" s="120">
        <v>272588</v>
      </c>
      <c r="I16" s="120">
        <v>303650</v>
      </c>
      <c r="J16" s="120">
        <v>356480</v>
      </c>
      <c r="K16" s="120">
        <v>379559</v>
      </c>
      <c r="L16" s="120">
        <v>432874</v>
      </c>
      <c r="M16" s="120">
        <v>370028</v>
      </c>
      <c r="N16" s="120">
        <v>432745</v>
      </c>
      <c r="O16" s="120">
        <v>419037</v>
      </c>
      <c r="P16" s="120">
        <v>462099</v>
      </c>
      <c r="Q16" s="120">
        <v>489948</v>
      </c>
      <c r="R16" s="281" t="s">
        <v>74</v>
      </c>
    </row>
    <row r="17" spans="1:18" s="103" customFormat="1" ht="16.2" thickTop="1" x14ac:dyDescent="0.25">
      <c r="A17" s="127" t="s">
        <v>8</v>
      </c>
      <c r="B17" s="150">
        <f t="shared" ref="B17:I17" si="0">SUM(B5:B16)</f>
        <v>3483046.37</v>
      </c>
      <c r="C17" s="118">
        <f t="shared" si="0"/>
        <v>3626225.7699999996</v>
      </c>
      <c r="D17" s="118">
        <f t="shared" si="0"/>
        <v>3674404.23</v>
      </c>
      <c r="E17" s="118">
        <f t="shared" si="0"/>
        <v>3879328.8200000003</v>
      </c>
      <c r="F17" s="118">
        <f t="shared" si="0"/>
        <v>4010546.79</v>
      </c>
      <c r="G17" s="118">
        <f t="shared" si="0"/>
        <v>3825126</v>
      </c>
      <c r="H17" s="118">
        <f t="shared" si="0"/>
        <v>4618320</v>
      </c>
      <c r="I17" s="118">
        <f t="shared" si="0"/>
        <v>4629941</v>
      </c>
      <c r="J17" s="118">
        <f t="shared" ref="J17:P17" si="1">SUM(J5:J16)</f>
        <v>5457915</v>
      </c>
      <c r="K17" s="118">
        <f t="shared" si="1"/>
        <v>5144789</v>
      </c>
      <c r="L17" s="118">
        <f t="shared" si="1"/>
        <v>5256449</v>
      </c>
      <c r="M17" s="118">
        <f t="shared" si="1"/>
        <v>5249921</v>
      </c>
      <c r="N17" s="118">
        <f t="shared" si="1"/>
        <v>5465171</v>
      </c>
      <c r="O17" s="118">
        <f t="shared" si="1"/>
        <v>5857466</v>
      </c>
      <c r="P17" s="118">
        <f t="shared" si="1"/>
        <v>6281114</v>
      </c>
      <c r="Q17" s="118">
        <f t="shared" ref="Q17" si="2">SUM(Q5:Q16)</f>
        <v>6504057</v>
      </c>
      <c r="R17" s="268">
        <f t="shared" ref="R17" si="3">SUM(R5:R16)</f>
        <v>1536430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s="102" customFormat="1" ht="18" x14ac:dyDescent="0.25">
      <c r="A19" s="333" t="s">
        <v>149</v>
      </c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</row>
    <row r="20" spans="1:18" s="103" customFormat="1" ht="15.6" x14ac:dyDescent="0.25">
      <c r="A20" s="126" t="s">
        <v>18</v>
      </c>
      <c r="B20" s="121">
        <v>2004</v>
      </c>
      <c r="C20" s="115">
        <v>2005</v>
      </c>
      <c r="D20" s="115">
        <v>2006</v>
      </c>
      <c r="E20" s="115">
        <v>2007</v>
      </c>
      <c r="F20" s="115">
        <v>2008</v>
      </c>
      <c r="G20" s="115">
        <v>2009</v>
      </c>
      <c r="H20" s="115">
        <v>2010</v>
      </c>
      <c r="I20" s="115">
        <v>2011</v>
      </c>
      <c r="J20" s="116">
        <v>2012</v>
      </c>
      <c r="K20" s="116">
        <v>2013</v>
      </c>
      <c r="L20" s="116">
        <v>2014</v>
      </c>
      <c r="M20" s="116">
        <v>2015</v>
      </c>
      <c r="N20" s="116">
        <v>2016</v>
      </c>
      <c r="O20" s="116">
        <v>2017</v>
      </c>
      <c r="P20" s="116">
        <v>2018</v>
      </c>
      <c r="Q20" s="116">
        <v>2019</v>
      </c>
      <c r="R20" s="265">
        <v>2020</v>
      </c>
    </row>
    <row r="21" spans="1:18" s="103" customFormat="1" ht="15.6" x14ac:dyDescent="0.25">
      <c r="A21" s="128" t="s">
        <v>19</v>
      </c>
      <c r="B21" s="148">
        <v>570420</v>
      </c>
      <c r="C21" s="149">
        <v>745801.43</v>
      </c>
      <c r="D21" s="149">
        <v>778638.77</v>
      </c>
      <c r="E21" s="149">
        <v>763423.75</v>
      </c>
      <c r="F21" s="149">
        <v>696929.62</v>
      </c>
      <c r="G21" s="149">
        <v>793915</v>
      </c>
      <c r="H21" s="114">
        <v>566550</v>
      </c>
      <c r="I21" s="114">
        <v>727614</v>
      </c>
      <c r="J21" s="149">
        <v>774404</v>
      </c>
      <c r="K21" s="149">
        <v>987185</v>
      </c>
      <c r="L21" s="149">
        <v>816397</v>
      </c>
      <c r="M21" s="149">
        <v>1117019</v>
      </c>
      <c r="N21" s="149">
        <v>1276874</v>
      </c>
      <c r="O21" s="149">
        <v>1533118</v>
      </c>
      <c r="P21" s="149">
        <v>1627964</v>
      </c>
      <c r="Q21" s="149">
        <v>1576899</v>
      </c>
      <c r="R21" s="271">
        <v>2159627</v>
      </c>
    </row>
    <row r="22" spans="1:18" s="103" customFormat="1" ht="15.6" x14ac:dyDescent="0.25">
      <c r="A22" s="129" t="s">
        <v>20</v>
      </c>
      <c r="B22" s="146">
        <v>817619.88</v>
      </c>
      <c r="C22" s="112">
        <v>764829.98</v>
      </c>
      <c r="D22" s="112">
        <v>642862</v>
      </c>
      <c r="E22" s="112">
        <v>753103.32</v>
      </c>
      <c r="F22" s="112">
        <v>693095</v>
      </c>
      <c r="G22" s="112">
        <v>855137</v>
      </c>
      <c r="H22" s="111">
        <v>588715</v>
      </c>
      <c r="I22" s="111">
        <v>639898</v>
      </c>
      <c r="J22" s="111">
        <v>742608</v>
      </c>
      <c r="K22" s="111">
        <v>704621</v>
      </c>
      <c r="L22" s="111">
        <v>867917</v>
      </c>
      <c r="M22" s="111">
        <v>1485898</v>
      </c>
      <c r="N22" s="111">
        <v>1077974</v>
      </c>
      <c r="O22" s="111">
        <v>1287372</v>
      </c>
      <c r="P22" s="111">
        <v>1599368</v>
      </c>
      <c r="Q22" s="111">
        <v>1056706</v>
      </c>
      <c r="R22" s="267">
        <v>1217517</v>
      </c>
    </row>
    <row r="23" spans="1:18" s="103" customFormat="1" ht="15.6" x14ac:dyDescent="0.25">
      <c r="A23" s="129" t="s">
        <v>21</v>
      </c>
      <c r="B23" s="146">
        <v>669500</v>
      </c>
      <c r="C23" s="112">
        <v>825965.34</v>
      </c>
      <c r="D23" s="112">
        <v>734277.76</v>
      </c>
      <c r="E23" s="112">
        <v>763534.86</v>
      </c>
      <c r="F23" s="112">
        <v>775384.19</v>
      </c>
      <c r="G23" s="112">
        <v>598137</v>
      </c>
      <c r="H23" s="111">
        <v>737456</v>
      </c>
      <c r="I23" s="111">
        <v>874829</v>
      </c>
      <c r="J23" s="111">
        <v>669884</v>
      </c>
      <c r="K23" s="111">
        <v>720067</v>
      </c>
      <c r="L23" s="111">
        <v>840093</v>
      </c>
      <c r="M23" s="111">
        <v>848148</v>
      </c>
      <c r="N23" s="111">
        <v>1132228</v>
      </c>
      <c r="O23" s="111">
        <v>1035052</v>
      </c>
      <c r="P23" s="111">
        <v>1757188</v>
      </c>
      <c r="Q23" s="111">
        <v>1377642</v>
      </c>
      <c r="R23" s="267">
        <v>1116748</v>
      </c>
    </row>
    <row r="24" spans="1:18" s="103" customFormat="1" ht="15.6" x14ac:dyDescent="0.25">
      <c r="A24" s="129" t="s">
        <v>22</v>
      </c>
      <c r="B24" s="146">
        <v>712887</v>
      </c>
      <c r="C24" s="112">
        <v>729455</v>
      </c>
      <c r="D24" s="112">
        <v>786508.62</v>
      </c>
      <c r="E24" s="112">
        <v>842373.95</v>
      </c>
      <c r="F24" s="112">
        <v>799611</v>
      </c>
      <c r="G24" s="112">
        <v>658608</v>
      </c>
      <c r="H24" s="111">
        <v>736603</v>
      </c>
      <c r="I24" s="111">
        <v>863822</v>
      </c>
      <c r="J24" s="111">
        <v>1071163</v>
      </c>
      <c r="K24" s="111">
        <v>902553</v>
      </c>
      <c r="L24" s="111">
        <v>979117</v>
      </c>
      <c r="M24" s="111">
        <v>1121955</v>
      </c>
      <c r="N24" s="111">
        <v>1172325</v>
      </c>
      <c r="O24" s="111">
        <v>1260675</v>
      </c>
      <c r="P24" s="111">
        <v>1256045</v>
      </c>
      <c r="Q24" s="111">
        <v>1607889</v>
      </c>
      <c r="R24" s="267">
        <v>585593</v>
      </c>
    </row>
    <row r="25" spans="1:18" s="103" customFormat="1" ht="15.6" x14ac:dyDescent="0.25">
      <c r="A25" s="129" t="s">
        <v>23</v>
      </c>
      <c r="B25" s="146">
        <v>782513.48</v>
      </c>
      <c r="C25" s="112">
        <v>801832.15</v>
      </c>
      <c r="D25" s="112">
        <v>843789</v>
      </c>
      <c r="E25" s="112">
        <v>784686</v>
      </c>
      <c r="F25" s="112">
        <v>817141.09</v>
      </c>
      <c r="G25" s="112">
        <v>802604</v>
      </c>
      <c r="H25" s="111">
        <v>1322127</v>
      </c>
      <c r="I25" s="111">
        <v>1355378</v>
      </c>
      <c r="J25" s="111">
        <v>1392630</v>
      </c>
      <c r="K25" s="111">
        <v>1337560</v>
      </c>
      <c r="L25" s="111">
        <v>1278304</v>
      </c>
      <c r="M25" s="111">
        <v>1387957</v>
      </c>
      <c r="N25" s="111">
        <v>1507730</v>
      </c>
      <c r="O25" s="111">
        <v>1390573</v>
      </c>
      <c r="P25" s="111">
        <v>1661254</v>
      </c>
      <c r="Q25" s="111">
        <v>2586730</v>
      </c>
      <c r="R25" s="267">
        <v>79318</v>
      </c>
    </row>
    <row r="26" spans="1:18" s="103" customFormat="1" ht="15.6" x14ac:dyDescent="0.25">
      <c r="A26" s="129" t="s">
        <v>24</v>
      </c>
      <c r="B26" s="146">
        <v>957437.31</v>
      </c>
      <c r="C26" s="112">
        <v>650961</v>
      </c>
      <c r="D26" s="112">
        <v>770781</v>
      </c>
      <c r="E26" s="112">
        <v>990604.29</v>
      </c>
      <c r="F26" s="112">
        <v>815603</v>
      </c>
      <c r="G26" s="112">
        <v>992792</v>
      </c>
      <c r="H26" s="111">
        <v>1706154</v>
      </c>
      <c r="I26" s="111">
        <v>1359415</v>
      </c>
      <c r="J26" s="111">
        <v>1488484</v>
      </c>
      <c r="K26" s="111">
        <v>1382437</v>
      </c>
      <c r="L26" s="111">
        <v>1483083</v>
      </c>
      <c r="M26" s="111">
        <v>2178800</v>
      </c>
      <c r="N26" s="111">
        <v>1811443</v>
      </c>
      <c r="O26" s="111">
        <v>1593449</v>
      </c>
      <c r="P26" s="111">
        <v>1733406</v>
      </c>
      <c r="Q26" s="111">
        <v>2109550</v>
      </c>
      <c r="R26" s="267">
        <v>-972198</v>
      </c>
    </row>
    <row r="27" spans="1:18" s="103" customFormat="1" ht="15.6" x14ac:dyDescent="0.3">
      <c r="A27" s="129" t="s">
        <v>25</v>
      </c>
      <c r="B27" s="146">
        <v>304201.71000000002</v>
      </c>
      <c r="C27" s="112">
        <v>464409.48</v>
      </c>
      <c r="D27" s="112">
        <v>381890.48</v>
      </c>
      <c r="E27" s="112">
        <v>573015</v>
      </c>
      <c r="F27" s="112">
        <v>596061.76</v>
      </c>
      <c r="G27" s="112">
        <v>397126</v>
      </c>
      <c r="H27" s="111">
        <v>892074</v>
      </c>
      <c r="I27" s="111">
        <v>1076567</v>
      </c>
      <c r="J27" s="111">
        <v>1170148</v>
      </c>
      <c r="K27" s="111">
        <v>1413546</v>
      </c>
      <c r="L27" s="111">
        <v>1318733</v>
      </c>
      <c r="M27" s="111">
        <v>1914102</v>
      </c>
      <c r="N27" s="111">
        <v>1468720</v>
      </c>
      <c r="O27" s="111">
        <v>1361504</v>
      </c>
      <c r="P27" s="111">
        <v>1944301</v>
      </c>
      <c r="Q27" s="111">
        <v>1832883</v>
      </c>
      <c r="R27" s="279" t="s">
        <v>74</v>
      </c>
    </row>
    <row r="28" spans="1:18" s="103" customFormat="1" ht="15.6" x14ac:dyDescent="0.3">
      <c r="A28" s="129" t="s">
        <v>26</v>
      </c>
      <c r="B28" s="146">
        <v>831651.94</v>
      </c>
      <c r="C28" s="112">
        <v>1043592.99</v>
      </c>
      <c r="D28" s="112">
        <v>1193386.32</v>
      </c>
      <c r="E28" s="112">
        <v>1212986.8700000001</v>
      </c>
      <c r="F28" s="112">
        <v>971244.11</v>
      </c>
      <c r="G28" s="112">
        <v>1098888</v>
      </c>
      <c r="H28" s="111">
        <v>1734174</v>
      </c>
      <c r="I28" s="111">
        <v>2481845</v>
      </c>
      <c r="J28" s="111">
        <v>2092648</v>
      </c>
      <c r="K28" s="111">
        <v>1880567</v>
      </c>
      <c r="L28" s="111">
        <v>2840798</v>
      </c>
      <c r="M28" s="111">
        <v>2360578</v>
      </c>
      <c r="N28" s="111">
        <v>1982676</v>
      </c>
      <c r="O28" s="111">
        <v>2507210</v>
      </c>
      <c r="P28" s="111">
        <v>2168427</v>
      </c>
      <c r="Q28" s="111">
        <v>2388108</v>
      </c>
      <c r="R28" s="280" t="s">
        <v>74</v>
      </c>
    </row>
    <row r="29" spans="1:18" s="103" customFormat="1" ht="15.6" x14ac:dyDescent="0.3">
      <c r="A29" s="129" t="s">
        <v>27</v>
      </c>
      <c r="B29" s="146">
        <v>790793</v>
      </c>
      <c r="C29" s="112">
        <v>949247.11</v>
      </c>
      <c r="D29" s="112">
        <v>2034407.26</v>
      </c>
      <c r="E29" s="112">
        <v>858604</v>
      </c>
      <c r="F29" s="112">
        <v>1187519.95</v>
      </c>
      <c r="G29" s="112">
        <v>705229</v>
      </c>
      <c r="H29" s="111">
        <v>1435959</v>
      </c>
      <c r="I29" s="111">
        <v>1646579</v>
      </c>
      <c r="J29" s="111">
        <v>1332996</v>
      </c>
      <c r="K29" s="111">
        <v>1481021</v>
      </c>
      <c r="L29" s="111">
        <v>2003601</v>
      </c>
      <c r="M29" s="111">
        <v>1693950</v>
      </c>
      <c r="N29" s="111">
        <v>2161182</v>
      </c>
      <c r="O29" s="111">
        <v>2226559</v>
      </c>
      <c r="P29" s="111">
        <v>2436264</v>
      </c>
      <c r="Q29" s="111">
        <v>2416742</v>
      </c>
      <c r="R29" s="280" t="s">
        <v>74</v>
      </c>
    </row>
    <row r="30" spans="1:18" s="103" customFormat="1" ht="15.6" x14ac:dyDescent="0.3">
      <c r="A30" s="129" t="s">
        <v>28</v>
      </c>
      <c r="B30" s="146">
        <v>655363</v>
      </c>
      <c r="C30" s="112">
        <v>855912.81</v>
      </c>
      <c r="D30" s="112">
        <v>819125.33</v>
      </c>
      <c r="E30" s="112">
        <v>812426</v>
      </c>
      <c r="F30" s="112">
        <v>1137589.71</v>
      </c>
      <c r="G30" s="112">
        <v>700886</v>
      </c>
      <c r="H30" s="111">
        <v>1368648</v>
      </c>
      <c r="I30" s="111">
        <v>1402686</v>
      </c>
      <c r="J30" s="111">
        <v>1486874</v>
      </c>
      <c r="K30" s="111">
        <v>1406397</v>
      </c>
      <c r="L30" s="111">
        <v>1452422</v>
      </c>
      <c r="M30" s="111">
        <v>1682168</v>
      </c>
      <c r="N30" s="111">
        <v>2024859</v>
      </c>
      <c r="O30" s="111">
        <v>2411421</v>
      </c>
      <c r="P30" s="111">
        <v>2678330</v>
      </c>
      <c r="Q30" s="111">
        <v>2637020</v>
      </c>
      <c r="R30" s="280" t="s">
        <v>74</v>
      </c>
    </row>
    <row r="31" spans="1:18" s="103" customFormat="1" ht="15.6" x14ac:dyDescent="0.3">
      <c r="A31" s="129" t="s">
        <v>29</v>
      </c>
      <c r="B31" s="146">
        <v>774105.26</v>
      </c>
      <c r="C31" s="112">
        <v>816019.43</v>
      </c>
      <c r="D31" s="112">
        <v>907024.07</v>
      </c>
      <c r="E31" s="112">
        <v>969243.88</v>
      </c>
      <c r="F31" s="111" t="s">
        <v>33</v>
      </c>
      <c r="G31" s="112">
        <v>962107</v>
      </c>
      <c r="H31" s="111">
        <v>1282069</v>
      </c>
      <c r="I31" s="111">
        <v>1047004</v>
      </c>
      <c r="J31" s="111">
        <v>1170371</v>
      </c>
      <c r="K31" s="111">
        <v>1277630</v>
      </c>
      <c r="L31" s="111">
        <v>1311783</v>
      </c>
      <c r="M31" s="111">
        <v>1603997</v>
      </c>
      <c r="N31" s="111">
        <v>2107990</v>
      </c>
      <c r="O31" s="111">
        <v>2347442</v>
      </c>
      <c r="P31" s="111">
        <v>3868472</v>
      </c>
      <c r="Q31" s="111">
        <v>2360172</v>
      </c>
      <c r="R31" s="280" t="s">
        <v>74</v>
      </c>
    </row>
    <row r="32" spans="1:18" s="103" customFormat="1" ht="16.2" thickBot="1" x14ac:dyDescent="0.35">
      <c r="A32" s="130" t="s">
        <v>30</v>
      </c>
      <c r="B32" s="147">
        <v>975117.22</v>
      </c>
      <c r="C32" s="119">
        <v>907773.37</v>
      </c>
      <c r="D32" s="119">
        <v>-362543.49</v>
      </c>
      <c r="E32" s="119">
        <v>809754.71</v>
      </c>
      <c r="F32" s="119">
        <v>1270470</v>
      </c>
      <c r="G32" s="119">
        <v>692941</v>
      </c>
      <c r="H32" s="120">
        <v>806256</v>
      </c>
      <c r="I32" s="120">
        <v>694788</v>
      </c>
      <c r="J32" s="120">
        <v>898791</v>
      </c>
      <c r="K32" s="120">
        <v>988861</v>
      </c>
      <c r="L32" s="120">
        <v>1736441</v>
      </c>
      <c r="M32" s="120">
        <v>1392491</v>
      </c>
      <c r="N32" s="120">
        <v>1511299</v>
      </c>
      <c r="O32" s="120">
        <v>1466404</v>
      </c>
      <c r="P32" s="120">
        <v>1991858</v>
      </c>
      <c r="Q32" s="120">
        <v>1707212</v>
      </c>
      <c r="R32" s="281" t="s">
        <v>74</v>
      </c>
    </row>
    <row r="33" spans="1:18" s="103" customFormat="1" ht="16.2" thickTop="1" x14ac:dyDescent="0.25">
      <c r="A33" s="127" t="s">
        <v>8</v>
      </c>
      <c r="B33" s="150">
        <f>SUM(B21:B32)</f>
        <v>8841609.8000000007</v>
      </c>
      <c r="C33" s="118">
        <f t="shared" ref="C33:I33" si="4">SUM(C21:C32)</f>
        <v>9555800.0899999999</v>
      </c>
      <c r="D33" s="118">
        <f t="shared" si="4"/>
        <v>9530147.120000001</v>
      </c>
      <c r="E33" s="118">
        <f t="shared" si="4"/>
        <v>10133756.629999999</v>
      </c>
      <c r="F33" s="118">
        <f t="shared" si="4"/>
        <v>9760649.4299999997</v>
      </c>
      <c r="G33" s="118">
        <f t="shared" si="4"/>
        <v>9258370</v>
      </c>
      <c r="H33" s="118">
        <f t="shared" si="4"/>
        <v>13176785</v>
      </c>
      <c r="I33" s="118">
        <f t="shared" si="4"/>
        <v>14170425</v>
      </c>
      <c r="J33" s="118">
        <f t="shared" ref="J33:P33" si="5">SUM(J21:J32)</f>
        <v>14291001</v>
      </c>
      <c r="K33" s="118">
        <f t="shared" si="5"/>
        <v>14482445</v>
      </c>
      <c r="L33" s="118">
        <f t="shared" si="5"/>
        <v>16928689</v>
      </c>
      <c r="M33" s="118">
        <f t="shared" si="5"/>
        <v>18787063</v>
      </c>
      <c r="N33" s="118">
        <f t="shared" si="5"/>
        <v>19235300</v>
      </c>
      <c r="O33" s="118">
        <f t="shared" si="5"/>
        <v>20420779</v>
      </c>
      <c r="P33" s="118">
        <f t="shared" si="5"/>
        <v>24722877</v>
      </c>
      <c r="Q33" s="118">
        <f t="shared" ref="Q33" si="6">SUM(Q21:Q32)</f>
        <v>23657553</v>
      </c>
      <c r="R33" s="268">
        <f t="shared" ref="R33" si="7">SUM(R21:R32)</f>
        <v>4186605</v>
      </c>
    </row>
    <row r="34" spans="1:18" s="108" customFormat="1" ht="6.6" x14ac:dyDescent="0.25">
      <c r="A34" s="328" t="s">
        <v>84</v>
      </c>
      <c r="B34" s="328"/>
      <c r="C34" s="328"/>
      <c r="D34" s="328"/>
      <c r="E34" s="328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8"/>
      <c r="R34" s="328"/>
    </row>
    <row r="35" spans="1:18" s="102" customFormat="1" ht="18" x14ac:dyDescent="0.25">
      <c r="A35" s="333" t="s">
        <v>72</v>
      </c>
      <c r="B35" s="333"/>
      <c r="C35" s="333"/>
      <c r="D35" s="333"/>
      <c r="E35" s="333"/>
      <c r="F35" s="333"/>
      <c r="G35" s="333"/>
      <c r="H35" s="333"/>
      <c r="I35" s="333"/>
      <c r="J35" s="333"/>
      <c r="K35" s="333"/>
      <c r="L35" s="333"/>
      <c r="M35" s="333"/>
      <c r="N35" s="333"/>
      <c r="O35" s="333"/>
      <c r="P35" s="333"/>
      <c r="Q35" s="333"/>
      <c r="R35" s="333"/>
    </row>
    <row r="36" spans="1:18" s="103" customFormat="1" ht="15.6" x14ac:dyDescent="0.25">
      <c r="A36" s="126" t="s">
        <v>18</v>
      </c>
      <c r="B36" s="121">
        <v>2004</v>
      </c>
      <c r="C36" s="115">
        <v>2005</v>
      </c>
      <c r="D36" s="115">
        <v>2006</v>
      </c>
      <c r="E36" s="115">
        <v>2007</v>
      </c>
      <c r="F36" s="115">
        <v>2008</v>
      </c>
      <c r="G36" s="115">
        <v>2009</v>
      </c>
      <c r="H36" s="115">
        <v>2010</v>
      </c>
      <c r="I36" s="115">
        <v>2011</v>
      </c>
      <c r="J36" s="116">
        <v>2012</v>
      </c>
      <c r="K36" s="116">
        <v>2013</v>
      </c>
      <c r="L36" s="116">
        <v>2014</v>
      </c>
      <c r="M36" s="116">
        <v>2015</v>
      </c>
      <c r="N36" s="116">
        <v>2016</v>
      </c>
      <c r="O36" s="116">
        <v>2017</v>
      </c>
      <c r="P36" s="116">
        <v>2018</v>
      </c>
      <c r="Q36" s="116">
        <v>2019</v>
      </c>
      <c r="R36" s="265">
        <v>2020</v>
      </c>
    </row>
    <row r="37" spans="1:18" s="103" customFormat="1" ht="15.6" x14ac:dyDescent="0.25">
      <c r="A37" s="128" t="s">
        <v>19</v>
      </c>
      <c r="B37" s="148">
        <v>254818</v>
      </c>
      <c r="C37" s="149">
        <v>335246</v>
      </c>
      <c r="D37" s="149">
        <v>376971</v>
      </c>
      <c r="E37" s="149">
        <v>429313</v>
      </c>
      <c r="F37" s="149">
        <v>428981</v>
      </c>
      <c r="G37" s="149">
        <v>421180</v>
      </c>
      <c r="H37" s="114">
        <v>315352</v>
      </c>
      <c r="I37" s="114">
        <v>352000</v>
      </c>
      <c r="J37" s="149">
        <v>382725</v>
      </c>
      <c r="K37" s="149">
        <v>416520</v>
      </c>
      <c r="L37" s="149">
        <v>361875</v>
      </c>
      <c r="M37" s="149">
        <v>370370</v>
      </c>
      <c r="N37" s="149">
        <v>411035</v>
      </c>
      <c r="O37" s="149">
        <v>470160</v>
      </c>
      <c r="P37" s="149">
        <v>387902</v>
      </c>
      <c r="Q37" s="149">
        <v>411991</v>
      </c>
      <c r="R37" s="271">
        <v>592196</v>
      </c>
    </row>
    <row r="38" spans="1:18" s="103" customFormat="1" ht="15.6" x14ac:dyDescent="0.25">
      <c r="A38" s="129" t="s">
        <v>20</v>
      </c>
      <c r="B38" s="146">
        <v>281338</v>
      </c>
      <c r="C38" s="112">
        <v>378830.3</v>
      </c>
      <c r="D38" s="112">
        <v>332924</v>
      </c>
      <c r="E38" s="112">
        <v>399382</v>
      </c>
      <c r="F38" s="112">
        <v>416021</v>
      </c>
      <c r="G38" s="112">
        <v>527807</v>
      </c>
      <c r="H38" s="111">
        <v>341134</v>
      </c>
      <c r="I38" s="111">
        <v>336857</v>
      </c>
      <c r="J38" s="111">
        <v>379048</v>
      </c>
      <c r="K38" s="111">
        <v>391682</v>
      </c>
      <c r="L38" s="111">
        <v>412890</v>
      </c>
      <c r="M38" s="111">
        <v>480543</v>
      </c>
      <c r="N38" s="111">
        <v>452781</v>
      </c>
      <c r="O38" s="111">
        <v>506994</v>
      </c>
      <c r="P38" s="111">
        <v>509568</v>
      </c>
      <c r="Q38" s="111">
        <v>397684</v>
      </c>
      <c r="R38" s="267">
        <v>599969</v>
      </c>
    </row>
    <row r="39" spans="1:18" s="103" customFormat="1" ht="15.6" x14ac:dyDescent="0.25">
      <c r="A39" s="129" t="s">
        <v>21</v>
      </c>
      <c r="B39" s="146">
        <v>352405</v>
      </c>
      <c r="C39" s="112">
        <v>354967</v>
      </c>
      <c r="D39" s="112">
        <v>399512</v>
      </c>
      <c r="E39" s="112">
        <v>420783</v>
      </c>
      <c r="F39" s="112">
        <v>438780</v>
      </c>
      <c r="G39" s="112">
        <v>376520</v>
      </c>
      <c r="H39" s="111">
        <v>325927</v>
      </c>
      <c r="I39" s="111">
        <v>345210</v>
      </c>
      <c r="J39" s="111">
        <v>389625</v>
      </c>
      <c r="K39" s="111">
        <v>403548</v>
      </c>
      <c r="L39" s="111">
        <v>407853</v>
      </c>
      <c r="M39" s="111">
        <v>441845</v>
      </c>
      <c r="N39" s="111">
        <v>471711</v>
      </c>
      <c r="O39" s="111">
        <v>464782</v>
      </c>
      <c r="P39" s="111">
        <v>765435</v>
      </c>
      <c r="Q39" s="111">
        <v>427601</v>
      </c>
      <c r="R39" s="267">
        <v>589269</v>
      </c>
    </row>
    <row r="40" spans="1:18" s="103" customFormat="1" ht="15.6" x14ac:dyDescent="0.25">
      <c r="A40" s="129" t="s">
        <v>22</v>
      </c>
      <c r="B40" s="146">
        <v>346089</v>
      </c>
      <c r="C40" s="112">
        <v>411352</v>
      </c>
      <c r="D40" s="112">
        <v>459984</v>
      </c>
      <c r="E40" s="112">
        <v>504841.19</v>
      </c>
      <c r="F40" s="112">
        <v>543385.03</v>
      </c>
      <c r="G40" s="112">
        <v>419276</v>
      </c>
      <c r="H40" s="111">
        <v>379621</v>
      </c>
      <c r="I40" s="111">
        <v>440348</v>
      </c>
      <c r="J40" s="111">
        <v>455570</v>
      </c>
      <c r="K40" s="111">
        <v>426531</v>
      </c>
      <c r="L40" s="111">
        <v>469252</v>
      </c>
      <c r="M40" s="111">
        <v>505217</v>
      </c>
      <c r="N40" s="111">
        <v>520475</v>
      </c>
      <c r="O40" s="111">
        <v>643475</v>
      </c>
      <c r="P40" s="111">
        <v>486174</v>
      </c>
      <c r="Q40" s="111">
        <v>515798</v>
      </c>
      <c r="R40" s="267">
        <v>267561</v>
      </c>
    </row>
    <row r="41" spans="1:18" s="103" customFormat="1" ht="15.6" x14ac:dyDescent="0.25">
      <c r="A41" s="129" t="s">
        <v>23</v>
      </c>
      <c r="B41" s="146">
        <v>391832</v>
      </c>
      <c r="C41" s="112">
        <v>459754</v>
      </c>
      <c r="D41" s="112">
        <v>534243</v>
      </c>
      <c r="E41" s="112">
        <v>501897</v>
      </c>
      <c r="F41" s="112">
        <v>611467</v>
      </c>
      <c r="G41" s="112">
        <v>482853</v>
      </c>
      <c r="H41" s="111">
        <v>476621</v>
      </c>
      <c r="I41" s="111">
        <v>506879</v>
      </c>
      <c r="J41" s="111">
        <v>497429</v>
      </c>
      <c r="K41" s="111">
        <v>564928</v>
      </c>
      <c r="L41" s="111">
        <v>579824</v>
      </c>
      <c r="M41" s="111">
        <v>666731</v>
      </c>
      <c r="N41" s="111">
        <v>725684</v>
      </c>
      <c r="O41" s="111">
        <v>684567</v>
      </c>
      <c r="P41" s="111">
        <v>623127</v>
      </c>
      <c r="Q41" s="111">
        <v>796073</v>
      </c>
      <c r="R41" s="267">
        <v>24574</v>
      </c>
    </row>
    <row r="42" spans="1:18" s="103" customFormat="1" ht="15.6" x14ac:dyDescent="0.25">
      <c r="A42" s="129" t="s">
        <v>24</v>
      </c>
      <c r="B42" s="146">
        <v>530219</v>
      </c>
      <c r="C42" s="112">
        <v>464652</v>
      </c>
      <c r="D42" s="112">
        <v>606408</v>
      </c>
      <c r="E42" s="112">
        <v>617450.77</v>
      </c>
      <c r="F42" s="112">
        <v>654935</v>
      </c>
      <c r="G42" s="112">
        <v>532067</v>
      </c>
      <c r="H42" s="111">
        <v>529539</v>
      </c>
      <c r="I42" s="111">
        <v>528230</v>
      </c>
      <c r="J42" s="111">
        <v>562316</v>
      </c>
      <c r="K42" s="111">
        <v>605094</v>
      </c>
      <c r="L42" s="111">
        <v>700423</v>
      </c>
      <c r="M42" s="111">
        <v>1008981</v>
      </c>
      <c r="N42" s="111">
        <v>757130</v>
      </c>
      <c r="O42" s="111">
        <v>796645</v>
      </c>
      <c r="P42" s="111">
        <v>695774</v>
      </c>
      <c r="Q42" s="111">
        <v>732853</v>
      </c>
      <c r="R42" s="267">
        <v>44699</v>
      </c>
    </row>
    <row r="43" spans="1:18" s="103" customFormat="1" ht="15.6" x14ac:dyDescent="0.3">
      <c r="A43" s="129" t="s">
        <v>25</v>
      </c>
      <c r="B43" s="146">
        <v>180097</v>
      </c>
      <c r="C43" s="112">
        <v>335072</v>
      </c>
      <c r="D43" s="112">
        <v>180182</v>
      </c>
      <c r="E43" s="112">
        <v>441369</v>
      </c>
      <c r="F43" s="112">
        <v>446336</v>
      </c>
      <c r="G43" s="112">
        <v>297437</v>
      </c>
      <c r="H43" s="111">
        <v>266335</v>
      </c>
      <c r="I43" s="111">
        <v>421456</v>
      </c>
      <c r="J43" s="111">
        <v>419933</v>
      </c>
      <c r="K43" s="111">
        <v>577899</v>
      </c>
      <c r="L43" s="111">
        <v>569526</v>
      </c>
      <c r="M43" s="111">
        <v>664609</v>
      </c>
      <c r="N43" s="111">
        <v>628446</v>
      </c>
      <c r="O43" s="111">
        <v>737172</v>
      </c>
      <c r="P43" s="111">
        <v>664143</v>
      </c>
      <c r="Q43" s="111">
        <v>681041</v>
      </c>
      <c r="R43" s="279" t="s">
        <v>74</v>
      </c>
    </row>
    <row r="44" spans="1:18" s="103" customFormat="1" ht="15.6" x14ac:dyDescent="0.3">
      <c r="A44" s="129" t="s">
        <v>26</v>
      </c>
      <c r="B44" s="146">
        <v>717855</v>
      </c>
      <c r="C44" s="112">
        <v>824775</v>
      </c>
      <c r="D44" s="112">
        <v>906981</v>
      </c>
      <c r="E44" s="112">
        <v>897529.41</v>
      </c>
      <c r="F44" s="112">
        <v>713172</v>
      </c>
      <c r="G44" s="112">
        <v>727713</v>
      </c>
      <c r="H44" s="111">
        <v>874703</v>
      </c>
      <c r="I44" s="111">
        <v>919648</v>
      </c>
      <c r="J44" s="111">
        <v>903649</v>
      </c>
      <c r="K44" s="111">
        <v>822820</v>
      </c>
      <c r="L44" s="111">
        <v>1063217</v>
      </c>
      <c r="M44" s="111">
        <v>990904</v>
      </c>
      <c r="N44" s="111">
        <v>989614</v>
      </c>
      <c r="O44" s="111">
        <v>1089704</v>
      </c>
      <c r="P44" s="111">
        <v>917366</v>
      </c>
      <c r="Q44" s="111">
        <v>1012014</v>
      </c>
      <c r="R44" s="280" t="s">
        <v>74</v>
      </c>
    </row>
    <row r="45" spans="1:18" s="103" customFormat="1" ht="15.6" x14ac:dyDescent="0.3">
      <c r="A45" s="129" t="s">
        <v>27</v>
      </c>
      <c r="B45" s="146">
        <v>522230</v>
      </c>
      <c r="C45" s="112">
        <v>606748.19999999995</v>
      </c>
      <c r="D45" s="112">
        <v>591363</v>
      </c>
      <c r="E45" s="112">
        <v>691311</v>
      </c>
      <c r="F45" s="112">
        <v>730511</v>
      </c>
      <c r="G45" s="112">
        <v>483813</v>
      </c>
      <c r="H45" s="111">
        <v>711600</v>
      </c>
      <c r="I45" s="111">
        <v>674488</v>
      </c>
      <c r="J45" s="111">
        <v>661887</v>
      </c>
      <c r="K45" s="111">
        <v>655302</v>
      </c>
      <c r="L45" s="111">
        <v>809282</v>
      </c>
      <c r="M45" s="111">
        <v>785406</v>
      </c>
      <c r="N45" s="111">
        <v>899820</v>
      </c>
      <c r="O45" s="111">
        <v>899524</v>
      </c>
      <c r="P45" s="111">
        <v>822644</v>
      </c>
      <c r="Q45" s="111">
        <v>862942</v>
      </c>
      <c r="R45" s="280" t="s">
        <v>74</v>
      </c>
    </row>
    <row r="46" spans="1:18" s="103" customFormat="1" ht="15.6" x14ac:dyDescent="0.3">
      <c r="A46" s="129" t="s">
        <v>28</v>
      </c>
      <c r="B46" s="146">
        <v>462602</v>
      </c>
      <c r="C46" s="112">
        <v>552347.81000000006</v>
      </c>
      <c r="D46" s="112">
        <v>593598</v>
      </c>
      <c r="E46" s="112">
        <v>617921</v>
      </c>
      <c r="F46" s="112">
        <v>848932</v>
      </c>
      <c r="G46" s="112">
        <v>503831</v>
      </c>
      <c r="H46" s="111">
        <v>537249</v>
      </c>
      <c r="I46" s="111">
        <v>640813</v>
      </c>
      <c r="J46" s="111">
        <v>602245</v>
      </c>
      <c r="K46" s="111">
        <v>653173</v>
      </c>
      <c r="L46" s="111">
        <v>742565</v>
      </c>
      <c r="M46" s="111">
        <v>791405</v>
      </c>
      <c r="N46" s="111">
        <v>961759</v>
      </c>
      <c r="O46" s="111">
        <v>871760</v>
      </c>
      <c r="P46" s="111">
        <v>780128</v>
      </c>
      <c r="Q46" s="111">
        <v>841426</v>
      </c>
      <c r="R46" s="280" t="s">
        <v>74</v>
      </c>
    </row>
    <row r="47" spans="1:18" s="103" customFormat="1" ht="15.6" x14ac:dyDescent="0.3">
      <c r="A47" s="129" t="s">
        <v>29</v>
      </c>
      <c r="B47" s="146">
        <v>562141</v>
      </c>
      <c r="C47" s="112">
        <v>566307.66</v>
      </c>
      <c r="D47" s="112">
        <v>649989</v>
      </c>
      <c r="E47" s="112">
        <v>713120</v>
      </c>
      <c r="F47" s="111" t="s">
        <v>33</v>
      </c>
      <c r="G47" s="112">
        <v>592213</v>
      </c>
      <c r="H47" s="111">
        <v>635920</v>
      </c>
      <c r="I47" s="111">
        <v>702932</v>
      </c>
      <c r="J47" s="111">
        <v>732104</v>
      </c>
      <c r="K47" s="111">
        <v>810831</v>
      </c>
      <c r="L47" s="111">
        <v>743941</v>
      </c>
      <c r="M47" s="111">
        <v>935599</v>
      </c>
      <c r="N47" s="111">
        <v>999648</v>
      </c>
      <c r="O47" s="111">
        <v>781626</v>
      </c>
      <c r="P47" s="111">
        <v>897899</v>
      </c>
      <c r="Q47" s="111">
        <v>1174264</v>
      </c>
      <c r="R47" s="280" t="s">
        <v>74</v>
      </c>
    </row>
    <row r="48" spans="1:18" s="103" customFormat="1" ht="16.2" thickBot="1" x14ac:dyDescent="0.35">
      <c r="A48" s="130" t="s">
        <v>30</v>
      </c>
      <c r="B48" s="147">
        <v>412544</v>
      </c>
      <c r="C48" s="119">
        <v>453435</v>
      </c>
      <c r="D48" s="119">
        <v>472235</v>
      </c>
      <c r="E48" s="119">
        <v>508215</v>
      </c>
      <c r="F48" s="119">
        <v>908323</v>
      </c>
      <c r="G48" s="119">
        <v>396041</v>
      </c>
      <c r="H48" s="120">
        <v>447431</v>
      </c>
      <c r="I48" s="120">
        <v>473929</v>
      </c>
      <c r="J48" s="120">
        <v>486521</v>
      </c>
      <c r="K48" s="120">
        <v>496269</v>
      </c>
      <c r="L48" s="120">
        <v>526131</v>
      </c>
      <c r="M48" s="120">
        <v>657976</v>
      </c>
      <c r="N48" s="120">
        <v>476310</v>
      </c>
      <c r="O48" s="120">
        <v>511579</v>
      </c>
      <c r="P48" s="120">
        <v>482237</v>
      </c>
      <c r="Q48" s="120">
        <v>774550</v>
      </c>
      <c r="R48" s="281" t="s">
        <v>74</v>
      </c>
    </row>
    <row r="49" spans="1:18" s="103" customFormat="1" ht="16.2" thickTop="1" x14ac:dyDescent="0.25">
      <c r="A49" s="127" t="s">
        <v>8</v>
      </c>
      <c r="B49" s="150">
        <f>SUM(B37:B48)</f>
        <v>5014170</v>
      </c>
      <c r="C49" s="118">
        <f t="shared" ref="C49:I49" si="8">SUM(C37:C48)</f>
        <v>5743486.9700000007</v>
      </c>
      <c r="D49" s="118">
        <f t="shared" si="8"/>
        <v>6104390</v>
      </c>
      <c r="E49" s="118">
        <f t="shared" si="8"/>
        <v>6743132.3700000001</v>
      </c>
      <c r="F49" s="118">
        <f t="shared" si="8"/>
        <v>6740843.0300000003</v>
      </c>
      <c r="G49" s="118">
        <f t="shared" si="8"/>
        <v>5760751</v>
      </c>
      <c r="H49" s="118">
        <f t="shared" si="8"/>
        <v>5841432</v>
      </c>
      <c r="I49" s="118">
        <f t="shared" si="8"/>
        <v>6342790</v>
      </c>
      <c r="J49" s="118">
        <f t="shared" ref="J49:P49" si="9">SUM(J37:J48)</f>
        <v>6473052</v>
      </c>
      <c r="K49" s="118">
        <f t="shared" si="9"/>
        <v>6824597</v>
      </c>
      <c r="L49" s="118">
        <f t="shared" si="9"/>
        <v>7386779</v>
      </c>
      <c r="M49" s="118">
        <f t="shared" si="9"/>
        <v>8299586</v>
      </c>
      <c r="N49" s="118">
        <f t="shared" si="9"/>
        <v>8294413</v>
      </c>
      <c r="O49" s="118">
        <f t="shared" si="9"/>
        <v>8457988</v>
      </c>
      <c r="P49" s="118">
        <f t="shared" si="9"/>
        <v>8032397</v>
      </c>
      <c r="Q49" s="118">
        <f t="shared" ref="Q49" si="10">SUM(Q37:Q48)</f>
        <v>8628237</v>
      </c>
      <c r="R49" s="268">
        <f t="shared" ref="R49" si="11">SUM(R37:R48)</f>
        <v>2118268</v>
      </c>
    </row>
    <row r="50" spans="1:18" s="108" customFormat="1" ht="6.6" x14ac:dyDescent="0.25">
      <c r="A50" s="328" t="s">
        <v>84</v>
      </c>
      <c r="B50" s="328"/>
      <c r="C50" s="328"/>
      <c r="D50" s="328"/>
      <c r="E50" s="328"/>
      <c r="F50" s="328"/>
      <c r="G50" s="328"/>
      <c r="H50" s="328"/>
      <c r="I50" s="328"/>
      <c r="J50" s="328"/>
      <c r="K50" s="328"/>
      <c r="L50" s="328"/>
      <c r="M50" s="328"/>
      <c r="N50" s="328"/>
      <c r="O50" s="328"/>
      <c r="P50" s="328"/>
      <c r="Q50" s="328"/>
      <c r="R50" s="328"/>
    </row>
    <row r="51" spans="1:18" s="102" customFormat="1" ht="18" x14ac:dyDescent="0.25">
      <c r="A51" s="333" t="s">
        <v>35</v>
      </c>
      <c r="B51" s="333"/>
      <c r="C51" s="333"/>
      <c r="D51" s="333"/>
      <c r="E51" s="333"/>
      <c r="F51" s="333"/>
      <c r="G51" s="333"/>
      <c r="H51" s="333"/>
      <c r="I51" s="333"/>
      <c r="J51" s="333"/>
      <c r="K51" s="333"/>
      <c r="L51" s="333"/>
      <c r="M51" s="333"/>
      <c r="N51" s="333"/>
      <c r="O51" s="333"/>
      <c r="P51" s="333"/>
      <c r="Q51" s="333"/>
      <c r="R51" s="333"/>
    </row>
    <row r="52" spans="1:18" s="103" customFormat="1" ht="15.6" x14ac:dyDescent="0.25">
      <c r="A52" s="126" t="s">
        <v>18</v>
      </c>
      <c r="B52" s="121">
        <v>2004</v>
      </c>
      <c r="C52" s="115">
        <v>2005</v>
      </c>
      <c r="D52" s="115">
        <v>2006</v>
      </c>
      <c r="E52" s="115">
        <v>2007</v>
      </c>
      <c r="F52" s="115">
        <v>2008</v>
      </c>
      <c r="G52" s="115">
        <v>2009</v>
      </c>
      <c r="H52" s="115">
        <v>2010</v>
      </c>
      <c r="I52" s="115">
        <v>2011</v>
      </c>
      <c r="J52" s="116">
        <v>2012</v>
      </c>
      <c r="K52" s="116">
        <v>2013</v>
      </c>
      <c r="L52" s="116">
        <v>2014</v>
      </c>
      <c r="M52" s="116">
        <v>2015</v>
      </c>
      <c r="N52" s="116">
        <v>2016</v>
      </c>
      <c r="O52" s="116">
        <v>2017</v>
      </c>
      <c r="P52" s="116">
        <v>2018</v>
      </c>
      <c r="Q52" s="116">
        <v>2019</v>
      </c>
      <c r="R52" s="265">
        <v>2020</v>
      </c>
    </row>
    <row r="53" spans="1:18" s="103" customFormat="1" ht="15.6" x14ac:dyDescent="0.25">
      <c r="A53" s="128" t="s">
        <v>19</v>
      </c>
      <c r="B53" s="148">
        <v>729892.62</v>
      </c>
      <c r="C53" s="149">
        <v>853921</v>
      </c>
      <c r="D53" s="149">
        <v>950123.88</v>
      </c>
      <c r="E53" s="149">
        <v>920219</v>
      </c>
      <c r="F53" s="149">
        <v>955881</v>
      </c>
      <c r="G53" s="149">
        <v>1002516</v>
      </c>
      <c r="H53" s="114">
        <v>840143</v>
      </c>
      <c r="I53" s="114">
        <v>862775</v>
      </c>
      <c r="J53" s="114">
        <v>1012737</v>
      </c>
      <c r="K53" s="114">
        <v>1059413</v>
      </c>
      <c r="L53" s="114">
        <v>1066282</v>
      </c>
      <c r="M53" s="114">
        <v>1012675</v>
      </c>
      <c r="N53" s="114">
        <v>1044693</v>
      </c>
      <c r="O53" s="114">
        <v>1102858</v>
      </c>
      <c r="P53" s="114">
        <v>1133099</v>
      </c>
      <c r="Q53" s="114">
        <v>1052434</v>
      </c>
      <c r="R53" s="266">
        <v>1051170</v>
      </c>
    </row>
    <row r="54" spans="1:18" s="103" customFormat="1" ht="15.6" x14ac:dyDescent="0.25">
      <c r="A54" s="129" t="s">
        <v>20</v>
      </c>
      <c r="B54" s="146">
        <v>577009.14</v>
      </c>
      <c r="C54" s="112">
        <v>634925.74</v>
      </c>
      <c r="D54" s="112">
        <v>757557.79</v>
      </c>
      <c r="E54" s="112">
        <v>778694.53</v>
      </c>
      <c r="F54" s="112">
        <v>807301</v>
      </c>
      <c r="G54" s="112">
        <v>842601</v>
      </c>
      <c r="H54" s="111">
        <v>691381</v>
      </c>
      <c r="I54" s="111">
        <v>669204</v>
      </c>
      <c r="J54" s="111">
        <v>820040</v>
      </c>
      <c r="K54" s="111">
        <v>794250</v>
      </c>
      <c r="L54" s="111">
        <v>824174</v>
      </c>
      <c r="M54" s="111">
        <v>928909</v>
      </c>
      <c r="N54" s="111">
        <v>944782</v>
      </c>
      <c r="O54" s="111">
        <v>1054643</v>
      </c>
      <c r="P54" s="111">
        <v>1148315</v>
      </c>
      <c r="Q54" s="111">
        <v>907588</v>
      </c>
      <c r="R54" s="267">
        <v>993565</v>
      </c>
    </row>
    <row r="55" spans="1:18" s="103" customFormat="1" ht="15.6" x14ac:dyDescent="0.25">
      <c r="A55" s="129" t="s">
        <v>21</v>
      </c>
      <c r="B55" s="146">
        <v>630777</v>
      </c>
      <c r="C55" s="112">
        <v>1085928.3600000001</v>
      </c>
      <c r="D55" s="112">
        <v>668264.21</v>
      </c>
      <c r="E55" s="112">
        <v>702294.6</v>
      </c>
      <c r="F55" s="112">
        <v>768695.34</v>
      </c>
      <c r="G55" s="112">
        <v>691805</v>
      </c>
      <c r="H55" s="111">
        <v>665433</v>
      </c>
      <c r="I55" s="111">
        <v>730121</v>
      </c>
      <c r="J55" s="111">
        <v>824181</v>
      </c>
      <c r="K55" s="111">
        <v>816130</v>
      </c>
      <c r="L55" s="111">
        <v>846681</v>
      </c>
      <c r="M55" s="111">
        <v>829044</v>
      </c>
      <c r="N55" s="111">
        <v>867304</v>
      </c>
      <c r="O55" s="111">
        <v>984159</v>
      </c>
      <c r="P55" s="111">
        <v>1299880</v>
      </c>
      <c r="Q55" s="111">
        <v>1143282</v>
      </c>
      <c r="R55" s="267">
        <v>881561</v>
      </c>
    </row>
    <row r="56" spans="1:18" s="103" customFormat="1" ht="15.6" x14ac:dyDescent="0.25">
      <c r="A56" s="129" t="s">
        <v>22</v>
      </c>
      <c r="B56" s="146">
        <v>678665.31</v>
      </c>
      <c r="C56" s="112">
        <v>728290</v>
      </c>
      <c r="D56" s="112">
        <v>770890.58</v>
      </c>
      <c r="E56" s="112">
        <v>834856.02</v>
      </c>
      <c r="F56" s="112">
        <v>928093.63</v>
      </c>
      <c r="G56" s="112">
        <v>749227</v>
      </c>
      <c r="H56" s="111">
        <v>788354</v>
      </c>
      <c r="I56" s="111">
        <v>814865</v>
      </c>
      <c r="J56" s="111">
        <v>880236</v>
      </c>
      <c r="K56" s="111">
        <v>825835</v>
      </c>
      <c r="L56" s="111">
        <v>874051</v>
      </c>
      <c r="M56" s="111">
        <v>1151211</v>
      </c>
      <c r="N56" s="111">
        <v>931584</v>
      </c>
      <c r="O56" s="111">
        <v>994042</v>
      </c>
      <c r="P56" s="111">
        <v>1041527</v>
      </c>
      <c r="Q56" s="111">
        <v>1027268</v>
      </c>
      <c r="R56" s="267">
        <v>463517</v>
      </c>
    </row>
    <row r="57" spans="1:18" s="103" customFormat="1" ht="15.6" x14ac:dyDescent="0.25">
      <c r="A57" s="129" t="s">
        <v>23</v>
      </c>
      <c r="B57" s="146">
        <v>695764</v>
      </c>
      <c r="C57" s="112">
        <v>773601</v>
      </c>
      <c r="D57" s="112">
        <v>762475</v>
      </c>
      <c r="E57" s="112">
        <v>817560.83</v>
      </c>
      <c r="F57" s="112">
        <v>978252.34</v>
      </c>
      <c r="G57" s="112">
        <v>801535</v>
      </c>
      <c r="H57" s="112">
        <v>868980</v>
      </c>
      <c r="I57" s="112">
        <v>947126</v>
      </c>
      <c r="J57" s="112">
        <v>927804</v>
      </c>
      <c r="K57" s="112">
        <v>986890</v>
      </c>
      <c r="L57" s="112">
        <v>892179</v>
      </c>
      <c r="M57" s="112">
        <v>1015676</v>
      </c>
      <c r="N57" s="112">
        <v>1134493</v>
      </c>
      <c r="O57" s="112">
        <v>1056141</v>
      </c>
      <c r="P57" s="112">
        <v>1108069</v>
      </c>
      <c r="Q57" s="112">
        <v>1224705</v>
      </c>
      <c r="R57" s="269">
        <v>73445</v>
      </c>
    </row>
    <row r="58" spans="1:18" s="103" customFormat="1" ht="15.6" x14ac:dyDescent="0.25">
      <c r="A58" s="129" t="s">
        <v>24</v>
      </c>
      <c r="B58" s="146">
        <v>741968.88</v>
      </c>
      <c r="C58" s="112">
        <v>862807.12</v>
      </c>
      <c r="D58" s="112">
        <v>828195.75</v>
      </c>
      <c r="E58" s="112">
        <v>921960</v>
      </c>
      <c r="F58" s="112">
        <v>968280</v>
      </c>
      <c r="G58" s="112">
        <v>867795</v>
      </c>
      <c r="H58" s="111">
        <v>1084371</v>
      </c>
      <c r="I58" s="111">
        <v>942799</v>
      </c>
      <c r="J58" s="111">
        <v>999166</v>
      </c>
      <c r="K58" s="111">
        <v>1064886</v>
      </c>
      <c r="L58" s="111">
        <v>1127217</v>
      </c>
      <c r="M58" s="111">
        <v>1052437</v>
      </c>
      <c r="N58" s="111">
        <v>1165338</v>
      </c>
      <c r="O58" s="111">
        <v>1130543</v>
      </c>
      <c r="P58" s="111">
        <v>1237122</v>
      </c>
      <c r="Q58" s="111">
        <v>1279208</v>
      </c>
      <c r="R58" s="267">
        <v>94753</v>
      </c>
    </row>
    <row r="59" spans="1:18" s="103" customFormat="1" ht="15.6" x14ac:dyDescent="0.3">
      <c r="A59" s="129" t="s">
        <v>25</v>
      </c>
      <c r="B59" s="146">
        <v>465928</v>
      </c>
      <c r="C59" s="112">
        <v>552910.64</v>
      </c>
      <c r="D59" s="112">
        <v>619536.1</v>
      </c>
      <c r="E59" s="112">
        <v>694332</v>
      </c>
      <c r="F59" s="112">
        <v>645548.81000000006</v>
      </c>
      <c r="G59" s="111">
        <v>554200</v>
      </c>
      <c r="H59" s="111">
        <v>735106</v>
      </c>
      <c r="I59" s="111">
        <v>838538</v>
      </c>
      <c r="J59" s="111">
        <v>890508</v>
      </c>
      <c r="K59" s="111">
        <v>923158</v>
      </c>
      <c r="L59" s="111">
        <v>1036179</v>
      </c>
      <c r="M59" s="111">
        <v>1093737</v>
      </c>
      <c r="N59" s="111">
        <v>1106163</v>
      </c>
      <c r="O59" s="111">
        <v>1047087</v>
      </c>
      <c r="P59" s="111">
        <v>1177952</v>
      </c>
      <c r="Q59" s="111">
        <v>1179607</v>
      </c>
      <c r="R59" s="279" t="s">
        <v>74</v>
      </c>
    </row>
    <row r="60" spans="1:18" s="103" customFormat="1" ht="15.6" x14ac:dyDescent="0.3">
      <c r="A60" s="129" t="s">
        <v>26</v>
      </c>
      <c r="B60" s="146">
        <v>1121419.05</v>
      </c>
      <c r="C60" s="112">
        <v>1091348.23</v>
      </c>
      <c r="D60" s="112">
        <v>1189837.25</v>
      </c>
      <c r="E60" s="112">
        <v>1269187.68</v>
      </c>
      <c r="F60" s="112">
        <v>1174749.28</v>
      </c>
      <c r="G60" s="111">
        <v>1058464</v>
      </c>
      <c r="H60" s="111">
        <v>1161399</v>
      </c>
      <c r="I60" s="111">
        <v>1282138</v>
      </c>
      <c r="J60" s="111">
        <v>1197244</v>
      </c>
      <c r="K60" s="111">
        <v>1165620</v>
      </c>
      <c r="L60" s="111">
        <v>1356705</v>
      </c>
      <c r="M60" s="111">
        <v>1253719</v>
      </c>
      <c r="N60" s="111">
        <v>1272165</v>
      </c>
      <c r="O60" s="111">
        <v>1391593</v>
      </c>
      <c r="P60" s="111">
        <v>1423018</v>
      </c>
      <c r="Q60" s="111">
        <v>1449074</v>
      </c>
      <c r="R60" s="280" t="s">
        <v>74</v>
      </c>
    </row>
    <row r="61" spans="1:18" s="103" customFormat="1" ht="15.6" x14ac:dyDescent="0.3">
      <c r="A61" s="129" t="s">
        <v>27</v>
      </c>
      <c r="B61" s="146">
        <v>885666.26</v>
      </c>
      <c r="C61" s="112">
        <v>791574</v>
      </c>
      <c r="D61" s="112">
        <v>916932.01</v>
      </c>
      <c r="E61" s="112">
        <v>932642</v>
      </c>
      <c r="F61" s="112">
        <v>996157.76</v>
      </c>
      <c r="G61" s="111">
        <v>834307</v>
      </c>
      <c r="H61" s="111">
        <v>978788</v>
      </c>
      <c r="I61" s="111">
        <v>1126306</v>
      </c>
      <c r="J61" s="111">
        <v>1026223</v>
      </c>
      <c r="K61" s="111">
        <v>1083115</v>
      </c>
      <c r="L61" s="111">
        <v>1089648</v>
      </c>
      <c r="M61" s="111">
        <v>1137339</v>
      </c>
      <c r="N61" s="111">
        <v>1170185</v>
      </c>
      <c r="O61" s="111">
        <v>1213575</v>
      </c>
      <c r="P61" s="111">
        <v>1286515</v>
      </c>
      <c r="Q61" s="111">
        <v>1454480</v>
      </c>
      <c r="R61" s="280" t="s">
        <v>74</v>
      </c>
    </row>
    <row r="62" spans="1:18" s="103" customFormat="1" ht="15.6" x14ac:dyDescent="0.3">
      <c r="A62" s="129" t="s">
        <v>28</v>
      </c>
      <c r="B62" s="146">
        <v>881820</v>
      </c>
      <c r="C62" s="112">
        <v>918392.94</v>
      </c>
      <c r="D62" s="112">
        <v>1099320.42</v>
      </c>
      <c r="E62" s="112">
        <v>1014154.61</v>
      </c>
      <c r="F62" s="112">
        <v>1154049</v>
      </c>
      <c r="G62" s="111">
        <v>896955</v>
      </c>
      <c r="H62" s="111">
        <v>1168648</v>
      </c>
      <c r="I62" s="111">
        <v>1115906</v>
      </c>
      <c r="J62" s="111">
        <v>1114826</v>
      </c>
      <c r="K62" s="111">
        <v>1152010</v>
      </c>
      <c r="L62" s="111">
        <v>1408401</v>
      </c>
      <c r="M62" s="111">
        <v>1161124</v>
      </c>
      <c r="N62" s="111">
        <v>1215435</v>
      </c>
      <c r="O62" s="111">
        <v>1279546</v>
      </c>
      <c r="P62" s="111">
        <v>1270208</v>
      </c>
      <c r="Q62" s="111">
        <v>1381935</v>
      </c>
      <c r="R62" s="280" t="s">
        <v>74</v>
      </c>
    </row>
    <row r="63" spans="1:18" s="103" customFormat="1" ht="15.6" x14ac:dyDescent="0.3">
      <c r="A63" s="129" t="s">
        <v>29</v>
      </c>
      <c r="B63" s="146">
        <v>848855.5</v>
      </c>
      <c r="C63" s="112">
        <v>816041</v>
      </c>
      <c r="D63" s="112">
        <v>920133.53</v>
      </c>
      <c r="E63" s="112">
        <v>921665</v>
      </c>
      <c r="F63" s="111" t="s">
        <v>33</v>
      </c>
      <c r="G63" s="111">
        <v>990873</v>
      </c>
      <c r="H63" s="111">
        <v>743081</v>
      </c>
      <c r="I63" s="111">
        <v>994849</v>
      </c>
      <c r="J63" s="111">
        <v>1048269</v>
      </c>
      <c r="K63" s="111">
        <v>1236900</v>
      </c>
      <c r="L63" s="111">
        <v>1048931</v>
      </c>
      <c r="M63" s="111">
        <v>1219935</v>
      </c>
      <c r="N63" s="111">
        <v>1225207</v>
      </c>
      <c r="O63" s="111">
        <v>1259852</v>
      </c>
      <c r="P63" s="111">
        <v>1316667</v>
      </c>
      <c r="Q63" s="111">
        <v>1225627</v>
      </c>
      <c r="R63" s="280" t="s">
        <v>74</v>
      </c>
    </row>
    <row r="64" spans="1:18" s="103" customFormat="1" ht="16.2" thickBot="1" x14ac:dyDescent="0.35">
      <c r="A64" s="130" t="s">
        <v>30</v>
      </c>
      <c r="B64" s="147">
        <v>703536.34</v>
      </c>
      <c r="C64" s="119">
        <v>760660.15</v>
      </c>
      <c r="D64" s="119">
        <v>775140</v>
      </c>
      <c r="E64" s="119">
        <v>799454.93</v>
      </c>
      <c r="F64" s="119">
        <v>1560625</v>
      </c>
      <c r="G64" s="120">
        <v>784457</v>
      </c>
      <c r="H64" s="120">
        <v>784325</v>
      </c>
      <c r="I64" s="120">
        <v>832914</v>
      </c>
      <c r="J64" s="120">
        <v>877001</v>
      </c>
      <c r="K64" s="120">
        <v>901071</v>
      </c>
      <c r="L64" s="120">
        <v>894145</v>
      </c>
      <c r="M64" s="120">
        <v>990340</v>
      </c>
      <c r="N64" s="120">
        <v>998961</v>
      </c>
      <c r="O64" s="120">
        <v>1036407</v>
      </c>
      <c r="P64" s="120">
        <v>966186</v>
      </c>
      <c r="Q64" s="120">
        <v>1037166</v>
      </c>
      <c r="R64" s="281" t="s">
        <v>74</v>
      </c>
    </row>
    <row r="65" spans="1:18" s="103" customFormat="1" ht="16.2" thickTop="1" x14ac:dyDescent="0.25">
      <c r="A65" s="127" t="s">
        <v>8</v>
      </c>
      <c r="B65" s="150">
        <f>SUM(B53:B64)</f>
        <v>8961302.0999999996</v>
      </c>
      <c r="C65" s="151">
        <f t="shared" ref="C65:I65" si="12">SUM(C53:C64)</f>
        <v>9870400.1799999997</v>
      </c>
      <c r="D65" s="151">
        <f t="shared" si="12"/>
        <v>10258406.519999998</v>
      </c>
      <c r="E65" s="151">
        <f t="shared" si="12"/>
        <v>10607021.199999999</v>
      </c>
      <c r="F65" s="151">
        <f t="shared" si="12"/>
        <v>10937633.16</v>
      </c>
      <c r="G65" s="151">
        <f t="shared" si="12"/>
        <v>10074735</v>
      </c>
      <c r="H65" s="151">
        <f t="shared" si="12"/>
        <v>10510009</v>
      </c>
      <c r="I65" s="151">
        <f t="shared" si="12"/>
        <v>11157541</v>
      </c>
      <c r="J65" s="151">
        <f t="shared" ref="J65:P65" si="13">SUM(J53:J64)</f>
        <v>11618235</v>
      </c>
      <c r="K65" s="151">
        <f t="shared" si="13"/>
        <v>12009278</v>
      </c>
      <c r="L65" s="151">
        <f t="shared" si="13"/>
        <v>12464593</v>
      </c>
      <c r="M65" s="151">
        <f t="shared" si="13"/>
        <v>12846146</v>
      </c>
      <c r="N65" s="151">
        <f t="shared" si="13"/>
        <v>13076310</v>
      </c>
      <c r="O65" s="151">
        <f t="shared" si="13"/>
        <v>13550446</v>
      </c>
      <c r="P65" s="151">
        <f t="shared" si="13"/>
        <v>14408558</v>
      </c>
      <c r="Q65" s="151">
        <f t="shared" ref="Q65" si="14">SUM(Q53:Q64)</f>
        <v>14362374</v>
      </c>
      <c r="R65" s="270">
        <f t="shared" ref="R65" si="15">SUM(R53:R64)</f>
        <v>3558011</v>
      </c>
    </row>
    <row r="66" spans="1:18" s="108" customFormat="1" ht="6.6" x14ac:dyDescent="0.25">
      <c r="A66" s="328" t="s">
        <v>84</v>
      </c>
      <c r="B66" s="328"/>
      <c r="C66" s="328"/>
      <c r="D66" s="328"/>
      <c r="E66" s="328"/>
      <c r="F66" s="328"/>
      <c r="G66" s="328"/>
      <c r="H66" s="328"/>
      <c r="I66" s="328"/>
      <c r="J66" s="328"/>
      <c r="K66" s="328"/>
      <c r="L66" s="328"/>
      <c r="M66" s="328"/>
      <c r="N66" s="328"/>
      <c r="O66" s="328"/>
      <c r="P66" s="328"/>
      <c r="Q66" s="328"/>
      <c r="R66" s="328"/>
    </row>
    <row r="67" spans="1:18" x14ac:dyDescent="0.25">
      <c r="A67" s="335" t="s">
        <v>34</v>
      </c>
      <c r="B67" s="335"/>
      <c r="C67" s="335"/>
      <c r="D67" s="335"/>
      <c r="E67" s="335"/>
      <c r="F67" s="335"/>
      <c r="G67" s="335"/>
      <c r="H67" s="335"/>
      <c r="I67" s="335"/>
      <c r="J67" s="335"/>
      <c r="K67" s="335"/>
      <c r="L67" s="335"/>
      <c r="M67" s="335"/>
      <c r="N67" s="335"/>
      <c r="O67" s="335"/>
      <c r="P67" s="335"/>
      <c r="Q67" s="335"/>
      <c r="R67" s="335"/>
    </row>
    <row r="68" spans="1:18" x14ac:dyDescent="0.25">
      <c r="A68" s="323" t="str">
        <f>'Lod&amp;Liq'!A64:F64</f>
        <v>Source:  Minnesota Department of Revenue, Tax Research Division, February 2021</v>
      </c>
      <c r="B68" s="323"/>
      <c r="C68" s="323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323"/>
    </row>
    <row r="69" spans="1:18" x14ac:dyDescent="0.25">
      <c r="A69" s="324" t="s">
        <v>73</v>
      </c>
      <c r="B69" s="324"/>
      <c r="C69" s="324"/>
      <c r="D69" s="324"/>
      <c r="E69" s="324"/>
      <c r="F69" s="324"/>
      <c r="G69" s="324"/>
      <c r="H69" s="324"/>
      <c r="I69" s="324"/>
      <c r="J69" s="324"/>
      <c r="K69" s="324"/>
      <c r="L69" s="324"/>
      <c r="M69" s="324"/>
      <c r="N69" s="324"/>
      <c r="O69" s="324"/>
      <c r="P69" s="324"/>
      <c r="Q69" s="324"/>
      <c r="R69" s="324"/>
    </row>
    <row r="82" spans="1:10" x14ac:dyDescent="0.25">
      <c r="A82" s="105"/>
      <c r="B82" s="106"/>
      <c r="C82" s="152"/>
      <c r="D82" s="152"/>
      <c r="E82" s="152"/>
      <c r="F82" s="153"/>
      <c r="G82" s="153"/>
      <c r="H82" s="106"/>
      <c r="I82" s="106"/>
      <c r="J82" s="106"/>
    </row>
    <row r="83" spans="1:10" x14ac:dyDescent="0.25">
      <c r="A83" s="105"/>
      <c r="B83" s="106"/>
      <c r="C83" s="152"/>
      <c r="D83" s="152"/>
      <c r="E83" s="152"/>
      <c r="F83" s="106"/>
      <c r="G83" s="106"/>
      <c r="H83" s="106"/>
      <c r="I83" s="106"/>
      <c r="J83" s="106"/>
    </row>
    <row r="84" spans="1:10" x14ac:dyDescent="0.25">
      <c r="A84" s="105"/>
      <c r="B84" s="106"/>
      <c r="C84" s="152"/>
      <c r="D84" s="152"/>
      <c r="E84" s="152"/>
      <c r="F84" s="106"/>
      <c r="G84" s="106"/>
      <c r="H84" s="106"/>
      <c r="I84" s="106"/>
      <c r="J84" s="106"/>
    </row>
    <row r="85" spans="1:10" x14ac:dyDescent="0.25">
      <c r="A85" s="105"/>
      <c r="B85" s="106"/>
      <c r="C85" s="152"/>
      <c r="D85" s="152"/>
      <c r="E85" s="152"/>
      <c r="F85" s="106"/>
      <c r="G85" s="106"/>
      <c r="H85" s="106"/>
      <c r="I85" s="106"/>
      <c r="J85" s="106"/>
    </row>
    <row r="86" spans="1:10" x14ac:dyDescent="0.25">
      <c r="A86" s="105"/>
      <c r="B86" s="106"/>
      <c r="C86" s="152"/>
      <c r="D86" s="152"/>
      <c r="E86" s="152"/>
      <c r="F86" s="106"/>
      <c r="G86" s="106"/>
      <c r="H86" s="106"/>
      <c r="I86" s="106"/>
      <c r="J86" s="106"/>
    </row>
    <row r="87" spans="1:10" x14ac:dyDescent="0.25">
      <c r="A87" s="105"/>
      <c r="B87" s="106"/>
      <c r="C87" s="152"/>
      <c r="D87" s="152"/>
      <c r="E87" s="152"/>
      <c r="F87" s="106"/>
      <c r="G87" s="106"/>
      <c r="H87" s="106"/>
      <c r="I87" s="106"/>
      <c r="J87" s="106"/>
    </row>
    <row r="88" spans="1:10" x14ac:dyDescent="0.25">
      <c r="A88" s="105"/>
      <c r="B88" s="106"/>
      <c r="C88" s="152"/>
      <c r="D88" s="152"/>
      <c r="E88" s="152"/>
      <c r="F88" s="106"/>
      <c r="G88" s="106"/>
      <c r="H88" s="106"/>
      <c r="I88" s="106"/>
      <c r="J88" s="106"/>
    </row>
    <row r="89" spans="1:10" x14ac:dyDescent="0.25">
      <c r="A89" s="105"/>
      <c r="B89" s="106"/>
      <c r="C89" s="152"/>
      <c r="D89" s="152"/>
      <c r="E89" s="152"/>
      <c r="F89" s="106"/>
      <c r="G89" s="106"/>
      <c r="H89" s="106"/>
      <c r="I89" s="106"/>
      <c r="J89" s="106"/>
    </row>
    <row r="90" spans="1:10" x14ac:dyDescent="0.25">
      <c r="A90" s="105"/>
      <c r="B90" s="106"/>
      <c r="C90" s="152"/>
      <c r="D90" s="152"/>
      <c r="E90" s="152"/>
      <c r="F90" s="106"/>
      <c r="G90" s="106"/>
      <c r="H90" s="106"/>
      <c r="I90" s="106"/>
      <c r="J90" s="106"/>
    </row>
    <row r="91" spans="1:10" x14ac:dyDescent="0.25">
      <c r="A91" s="105"/>
      <c r="B91" s="106"/>
      <c r="C91" s="152"/>
      <c r="D91" s="152"/>
      <c r="E91" s="152"/>
      <c r="F91" s="106"/>
      <c r="G91" s="106"/>
      <c r="H91" s="106"/>
      <c r="I91" s="106"/>
      <c r="J91" s="106"/>
    </row>
    <row r="92" spans="1:10" x14ac:dyDescent="0.25">
      <c r="A92" s="105"/>
      <c r="B92" s="106"/>
      <c r="C92" s="106"/>
      <c r="D92" s="106"/>
      <c r="E92" s="106"/>
      <c r="F92" s="106"/>
      <c r="G92" s="106"/>
      <c r="H92" s="106"/>
      <c r="I92" s="106"/>
      <c r="J92" s="106"/>
    </row>
    <row r="93" spans="1:10" x14ac:dyDescent="0.25">
      <c r="A93" s="105"/>
      <c r="B93" s="106"/>
      <c r="C93" s="106"/>
      <c r="D93" s="106"/>
      <c r="E93" s="106"/>
      <c r="F93" s="106"/>
      <c r="G93" s="106"/>
      <c r="H93" s="106"/>
      <c r="I93" s="106"/>
      <c r="J93" s="106"/>
    </row>
    <row r="94" spans="1:10" x14ac:dyDescent="0.25">
      <c r="A94" s="105"/>
      <c r="B94" s="106"/>
      <c r="C94" s="106"/>
      <c r="D94" s="106"/>
      <c r="E94" s="106"/>
      <c r="F94" s="106"/>
      <c r="G94" s="106"/>
      <c r="H94" s="106"/>
      <c r="I94" s="106"/>
      <c r="J94" s="106"/>
    </row>
    <row r="95" spans="1:10" x14ac:dyDescent="0.25">
      <c r="A95" s="105"/>
      <c r="B95" s="106"/>
      <c r="C95" s="106"/>
      <c r="D95" s="106"/>
      <c r="E95" s="106"/>
      <c r="F95" s="106"/>
      <c r="G95" s="106"/>
      <c r="H95" s="106"/>
      <c r="I95" s="106"/>
      <c r="J95" s="106"/>
    </row>
    <row r="96" spans="1:10" x14ac:dyDescent="0.25">
      <c r="A96" s="105"/>
      <c r="B96" s="106"/>
      <c r="C96" s="106"/>
      <c r="D96" s="106"/>
      <c r="E96" s="106"/>
      <c r="F96" s="106"/>
      <c r="G96" s="106"/>
      <c r="H96" s="106"/>
      <c r="I96" s="106"/>
      <c r="J96" s="106"/>
    </row>
    <row r="97" spans="1:10" x14ac:dyDescent="0.25">
      <c r="A97" s="105"/>
      <c r="B97" s="106"/>
      <c r="C97" s="106"/>
      <c r="D97" s="106"/>
      <c r="E97" s="106"/>
      <c r="F97" s="106"/>
      <c r="G97" s="106"/>
      <c r="H97" s="106"/>
      <c r="I97" s="106"/>
      <c r="J97" s="106"/>
    </row>
    <row r="98" spans="1:10" x14ac:dyDescent="0.25">
      <c r="A98" s="105"/>
      <c r="B98" s="106"/>
      <c r="C98" s="106"/>
      <c r="D98" s="106"/>
      <c r="E98" s="106"/>
      <c r="F98" s="106"/>
      <c r="G98" s="106"/>
      <c r="H98" s="106"/>
      <c r="I98" s="106"/>
      <c r="J98" s="106"/>
    </row>
    <row r="99" spans="1:10" x14ac:dyDescent="0.25">
      <c r="A99" s="105"/>
      <c r="B99" s="106"/>
    </row>
    <row r="100" spans="1:10" x14ac:dyDescent="0.25">
      <c r="A100" s="105"/>
      <c r="B100" s="106"/>
    </row>
    <row r="101" spans="1:10" x14ac:dyDescent="0.25">
      <c r="A101" s="105"/>
      <c r="B101" s="106"/>
    </row>
    <row r="102" spans="1:10" x14ac:dyDescent="0.25">
      <c r="A102" s="105"/>
      <c r="B102" s="106"/>
    </row>
    <row r="103" spans="1:10" x14ac:dyDescent="0.25">
      <c r="A103" s="105"/>
      <c r="B103" s="106"/>
    </row>
    <row r="104" spans="1:10" x14ac:dyDescent="0.25">
      <c r="A104" s="105"/>
      <c r="B104" s="106"/>
    </row>
    <row r="105" spans="1:10" x14ac:dyDescent="0.25">
      <c r="A105" s="105"/>
      <c r="B105" s="106"/>
    </row>
    <row r="106" spans="1:10" x14ac:dyDescent="0.25">
      <c r="A106" s="105"/>
      <c r="B106" s="106"/>
    </row>
    <row r="107" spans="1:10" x14ac:dyDescent="0.25">
      <c r="A107" s="105"/>
      <c r="B107" s="106"/>
    </row>
    <row r="108" spans="1:10" x14ac:dyDescent="0.25">
      <c r="A108" s="105"/>
      <c r="B108" s="106"/>
    </row>
    <row r="109" spans="1:10" x14ac:dyDescent="0.25">
      <c r="A109" s="105"/>
      <c r="B109" s="106"/>
    </row>
    <row r="110" spans="1:10" x14ac:dyDescent="0.25">
      <c r="A110" s="105"/>
      <c r="B110" s="106"/>
    </row>
    <row r="111" spans="1:10" x14ac:dyDescent="0.25">
      <c r="A111" s="105"/>
      <c r="B111" s="106"/>
    </row>
    <row r="112" spans="1:10" x14ac:dyDescent="0.25">
      <c r="A112" s="105"/>
      <c r="B112" s="106"/>
    </row>
    <row r="113" spans="1:2" x14ac:dyDescent="0.25">
      <c r="A113" s="105"/>
      <c r="B113" s="106"/>
    </row>
    <row r="114" spans="1:2" x14ac:dyDescent="0.25">
      <c r="A114" s="105"/>
      <c r="B114" s="106"/>
    </row>
    <row r="115" spans="1:2" x14ac:dyDescent="0.25">
      <c r="A115" s="105"/>
      <c r="B115" s="106"/>
    </row>
    <row r="116" spans="1:2" x14ac:dyDescent="0.25">
      <c r="A116" s="105"/>
      <c r="B116" s="106"/>
    </row>
    <row r="117" spans="1:2" x14ac:dyDescent="0.25">
      <c r="A117" s="105"/>
      <c r="B117" s="106"/>
    </row>
    <row r="118" spans="1:2" x14ac:dyDescent="0.25">
      <c r="A118" s="105"/>
      <c r="B118" s="106"/>
    </row>
    <row r="119" spans="1:2" x14ac:dyDescent="0.25">
      <c r="A119" s="105"/>
      <c r="B119" s="106"/>
    </row>
    <row r="120" spans="1:2" x14ac:dyDescent="0.25">
      <c r="A120" s="105"/>
      <c r="B120" s="106"/>
    </row>
    <row r="121" spans="1:2" x14ac:dyDescent="0.25">
      <c r="A121" s="105"/>
      <c r="B121" s="106"/>
    </row>
    <row r="122" spans="1:2" x14ac:dyDescent="0.25">
      <c r="A122" s="105"/>
      <c r="B122" s="106"/>
    </row>
    <row r="123" spans="1:2" x14ac:dyDescent="0.25">
      <c r="A123" s="105"/>
      <c r="B123" s="106"/>
    </row>
    <row r="124" spans="1:2" x14ac:dyDescent="0.25">
      <c r="A124" s="105"/>
      <c r="B124" s="106"/>
    </row>
    <row r="125" spans="1:2" x14ac:dyDescent="0.25">
      <c r="A125" s="105"/>
      <c r="B125" s="106"/>
    </row>
    <row r="126" spans="1:2" x14ac:dyDescent="0.25">
      <c r="A126" s="105"/>
      <c r="B126" s="106"/>
    </row>
    <row r="127" spans="1:2" x14ac:dyDescent="0.25">
      <c r="A127" s="105"/>
      <c r="B127" s="106"/>
    </row>
    <row r="128" spans="1:2" x14ac:dyDescent="0.25">
      <c r="A128" s="105"/>
      <c r="B128" s="106"/>
    </row>
    <row r="129" spans="1:2" x14ac:dyDescent="0.25">
      <c r="A129" s="105"/>
      <c r="B129" s="106"/>
    </row>
    <row r="130" spans="1:2" x14ac:dyDescent="0.25">
      <c r="A130" s="105"/>
      <c r="B130" s="106"/>
    </row>
    <row r="131" spans="1:2" x14ac:dyDescent="0.25">
      <c r="A131" s="105"/>
      <c r="B131" s="106"/>
    </row>
    <row r="132" spans="1:2" x14ac:dyDescent="0.25">
      <c r="A132" s="105"/>
      <c r="B132" s="106"/>
    </row>
    <row r="133" spans="1:2" x14ac:dyDescent="0.25">
      <c r="A133" s="105"/>
      <c r="B133" s="106"/>
    </row>
    <row r="134" spans="1:2" x14ac:dyDescent="0.25">
      <c r="A134" s="105"/>
      <c r="B134" s="106"/>
    </row>
    <row r="135" spans="1:2" x14ac:dyDescent="0.25">
      <c r="A135" s="105"/>
      <c r="B135" s="106"/>
    </row>
    <row r="136" spans="1:2" x14ac:dyDescent="0.25">
      <c r="A136" s="105"/>
      <c r="B136" s="106"/>
    </row>
    <row r="137" spans="1:2" x14ac:dyDescent="0.25">
      <c r="A137" s="105"/>
      <c r="B137" s="106"/>
    </row>
    <row r="138" spans="1:2" x14ac:dyDescent="0.25">
      <c r="A138" s="105"/>
      <c r="B138" s="106"/>
    </row>
    <row r="139" spans="1:2" x14ac:dyDescent="0.25">
      <c r="A139" s="105"/>
      <c r="B139" s="106"/>
    </row>
    <row r="140" spans="1:2" x14ac:dyDescent="0.25">
      <c r="A140" s="105"/>
      <c r="B140" s="106"/>
    </row>
    <row r="141" spans="1:2" x14ac:dyDescent="0.25">
      <c r="A141" s="105"/>
      <c r="B141" s="106"/>
    </row>
    <row r="142" spans="1:2" x14ac:dyDescent="0.25">
      <c r="A142" s="105"/>
      <c r="B142" s="106"/>
    </row>
    <row r="143" spans="1:2" x14ac:dyDescent="0.25">
      <c r="A143" s="105"/>
      <c r="B143" s="106"/>
    </row>
    <row r="144" spans="1:2" x14ac:dyDescent="0.25">
      <c r="A144" s="105"/>
      <c r="B144" s="106"/>
    </row>
    <row r="145" spans="1:2" x14ac:dyDescent="0.25">
      <c r="A145" s="105"/>
      <c r="B145" s="106"/>
    </row>
    <row r="146" spans="1:2" x14ac:dyDescent="0.25">
      <c r="A146" s="105"/>
      <c r="B146" s="106"/>
    </row>
    <row r="147" spans="1:2" x14ac:dyDescent="0.25">
      <c r="A147" s="105"/>
      <c r="B147" s="106"/>
    </row>
    <row r="148" spans="1:2" x14ac:dyDescent="0.25">
      <c r="A148" s="105"/>
      <c r="B148" s="106"/>
    </row>
    <row r="149" spans="1:2" x14ac:dyDescent="0.25">
      <c r="A149" s="105"/>
      <c r="B149" s="106"/>
    </row>
    <row r="150" spans="1:2" x14ac:dyDescent="0.25">
      <c r="A150" s="105"/>
      <c r="B150" s="106"/>
    </row>
    <row r="151" spans="1:2" x14ac:dyDescent="0.25">
      <c r="A151" s="105"/>
      <c r="B151" s="106"/>
    </row>
    <row r="152" spans="1:2" x14ac:dyDescent="0.25">
      <c r="A152" s="105"/>
      <c r="B152" s="106"/>
    </row>
    <row r="153" spans="1:2" x14ac:dyDescent="0.25">
      <c r="A153" s="105"/>
      <c r="B153" s="106"/>
    </row>
    <row r="154" spans="1:2" x14ac:dyDescent="0.25">
      <c r="A154" s="105"/>
      <c r="B154" s="106"/>
    </row>
    <row r="155" spans="1:2" x14ac:dyDescent="0.25">
      <c r="A155" s="105"/>
      <c r="B155" s="106"/>
    </row>
    <row r="156" spans="1:2" x14ac:dyDescent="0.25">
      <c r="A156" s="105"/>
      <c r="B156" s="106"/>
    </row>
    <row r="157" spans="1:2" x14ac:dyDescent="0.25">
      <c r="A157" s="105"/>
      <c r="B157" s="106"/>
    </row>
    <row r="158" spans="1:2" x14ac:dyDescent="0.25">
      <c r="A158" s="105"/>
      <c r="B158" s="106"/>
    </row>
    <row r="159" spans="1:2" x14ac:dyDescent="0.25">
      <c r="A159" s="105"/>
      <c r="B159" s="106"/>
    </row>
    <row r="160" spans="1:2" x14ac:dyDescent="0.25">
      <c r="A160" s="105"/>
      <c r="B160" s="106"/>
    </row>
    <row r="161" spans="1:2" x14ac:dyDescent="0.25">
      <c r="A161" s="105"/>
      <c r="B161" s="106"/>
    </row>
    <row r="162" spans="1:2" x14ac:dyDescent="0.25">
      <c r="A162" s="105"/>
      <c r="B162" s="106"/>
    </row>
    <row r="163" spans="1:2" x14ac:dyDescent="0.25">
      <c r="A163" s="105"/>
      <c r="B163" s="106"/>
    </row>
    <row r="164" spans="1:2" x14ac:dyDescent="0.25">
      <c r="A164" s="105"/>
      <c r="B164" s="106"/>
    </row>
    <row r="165" spans="1:2" x14ac:dyDescent="0.25">
      <c r="A165" s="105"/>
      <c r="B165" s="106"/>
    </row>
    <row r="166" spans="1:2" x14ac:dyDescent="0.25">
      <c r="A166" s="105"/>
      <c r="B166" s="106"/>
    </row>
    <row r="167" spans="1:2" x14ac:dyDescent="0.25">
      <c r="A167" s="105"/>
      <c r="B167" s="106"/>
    </row>
    <row r="168" spans="1:2" x14ac:dyDescent="0.25">
      <c r="A168" s="105"/>
      <c r="B168" s="106"/>
    </row>
    <row r="169" spans="1:2" x14ac:dyDescent="0.25">
      <c r="A169" s="105"/>
      <c r="B169" s="106"/>
    </row>
    <row r="170" spans="1:2" x14ac:dyDescent="0.25">
      <c r="A170" s="105"/>
      <c r="B170" s="106"/>
    </row>
    <row r="171" spans="1:2" x14ac:dyDescent="0.25">
      <c r="A171" s="105"/>
      <c r="B171" s="106"/>
    </row>
    <row r="172" spans="1:2" x14ac:dyDescent="0.25">
      <c r="A172" s="105"/>
      <c r="B172" s="106"/>
    </row>
    <row r="173" spans="1:2" x14ac:dyDescent="0.25">
      <c r="A173" s="105"/>
      <c r="B173" s="106"/>
    </row>
    <row r="174" spans="1:2" x14ac:dyDescent="0.25">
      <c r="A174" s="105"/>
      <c r="B174" s="106"/>
    </row>
    <row r="175" spans="1:2" x14ac:dyDescent="0.25">
      <c r="A175" s="105"/>
      <c r="B175" s="106"/>
    </row>
    <row r="176" spans="1:2" x14ac:dyDescent="0.25">
      <c r="A176" s="105"/>
      <c r="B176" s="106"/>
    </row>
    <row r="177" spans="1:2" x14ac:dyDescent="0.25">
      <c r="A177" s="105"/>
      <c r="B177" s="106"/>
    </row>
    <row r="178" spans="1:2" x14ac:dyDescent="0.25">
      <c r="A178" s="105"/>
      <c r="B178" s="106"/>
    </row>
    <row r="179" spans="1:2" x14ac:dyDescent="0.25">
      <c r="A179" s="105"/>
      <c r="B179" s="106"/>
    </row>
    <row r="180" spans="1:2" x14ac:dyDescent="0.25">
      <c r="A180" s="105"/>
      <c r="B180" s="106"/>
    </row>
    <row r="181" spans="1:2" x14ac:dyDescent="0.25">
      <c r="A181" s="105"/>
      <c r="B181" s="106"/>
    </row>
    <row r="182" spans="1:2" x14ac:dyDescent="0.25">
      <c r="A182" s="105"/>
      <c r="B182" s="106"/>
    </row>
    <row r="183" spans="1:2" x14ac:dyDescent="0.25">
      <c r="A183" s="105"/>
      <c r="B183" s="106"/>
    </row>
    <row r="184" spans="1:2" x14ac:dyDescent="0.25">
      <c r="A184" s="105"/>
      <c r="B184" s="106"/>
    </row>
    <row r="185" spans="1:2" x14ac:dyDescent="0.25">
      <c r="A185" s="105"/>
      <c r="B185" s="106"/>
    </row>
    <row r="186" spans="1:2" x14ac:dyDescent="0.25">
      <c r="A186" s="105"/>
      <c r="B186" s="106"/>
    </row>
    <row r="187" spans="1:2" x14ac:dyDescent="0.25">
      <c r="A187" s="105"/>
      <c r="B187" s="106"/>
    </row>
    <row r="188" spans="1:2" x14ac:dyDescent="0.25">
      <c r="A188" s="105"/>
      <c r="B188" s="106"/>
    </row>
    <row r="189" spans="1:2" x14ac:dyDescent="0.25">
      <c r="A189" s="105"/>
      <c r="B189" s="106"/>
    </row>
    <row r="190" spans="1:2" x14ac:dyDescent="0.25">
      <c r="A190" s="105"/>
      <c r="B190" s="106"/>
    </row>
    <row r="191" spans="1:2" x14ac:dyDescent="0.25">
      <c r="A191" s="105"/>
      <c r="B191" s="106"/>
    </row>
    <row r="192" spans="1:2" x14ac:dyDescent="0.25">
      <c r="A192" s="105"/>
      <c r="B192" s="106"/>
    </row>
    <row r="193" spans="1:2" x14ac:dyDescent="0.25">
      <c r="A193" s="105"/>
      <c r="B193" s="106"/>
    </row>
    <row r="194" spans="1:2" x14ac:dyDescent="0.25">
      <c r="A194" s="105"/>
      <c r="B194" s="106"/>
    </row>
    <row r="195" spans="1:2" x14ac:dyDescent="0.25">
      <c r="A195" s="105"/>
      <c r="B195" s="106"/>
    </row>
    <row r="196" spans="1:2" x14ac:dyDescent="0.25">
      <c r="A196" s="105"/>
      <c r="B196" s="106"/>
    </row>
    <row r="197" spans="1:2" x14ac:dyDescent="0.25">
      <c r="A197" s="105"/>
      <c r="B197" s="106"/>
    </row>
    <row r="198" spans="1:2" x14ac:dyDescent="0.25">
      <c r="A198" s="105"/>
      <c r="B198" s="106"/>
    </row>
    <row r="199" spans="1:2" x14ac:dyDescent="0.25">
      <c r="A199" s="105"/>
      <c r="B199" s="106"/>
    </row>
    <row r="200" spans="1:2" x14ac:dyDescent="0.25">
      <c r="A200" s="105"/>
      <c r="B200" s="106"/>
    </row>
    <row r="201" spans="1:2" x14ac:dyDescent="0.25">
      <c r="A201" s="105"/>
      <c r="B201" s="106"/>
    </row>
    <row r="202" spans="1:2" x14ac:dyDescent="0.25">
      <c r="A202" s="105"/>
      <c r="B202" s="106"/>
    </row>
    <row r="203" spans="1:2" x14ac:dyDescent="0.25">
      <c r="A203" s="105"/>
      <c r="B203" s="106"/>
    </row>
    <row r="204" spans="1:2" x14ac:dyDescent="0.25">
      <c r="A204" s="105"/>
      <c r="B204" s="106"/>
    </row>
    <row r="205" spans="1:2" x14ac:dyDescent="0.25">
      <c r="A205" s="105"/>
      <c r="B205" s="106"/>
    </row>
    <row r="206" spans="1:2" x14ac:dyDescent="0.25">
      <c r="A206" s="105"/>
      <c r="B206" s="106"/>
    </row>
    <row r="207" spans="1:2" x14ac:dyDescent="0.25">
      <c r="A207" s="105"/>
      <c r="B207" s="106"/>
    </row>
    <row r="208" spans="1:2" x14ac:dyDescent="0.25">
      <c r="A208" s="105"/>
      <c r="B208" s="106"/>
    </row>
    <row r="209" spans="1:2" x14ac:dyDescent="0.25">
      <c r="A209" s="105"/>
      <c r="B209" s="106"/>
    </row>
    <row r="210" spans="1:2" x14ac:dyDescent="0.25">
      <c r="A210" s="105"/>
      <c r="B210" s="106"/>
    </row>
    <row r="211" spans="1:2" x14ac:dyDescent="0.25">
      <c r="A211" s="105"/>
      <c r="B211" s="106"/>
    </row>
    <row r="212" spans="1:2" x14ac:dyDescent="0.25">
      <c r="A212" s="105"/>
      <c r="B212" s="106"/>
    </row>
  </sheetData>
  <mergeCells count="13">
    <mergeCell ref="A69:R69"/>
    <mergeCell ref="A1:R1"/>
    <mergeCell ref="A2:R2"/>
    <mergeCell ref="A50:R50"/>
    <mergeCell ref="A51:R51"/>
    <mergeCell ref="A66:R66"/>
    <mergeCell ref="A67:R67"/>
    <mergeCell ref="A68:R68"/>
    <mergeCell ref="A3:R3"/>
    <mergeCell ref="A18:R18"/>
    <mergeCell ref="A19:R19"/>
    <mergeCell ref="A34:R34"/>
    <mergeCell ref="A35:R35"/>
  </mergeCells>
  <pageMargins left="0" right="0" top="0.75" bottom="0.75" header="0.3" footer="0.3"/>
  <pageSetup scale="60" orientation="portrait" r:id="rId1"/>
  <rowBreaks count="1" manualBreakCount="1">
    <brk id="34" max="16383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0">
    <pageSetUpPr fitToPage="1"/>
  </sheetPr>
  <dimension ref="A1:R21"/>
  <sheetViews>
    <sheetView showGridLines="0" zoomScaleNormal="100" workbookViewId="0">
      <pane ySplit="1" topLeftCell="A2" activePane="bottomLeft" state="frozen"/>
      <selection pane="bottomLeft" sqref="A1:R1"/>
    </sheetView>
  </sheetViews>
  <sheetFormatPr defaultRowHeight="13.8" x14ac:dyDescent="0.25"/>
  <cols>
    <col min="1" max="1" width="12.5546875" style="107" customWidth="1"/>
    <col min="2" max="10" width="13.5546875" style="104" hidden="1" customWidth="1"/>
    <col min="11" max="18" width="13.5546875" style="104" customWidth="1"/>
    <col min="19" max="16384" width="8.88671875" style="104"/>
  </cols>
  <sheetData>
    <row r="1" spans="1:18" s="101" customFormat="1" ht="21" x14ac:dyDescent="0.25">
      <c r="A1" s="325" t="s">
        <v>88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6" t="s">
        <v>129</v>
      </c>
      <c r="B3" s="336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4">
        <v>37886</v>
      </c>
      <c r="M5" s="114">
        <v>39540</v>
      </c>
      <c r="N5" s="114">
        <v>40214</v>
      </c>
      <c r="O5" s="114">
        <v>39507</v>
      </c>
      <c r="P5" s="114">
        <v>42694</v>
      </c>
      <c r="Q5" s="114">
        <v>43188</v>
      </c>
      <c r="R5" s="266">
        <v>44187</v>
      </c>
    </row>
    <row r="6" spans="1:18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>
        <v>31447</v>
      </c>
      <c r="M6" s="111">
        <v>36679</v>
      </c>
      <c r="N6" s="111">
        <v>36545</v>
      </c>
      <c r="O6" s="111">
        <v>38424</v>
      </c>
      <c r="P6" s="111">
        <v>39806</v>
      </c>
      <c r="Q6" s="111">
        <v>36124</v>
      </c>
      <c r="R6" s="267">
        <v>38594</v>
      </c>
    </row>
    <row r="7" spans="1:18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>
        <v>31494</v>
      </c>
      <c r="M7" s="111">
        <v>36203</v>
      </c>
      <c r="N7" s="111">
        <v>36699</v>
      </c>
      <c r="O7" s="111">
        <v>36473</v>
      </c>
      <c r="P7" s="111">
        <v>37435</v>
      </c>
      <c r="Q7" s="111">
        <v>35287</v>
      </c>
      <c r="R7" s="267">
        <v>40188</v>
      </c>
    </row>
    <row r="8" spans="1:18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>
        <v>36759</v>
      </c>
      <c r="M8" s="111">
        <v>40804</v>
      </c>
      <c r="N8" s="111">
        <v>40368</v>
      </c>
      <c r="O8" s="111">
        <v>44380</v>
      </c>
      <c r="P8" s="111">
        <v>44781</v>
      </c>
      <c r="Q8" s="111">
        <v>44904</v>
      </c>
      <c r="R8" s="267">
        <v>33708</v>
      </c>
    </row>
    <row r="9" spans="1:18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>
        <v>35250</v>
      </c>
      <c r="M9" s="111">
        <v>39255</v>
      </c>
      <c r="N9" s="111">
        <v>41604</v>
      </c>
      <c r="O9" s="111">
        <v>41339</v>
      </c>
      <c r="P9" s="111">
        <v>40534</v>
      </c>
      <c r="Q9" s="111">
        <v>42656</v>
      </c>
      <c r="R9" s="267">
        <v>25940</v>
      </c>
    </row>
    <row r="10" spans="1:18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>
        <v>38289</v>
      </c>
      <c r="M10" s="111">
        <v>41400</v>
      </c>
      <c r="N10" s="111">
        <v>42310</v>
      </c>
      <c r="O10" s="111">
        <v>41873</v>
      </c>
      <c r="P10" s="111">
        <v>45790</v>
      </c>
      <c r="Q10" s="111">
        <v>50582</v>
      </c>
      <c r="R10" s="267">
        <v>32216</v>
      </c>
    </row>
    <row r="11" spans="1:18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>
        <v>34716</v>
      </c>
      <c r="M11" s="111">
        <v>38697</v>
      </c>
      <c r="N11" s="111">
        <v>39629</v>
      </c>
      <c r="O11" s="111">
        <v>40422</v>
      </c>
      <c r="P11" s="111">
        <v>55517</v>
      </c>
      <c r="Q11" s="111">
        <v>43408</v>
      </c>
      <c r="R11" s="279" t="s">
        <v>74</v>
      </c>
    </row>
    <row r="12" spans="1:18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0">
        <v>29284</v>
      </c>
      <c r="L12" s="111">
        <v>43399</v>
      </c>
      <c r="M12" s="111">
        <v>43374</v>
      </c>
      <c r="N12" s="111">
        <v>45162</v>
      </c>
      <c r="O12" s="109">
        <v>44991</v>
      </c>
      <c r="P12" s="109">
        <v>47823</v>
      </c>
      <c r="Q12" s="109">
        <v>49229</v>
      </c>
      <c r="R12" s="280" t="s">
        <v>74</v>
      </c>
    </row>
    <row r="13" spans="1:18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1">
        <v>34388</v>
      </c>
      <c r="L13" s="111">
        <v>40463</v>
      </c>
      <c r="M13" s="111">
        <v>40560</v>
      </c>
      <c r="N13" s="111">
        <v>42404</v>
      </c>
      <c r="O13" s="111">
        <v>43253</v>
      </c>
      <c r="P13" s="111">
        <v>45862</v>
      </c>
      <c r="Q13" s="111">
        <v>46575</v>
      </c>
      <c r="R13" s="280" t="s">
        <v>74</v>
      </c>
    </row>
    <row r="14" spans="1:18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1">
        <v>36171</v>
      </c>
      <c r="L14" s="111">
        <v>38735</v>
      </c>
      <c r="M14" s="111">
        <v>40768</v>
      </c>
      <c r="N14" s="111">
        <v>41971</v>
      </c>
      <c r="O14" s="111">
        <v>43029</v>
      </c>
      <c r="P14" s="111">
        <v>44440</v>
      </c>
      <c r="Q14" s="111">
        <v>45149</v>
      </c>
      <c r="R14" s="280" t="s">
        <v>74</v>
      </c>
    </row>
    <row r="15" spans="1:18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1">
        <v>36372</v>
      </c>
      <c r="L15" s="111">
        <v>39800</v>
      </c>
      <c r="M15" s="111">
        <v>41046</v>
      </c>
      <c r="N15" s="111">
        <v>42141</v>
      </c>
      <c r="O15" s="111">
        <v>44865</v>
      </c>
      <c r="P15" s="111">
        <v>47182</v>
      </c>
      <c r="Q15" s="111">
        <v>45756</v>
      </c>
      <c r="R15" s="280" t="s">
        <v>74</v>
      </c>
    </row>
    <row r="16" spans="1:18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120">
        <v>32430</v>
      </c>
      <c r="L16" s="120">
        <v>36724</v>
      </c>
      <c r="M16" s="120">
        <v>39736</v>
      </c>
      <c r="N16" s="120">
        <v>39790</v>
      </c>
      <c r="O16" s="120">
        <v>40762</v>
      </c>
      <c r="P16" s="120">
        <v>42240</v>
      </c>
      <c r="Q16" s="120">
        <v>41879</v>
      </c>
      <c r="R16" s="281" t="s">
        <v>74</v>
      </c>
    </row>
    <row r="17" spans="1:18" s="103" customFormat="1" ht="16.2" thickTop="1" x14ac:dyDescent="0.25">
      <c r="A17" s="127" t="s">
        <v>8</v>
      </c>
      <c r="B17" s="134" t="s">
        <v>74</v>
      </c>
      <c r="C17" s="135" t="s">
        <v>74</v>
      </c>
      <c r="D17" s="135" t="s">
        <v>74</v>
      </c>
      <c r="E17" s="135" t="s">
        <v>74</v>
      </c>
      <c r="F17" s="135" t="s">
        <v>74</v>
      </c>
      <c r="G17" s="135" t="s">
        <v>74</v>
      </c>
      <c r="H17" s="135" t="s">
        <v>74</v>
      </c>
      <c r="I17" s="135" t="s">
        <v>74</v>
      </c>
      <c r="J17" s="117" t="s">
        <v>74</v>
      </c>
      <c r="K17" s="118">
        <f t="shared" ref="K17:P17" si="0">SUM(K5:K16)</f>
        <v>168645</v>
      </c>
      <c r="L17" s="118">
        <f t="shared" si="0"/>
        <v>444962</v>
      </c>
      <c r="M17" s="118">
        <f t="shared" si="0"/>
        <v>478062</v>
      </c>
      <c r="N17" s="118">
        <f t="shared" si="0"/>
        <v>488837</v>
      </c>
      <c r="O17" s="118">
        <f t="shared" si="0"/>
        <v>499318</v>
      </c>
      <c r="P17" s="118">
        <f t="shared" si="0"/>
        <v>534104</v>
      </c>
      <c r="Q17" s="118">
        <f t="shared" ref="Q17:R17" si="1">SUM(Q5:Q16)</f>
        <v>524737</v>
      </c>
      <c r="R17" s="268">
        <f t="shared" si="1"/>
        <v>214833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29" t="s">
        <v>87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0:R20"/>
    <mergeCell ref="A21:R21"/>
    <mergeCell ref="A1:R1"/>
    <mergeCell ref="A2:R2"/>
    <mergeCell ref="A3:R3"/>
    <mergeCell ref="A18:R18"/>
    <mergeCell ref="A19:R19"/>
  </mergeCells>
  <pageMargins left="0.75" right="0.25" top="1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6">
    <pageSetUpPr fitToPage="1"/>
  </sheetPr>
  <dimension ref="A1:R210"/>
  <sheetViews>
    <sheetView showGridLines="0" workbookViewId="0">
      <pane ySplit="1" topLeftCell="A2" activePane="bottomLeft" state="frozen"/>
      <selection pane="bottomLeft" sqref="A1:R1"/>
    </sheetView>
  </sheetViews>
  <sheetFormatPr defaultRowHeight="13.8" x14ac:dyDescent="0.25"/>
  <cols>
    <col min="1" max="1" width="12.5546875" style="107" customWidth="1"/>
    <col min="2" max="18" width="13.5546875" style="104" customWidth="1"/>
    <col min="19" max="16384" width="8.88671875" style="104"/>
  </cols>
  <sheetData>
    <row r="1" spans="1:18" s="101" customFormat="1" ht="21" x14ac:dyDescent="0.25">
      <c r="A1" s="325" t="s">
        <v>92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3" t="s">
        <v>50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48">
        <v>164090</v>
      </c>
      <c r="C5" s="149">
        <v>254310</v>
      </c>
      <c r="D5" s="149">
        <v>230431</v>
      </c>
      <c r="E5" s="149">
        <v>214936.44</v>
      </c>
      <c r="F5" s="149">
        <v>215187</v>
      </c>
      <c r="G5" s="149">
        <v>219802</v>
      </c>
      <c r="H5" s="114">
        <v>230819</v>
      </c>
      <c r="I5" s="114">
        <v>226469</v>
      </c>
      <c r="J5" s="114">
        <v>227584</v>
      </c>
      <c r="K5" s="114">
        <v>316491</v>
      </c>
      <c r="L5" s="114">
        <v>276423</v>
      </c>
      <c r="M5" s="114">
        <v>498368</v>
      </c>
      <c r="N5" s="114">
        <v>583431</v>
      </c>
      <c r="O5" s="114">
        <v>585628</v>
      </c>
      <c r="P5" s="114">
        <v>595437</v>
      </c>
      <c r="Q5" s="114">
        <v>654674</v>
      </c>
      <c r="R5" s="266">
        <v>707500</v>
      </c>
    </row>
    <row r="6" spans="1:18" s="103" customFormat="1" ht="15.6" x14ac:dyDescent="0.25">
      <c r="A6" s="129" t="s">
        <v>20</v>
      </c>
      <c r="B6" s="145">
        <v>226291</v>
      </c>
      <c r="C6" s="112">
        <v>203461</v>
      </c>
      <c r="D6" s="112">
        <v>221593</v>
      </c>
      <c r="E6" s="112">
        <v>254778</v>
      </c>
      <c r="F6" s="112">
        <v>271622</v>
      </c>
      <c r="G6" s="112">
        <v>246587</v>
      </c>
      <c r="H6" s="111">
        <v>254335</v>
      </c>
      <c r="I6" s="111">
        <v>260892</v>
      </c>
      <c r="J6" s="111">
        <v>268257</v>
      </c>
      <c r="K6" s="111">
        <v>293175</v>
      </c>
      <c r="L6" s="111">
        <v>576032</v>
      </c>
      <c r="M6" s="111">
        <v>563836</v>
      </c>
      <c r="N6" s="111">
        <v>600613</v>
      </c>
      <c r="O6" s="111">
        <v>646239</v>
      </c>
      <c r="P6" s="111">
        <v>785885</v>
      </c>
      <c r="Q6" s="111">
        <v>741547</v>
      </c>
      <c r="R6" s="267">
        <v>790115</v>
      </c>
    </row>
    <row r="7" spans="1:18" s="103" customFormat="1" ht="15.6" x14ac:dyDescent="0.25">
      <c r="A7" s="129" t="s">
        <v>21</v>
      </c>
      <c r="B7" s="145">
        <v>201389.42</v>
      </c>
      <c r="C7" s="112">
        <v>201821.13</v>
      </c>
      <c r="D7" s="112">
        <v>230752</v>
      </c>
      <c r="E7" s="112">
        <v>244291</v>
      </c>
      <c r="F7" s="112">
        <v>259616</v>
      </c>
      <c r="G7" s="112">
        <v>238978</v>
      </c>
      <c r="H7" s="111">
        <v>243619</v>
      </c>
      <c r="I7" s="111">
        <v>258253</v>
      </c>
      <c r="J7" s="111">
        <v>279494</v>
      </c>
      <c r="K7" s="111">
        <v>289490</v>
      </c>
      <c r="L7" s="111">
        <v>580655</v>
      </c>
      <c r="M7" s="111">
        <v>584804</v>
      </c>
      <c r="N7" s="111">
        <v>633584</v>
      </c>
      <c r="O7" s="111">
        <v>644701</v>
      </c>
      <c r="P7" s="111">
        <v>680458</v>
      </c>
      <c r="Q7" s="111">
        <v>718788</v>
      </c>
      <c r="R7" s="267">
        <v>752735</v>
      </c>
    </row>
    <row r="8" spans="1:18" s="103" customFormat="1" ht="15.6" x14ac:dyDescent="0.25">
      <c r="A8" s="129" t="s">
        <v>22</v>
      </c>
      <c r="B8" s="145">
        <v>231803.38</v>
      </c>
      <c r="C8" s="112">
        <v>239447</v>
      </c>
      <c r="D8" s="112">
        <v>264322</v>
      </c>
      <c r="E8" s="112">
        <v>316518</v>
      </c>
      <c r="F8" s="112">
        <v>290281</v>
      </c>
      <c r="G8" s="112">
        <v>275026</v>
      </c>
      <c r="H8" s="111">
        <v>283127</v>
      </c>
      <c r="I8" s="111">
        <v>307302</v>
      </c>
      <c r="J8" s="111">
        <v>327836</v>
      </c>
      <c r="K8" s="111">
        <v>345829</v>
      </c>
      <c r="L8" s="111">
        <v>639856</v>
      </c>
      <c r="M8" s="111">
        <v>660835</v>
      </c>
      <c r="N8" s="111">
        <v>722774</v>
      </c>
      <c r="O8" s="111">
        <v>791365</v>
      </c>
      <c r="P8" s="111">
        <v>769275</v>
      </c>
      <c r="Q8" s="111">
        <v>800759</v>
      </c>
      <c r="R8" s="267">
        <v>503735</v>
      </c>
    </row>
    <row r="9" spans="1:18" s="103" customFormat="1" ht="15.6" x14ac:dyDescent="0.25">
      <c r="A9" s="129" t="s">
        <v>23</v>
      </c>
      <c r="B9" s="145">
        <v>218220</v>
      </c>
      <c r="C9" s="112">
        <v>333670</v>
      </c>
      <c r="D9" s="112">
        <v>242150</v>
      </c>
      <c r="E9" s="112">
        <v>269422</v>
      </c>
      <c r="F9" s="112">
        <v>289166</v>
      </c>
      <c r="G9" s="112">
        <v>277226</v>
      </c>
      <c r="H9" s="111">
        <v>282745</v>
      </c>
      <c r="I9" s="111">
        <v>296427</v>
      </c>
      <c r="J9" s="111">
        <v>296020</v>
      </c>
      <c r="K9" s="111">
        <v>454289</v>
      </c>
      <c r="L9" s="111">
        <v>660597</v>
      </c>
      <c r="M9" s="111">
        <v>665390</v>
      </c>
      <c r="N9" s="111">
        <v>694641</v>
      </c>
      <c r="O9" s="111">
        <v>795796</v>
      </c>
      <c r="P9" s="111">
        <v>876859</v>
      </c>
      <c r="Q9" s="111">
        <v>909255</v>
      </c>
      <c r="R9" s="267">
        <v>120441</v>
      </c>
    </row>
    <row r="10" spans="1:18" s="103" customFormat="1" ht="15.6" x14ac:dyDescent="0.25">
      <c r="A10" s="129" t="s">
        <v>24</v>
      </c>
      <c r="B10" s="145">
        <v>254441.38</v>
      </c>
      <c r="C10" s="112">
        <v>254459</v>
      </c>
      <c r="D10" s="112">
        <v>281920</v>
      </c>
      <c r="E10" s="112">
        <v>297447</v>
      </c>
      <c r="F10" s="112">
        <v>289675.01</v>
      </c>
      <c r="G10" s="112">
        <v>283789</v>
      </c>
      <c r="H10" s="111">
        <v>296915</v>
      </c>
      <c r="I10" s="111">
        <v>315254</v>
      </c>
      <c r="J10" s="111">
        <v>327237</v>
      </c>
      <c r="K10" s="111">
        <v>379282</v>
      </c>
      <c r="L10" s="111">
        <v>673502</v>
      </c>
      <c r="M10" s="111">
        <v>825652</v>
      </c>
      <c r="N10" s="111">
        <v>785418</v>
      </c>
      <c r="O10" s="111">
        <v>797138</v>
      </c>
      <c r="P10" s="111">
        <v>1056641</v>
      </c>
      <c r="Q10" s="111">
        <v>906409</v>
      </c>
      <c r="R10" s="267">
        <v>-76914</v>
      </c>
    </row>
    <row r="11" spans="1:18" s="103" customFormat="1" ht="15.6" x14ac:dyDescent="0.3">
      <c r="A11" s="129" t="s">
        <v>25</v>
      </c>
      <c r="B11" s="145">
        <v>225987</v>
      </c>
      <c r="C11" s="112">
        <v>274489</v>
      </c>
      <c r="D11" s="112">
        <v>286734</v>
      </c>
      <c r="E11" s="112">
        <v>315620</v>
      </c>
      <c r="F11" s="112">
        <v>292972</v>
      </c>
      <c r="G11" s="112">
        <v>277050</v>
      </c>
      <c r="H11" s="111">
        <v>281292</v>
      </c>
      <c r="I11" s="111">
        <v>282713</v>
      </c>
      <c r="J11" s="111">
        <v>346330</v>
      </c>
      <c r="K11" s="111">
        <v>320204</v>
      </c>
      <c r="L11" s="111">
        <v>616879</v>
      </c>
      <c r="M11" s="111">
        <v>454952</v>
      </c>
      <c r="N11" s="111">
        <v>484747</v>
      </c>
      <c r="O11" s="111">
        <v>742678</v>
      </c>
      <c r="P11" s="111">
        <v>796525</v>
      </c>
      <c r="Q11" s="111">
        <v>825481</v>
      </c>
      <c r="R11" s="279" t="s">
        <v>74</v>
      </c>
    </row>
    <row r="12" spans="1:18" s="103" customFormat="1" ht="15.6" x14ac:dyDescent="0.3">
      <c r="A12" s="129" t="s">
        <v>26</v>
      </c>
      <c r="B12" s="145">
        <v>260890</v>
      </c>
      <c r="C12" s="112">
        <v>289438</v>
      </c>
      <c r="D12" s="112">
        <v>333137</v>
      </c>
      <c r="E12" s="112">
        <v>353282</v>
      </c>
      <c r="F12" s="112">
        <v>390628</v>
      </c>
      <c r="G12" s="112">
        <v>507583</v>
      </c>
      <c r="H12" s="111">
        <v>394423</v>
      </c>
      <c r="I12" s="111">
        <v>396274</v>
      </c>
      <c r="J12" s="111">
        <v>364198</v>
      </c>
      <c r="K12" s="111">
        <v>491300</v>
      </c>
      <c r="L12" s="111">
        <v>783975</v>
      </c>
      <c r="M12" s="111">
        <v>1127521</v>
      </c>
      <c r="N12" s="111">
        <v>1068566</v>
      </c>
      <c r="O12" s="111">
        <v>998857</v>
      </c>
      <c r="P12" s="111">
        <v>1022774</v>
      </c>
      <c r="Q12" s="111">
        <v>1185304</v>
      </c>
      <c r="R12" s="280" t="s">
        <v>74</v>
      </c>
    </row>
    <row r="13" spans="1:18" s="103" customFormat="1" ht="15.6" x14ac:dyDescent="0.3">
      <c r="A13" s="129" t="s">
        <v>27</v>
      </c>
      <c r="B13" s="145">
        <v>262389</v>
      </c>
      <c r="C13" s="112">
        <v>251997.38</v>
      </c>
      <c r="D13" s="112">
        <v>318952</v>
      </c>
      <c r="E13" s="112">
        <v>340215</v>
      </c>
      <c r="F13" s="112">
        <v>335582</v>
      </c>
      <c r="G13" s="112">
        <v>354264</v>
      </c>
      <c r="H13" s="111">
        <v>334149</v>
      </c>
      <c r="I13" s="111">
        <v>337342</v>
      </c>
      <c r="J13" s="111">
        <v>374510</v>
      </c>
      <c r="K13" s="111">
        <v>402853</v>
      </c>
      <c r="L13" s="111">
        <v>743254</v>
      </c>
      <c r="M13" s="111">
        <v>832614</v>
      </c>
      <c r="N13" s="111">
        <v>856839</v>
      </c>
      <c r="O13" s="111">
        <v>892061</v>
      </c>
      <c r="P13" s="111">
        <v>951557</v>
      </c>
      <c r="Q13" s="111">
        <v>953971</v>
      </c>
      <c r="R13" s="280" t="s">
        <v>74</v>
      </c>
    </row>
    <row r="14" spans="1:18" s="103" customFormat="1" ht="15.6" x14ac:dyDescent="0.3">
      <c r="A14" s="129" t="s">
        <v>28</v>
      </c>
      <c r="B14" s="145">
        <v>239107</v>
      </c>
      <c r="C14" s="112">
        <v>285782</v>
      </c>
      <c r="D14" s="112">
        <v>286564</v>
      </c>
      <c r="E14" s="112">
        <v>318468</v>
      </c>
      <c r="F14" s="112">
        <v>308061</v>
      </c>
      <c r="G14" s="112">
        <v>346578</v>
      </c>
      <c r="H14" s="111">
        <v>311934</v>
      </c>
      <c r="I14" s="111">
        <v>323614</v>
      </c>
      <c r="J14" s="111">
        <v>329568</v>
      </c>
      <c r="K14" s="111">
        <v>391213</v>
      </c>
      <c r="L14" s="111">
        <v>730492</v>
      </c>
      <c r="M14" s="111">
        <v>789009</v>
      </c>
      <c r="N14" s="111">
        <v>744889</v>
      </c>
      <c r="O14" s="111">
        <v>783309</v>
      </c>
      <c r="P14" s="111">
        <v>862175</v>
      </c>
      <c r="Q14" s="111">
        <v>930403</v>
      </c>
      <c r="R14" s="280" t="s">
        <v>74</v>
      </c>
    </row>
    <row r="15" spans="1:18" s="103" customFormat="1" ht="15.6" x14ac:dyDescent="0.3">
      <c r="A15" s="129" t="s">
        <v>29</v>
      </c>
      <c r="B15" s="145">
        <v>247302.58</v>
      </c>
      <c r="C15" s="112">
        <v>220259</v>
      </c>
      <c r="D15" s="112">
        <v>306029</v>
      </c>
      <c r="E15" s="112">
        <v>354962</v>
      </c>
      <c r="F15" s="111" t="s">
        <v>44</v>
      </c>
      <c r="G15" s="112">
        <v>325344</v>
      </c>
      <c r="H15" s="111">
        <v>278486</v>
      </c>
      <c r="I15" s="111">
        <v>323889</v>
      </c>
      <c r="J15" s="111">
        <v>377757</v>
      </c>
      <c r="K15" s="111">
        <v>402023</v>
      </c>
      <c r="L15" s="111">
        <v>768663</v>
      </c>
      <c r="M15" s="111">
        <v>809124</v>
      </c>
      <c r="N15" s="111">
        <v>824143</v>
      </c>
      <c r="O15" s="111">
        <v>976789</v>
      </c>
      <c r="P15" s="111">
        <v>1385542</v>
      </c>
      <c r="Q15" s="111">
        <v>1006928</v>
      </c>
      <c r="R15" s="280" t="s">
        <v>74</v>
      </c>
    </row>
    <row r="16" spans="1:18" s="103" customFormat="1" ht="16.2" thickBot="1" x14ac:dyDescent="0.35">
      <c r="A16" s="130" t="s">
        <v>30</v>
      </c>
      <c r="B16" s="124">
        <v>199118</v>
      </c>
      <c r="C16" s="119">
        <v>226057</v>
      </c>
      <c r="D16" s="119">
        <v>243875</v>
      </c>
      <c r="E16" s="119">
        <v>263450</v>
      </c>
      <c r="F16" s="119">
        <v>569194</v>
      </c>
      <c r="G16" s="119">
        <v>256647</v>
      </c>
      <c r="H16" s="120">
        <v>316636</v>
      </c>
      <c r="I16" s="120">
        <v>284826</v>
      </c>
      <c r="J16" s="120">
        <v>288250</v>
      </c>
      <c r="K16" s="120">
        <v>331872</v>
      </c>
      <c r="L16" s="120">
        <v>591215</v>
      </c>
      <c r="M16" s="120">
        <v>683654</v>
      </c>
      <c r="N16" s="120">
        <v>563353</v>
      </c>
      <c r="O16" s="120">
        <v>777655</v>
      </c>
      <c r="P16" s="120">
        <v>714515</v>
      </c>
      <c r="Q16" s="120">
        <v>807401</v>
      </c>
      <c r="R16" s="281" t="s">
        <v>74</v>
      </c>
    </row>
    <row r="17" spans="1:18" s="103" customFormat="1" ht="16.2" thickTop="1" x14ac:dyDescent="0.25">
      <c r="A17" s="127" t="s">
        <v>8</v>
      </c>
      <c r="B17" s="150">
        <f>SUM(B5:B16)</f>
        <v>2731028.7600000002</v>
      </c>
      <c r="C17" s="151">
        <f t="shared" ref="C17:I17" si="0">SUM(C5:C16)</f>
        <v>3035190.51</v>
      </c>
      <c r="D17" s="151">
        <f t="shared" si="0"/>
        <v>3246459</v>
      </c>
      <c r="E17" s="151">
        <f t="shared" si="0"/>
        <v>3543389.44</v>
      </c>
      <c r="F17" s="151">
        <f t="shared" si="0"/>
        <v>3511984.01</v>
      </c>
      <c r="G17" s="151">
        <f t="shared" si="0"/>
        <v>3608874</v>
      </c>
      <c r="H17" s="151">
        <f t="shared" si="0"/>
        <v>3508480</v>
      </c>
      <c r="I17" s="151">
        <f t="shared" si="0"/>
        <v>3613255</v>
      </c>
      <c r="J17" s="151">
        <f t="shared" ref="J17:P17" si="1">SUM(J5:J16)</f>
        <v>3807041</v>
      </c>
      <c r="K17" s="151">
        <f t="shared" si="1"/>
        <v>4418021</v>
      </c>
      <c r="L17" s="151">
        <f t="shared" si="1"/>
        <v>7641543</v>
      </c>
      <c r="M17" s="151">
        <f t="shared" si="1"/>
        <v>8495759</v>
      </c>
      <c r="N17" s="151">
        <f t="shared" si="1"/>
        <v>8562998</v>
      </c>
      <c r="O17" s="151">
        <f t="shared" si="1"/>
        <v>9432216</v>
      </c>
      <c r="P17" s="151">
        <f t="shared" si="1"/>
        <v>10497643</v>
      </c>
      <c r="Q17" s="151">
        <f t="shared" ref="Q17:R17" si="2">SUM(Q5:Q16)</f>
        <v>10440920</v>
      </c>
      <c r="R17" s="270">
        <f t="shared" si="2"/>
        <v>2797612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35" t="s">
        <v>34</v>
      </c>
      <c r="B19" s="335"/>
      <c r="C19" s="335"/>
      <c r="D19" s="335"/>
      <c r="E19" s="335"/>
      <c r="F19" s="335"/>
      <c r="G19" s="335"/>
      <c r="H19" s="335"/>
      <c r="I19" s="335"/>
      <c r="J19" s="335"/>
      <c r="K19" s="335"/>
      <c r="L19" s="335"/>
      <c r="M19" s="335"/>
      <c r="N19" s="335"/>
      <c r="O19" s="335"/>
      <c r="P19" s="335"/>
      <c r="Q19" s="335"/>
      <c r="R19" s="335"/>
    </row>
    <row r="20" spans="1:1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  <row r="22" spans="1:18" x14ac:dyDescent="0.25">
      <c r="A22" s="105"/>
      <c r="B22" s="106"/>
      <c r="G22" s="142"/>
    </row>
    <row r="23" spans="1:18" x14ac:dyDescent="0.25">
      <c r="A23" s="105"/>
      <c r="B23" s="106"/>
      <c r="G23" s="142"/>
    </row>
    <row r="24" spans="1:18" x14ac:dyDescent="0.25">
      <c r="A24" s="105"/>
      <c r="B24" s="106"/>
      <c r="G24" s="142"/>
    </row>
    <row r="25" spans="1:18" x14ac:dyDescent="0.25">
      <c r="A25" s="105"/>
      <c r="B25" s="106"/>
      <c r="G25" s="142"/>
    </row>
    <row r="26" spans="1:18" x14ac:dyDescent="0.25">
      <c r="A26" s="105"/>
      <c r="B26" s="106"/>
      <c r="G26" s="142"/>
    </row>
    <row r="27" spans="1:18" x14ac:dyDescent="0.25">
      <c r="A27" s="105"/>
      <c r="B27" s="106"/>
      <c r="G27" s="142"/>
    </row>
    <row r="28" spans="1:18" x14ac:dyDescent="0.25">
      <c r="A28" s="105"/>
      <c r="B28" s="106"/>
      <c r="G28" s="142"/>
    </row>
    <row r="29" spans="1:18" x14ac:dyDescent="0.25">
      <c r="A29" s="105"/>
      <c r="B29" s="106"/>
      <c r="G29" s="142"/>
    </row>
    <row r="30" spans="1:18" x14ac:dyDescent="0.25">
      <c r="A30" s="105"/>
      <c r="B30" s="106"/>
      <c r="G30" s="142"/>
    </row>
    <row r="31" spans="1:18" x14ac:dyDescent="0.25">
      <c r="A31" s="105"/>
      <c r="B31" s="106"/>
      <c r="G31" s="142"/>
    </row>
    <row r="32" spans="1:18" x14ac:dyDescent="0.25">
      <c r="A32" s="105"/>
      <c r="B32" s="106"/>
      <c r="G32" s="142"/>
    </row>
    <row r="33" spans="1:7" x14ac:dyDescent="0.25">
      <c r="A33" s="105"/>
      <c r="B33" s="106"/>
      <c r="G33" s="142"/>
    </row>
    <row r="34" spans="1:7" x14ac:dyDescent="0.25">
      <c r="A34" s="105"/>
      <c r="B34" s="106"/>
      <c r="G34" s="142"/>
    </row>
    <row r="35" spans="1:7" x14ac:dyDescent="0.25">
      <c r="A35" s="105"/>
      <c r="B35" s="106"/>
      <c r="G35" s="142"/>
    </row>
    <row r="36" spans="1:7" x14ac:dyDescent="0.25">
      <c r="A36" s="105"/>
      <c r="B36" s="106"/>
      <c r="G36" s="142"/>
    </row>
    <row r="37" spans="1:7" x14ac:dyDescent="0.25">
      <c r="A37" s="105"/>
      <c r="B37" s="106"/>
      <c r="G37" s="142"/>
    </row>
    <row r="38" spans="1:7" x14ac:dyDescent="0.25">
      <c r="A38" s="105"/>
      <c r="B38" s="106"/>
      <c r="G38" s="142"/>
    </row>
    <row r="39" spans="1:7" x14ac:dyDescent="0.25">
      <c r="A39" s="105"/>
      <c r="B39" s="106"/>
      <c r="G39" s="142"/>
    </row>
    <row r="40" spans="1:7" x14ac:dyDescent="0.25">
      <c r="A40" s="105"/>
      <c r="B40" s="106"/>
      <c r="G40" s="142"/>
    </row>
    <row r="41" spans="1:7" x14ac:dyDescent="0.25">
      <c r="A41" s="105"/>
      <c r="B41" s="106"/>
      <c r="G41" s="142"/>
    </row>
    <row r="42" spans="1:7" x14ac:dyDescent="0.25">
      <c r="A42" s="105"/>
      <c r="B42" s="106"/>
      <c r="G42" s="142"/>
    </row>
    <row r="43" spans="1:7" x14ac:dyDescent="0.25">
      <c r="A43" s="105"/>
      <c r="B43" s="106"/>
    </row>
    <row r="44" spans="1:7" x14ac:dyDescent="0.25">
      <c r="A44" s="105"/>
      <c r="B44" s="106"/>
    </row>
    <row r="45" spans="1:7" x14ac:dyDescent="0.25">
      <c r="A45" s="105"/>
      <c r="B45" s="106"/>
    </row>
    <row r="46" spans="1:7" x14ac:dyDescent="0.25">
      <c r="A46" s="105"/>
      <c r="B46" s="106"/>
    </row>
    <row r="47" spans="1:7" x14ac:dyDescent="0.25">
      <c r="A47" s="105"/>
      <c r="B47" s="106"/>
    </row>
    <row r="48" spans="1:7" x14ac:dyDescent="0.25">
      <c r="A48" s="105"/>
      <c r="B48" s="106"/>
    </row>
    <row r="49" spans="1:2" x14ac:dyDescent="0.25">
      <c r="A49" s="105"/>
      <c r="B49" s="106"/>
    </row>
    <row r="50" spans="1:2" x14ac:dyDescent="0.25">
      <c r="A50" s="105"/>
      <c r="B50" s="106"/>
    </row>
    <row r="51" spans="1:2" x14ac:dyDescent="0.25">
      <c r="A51" s="105"/>
      <c r="B51" s="106"/>
    </row>
    <row r="52" spans="1:2" x14ac:dyDescent="0.25">
      <c r="A52" s="105"/>
      <c r="B52" s="106"/>
    </row>
    <row r="53" spans="1:2" x14ac:dyDescent="0.25">
      <c r="A53" s="105"/>
      <c r="B53" s="106"/>
    </row>
    <row r="54" spans="1:2" x14ac:dyDescent="0.25">
      <c r="A54" s="105"/>
      <c r="B54" s="106"/>
    </row>
    <row r="55" spans="1:2" x14ac:dyDescent="0.25">
      <c r="A55" s="105"/>
      <c r="B55" s="106"/>
    </row>
    <row r="56" spans="1:2" x14ac:dyDescent="0.25">
      <c r="A56" s="105"/>
      <c r="B56" s="106"/>
    </row>
    <row r="57" spans="1:2" x14ac:dyDescent="0.25">
      <c r="A57" s="105"/>
      <c r="B57" s="106"/>
    </row>
    <row r="58" spans="1:2" x14ac:dyDescent="0.25">
      <c r="A58" s="105"/>
      <c r="B58" s="106"/>
    </row>
    <row r="59" spans="1:2" x14ac:dyDescent="0.25">
      <c r="A59" s="105"/>
      <c r="B59" s="106"/>
    </row>
    <row r="60" spans="1:2" x14ac:dyDescent="0.25">
      <c r="A60" s="105"/>
      <c r="B60" s="106"/>
    </row>
    <row r="61" spans="1:2" x14ac:dyDescent="0.25">
      <c r="A61" s="105"/>
      <c r="B61" s="106"/>
    </row>
    <row r="62" spans="1:2" x14ac:dyDescent="0.25">
      <c r="A62" s="105"/>
      <c r="B62" s="106"/>
    </row>
    <row r="63" spans="1:2" x14ac:dyDescent="0.25">
      <c r="A63" s="105"/>
      <c r="B63" s="106"/>
    </row>
    <row r="64" spans="1:2" x14ac:dyDescent="0.25">
      <c r="A64" s="105"/>
      <c r="B64" s="106"/>
    </row>
    <row r="65" spans="1:2" x14ac:dyDescent="0.25">
      <c r="A65" s="105"/>
      <c r="B65" s="106"/>
    </row>
    <row r="66" spans="1:2" x14ac:dyDescent="0.25">
      <c r="A66" s="105"/>
      <c r="B66" s="106"/>
    </row>
    <row r="67" spans="1:2" x14ac:dyDescent="0.25">
      <c r="A67" s="105"/>
      <c r="B67" s="106"/>
    </row>
    <row r="68" spans="1:2" x14ac:dyDescent="0.25">
      <c r="A68" s="105"/>
      <c r="B68" s="106"/>
    </row>
    <row r="69" spans="1:2" x14ac:dyDescent="0.25">
      <c r="A69" s="105"/>
      <c r="B69" s="106"/>
    </row>
    <row r="70" spans="1:2" x14ac:dyDescent="0.25">
      <c r="A70" s="105"/>
      <c r="B70" s="106"/>
    </row>
    <row r="71" spans="1:2" x14ac:dyDescent="0.25">
      <c r="A71" s="105"/>
      <c r="B71" s="106"/>
    </row>
    <row r="72" spans="1:2" x14ac:dyDescent="0.25">
      <c r="A72" s="105"/>
      <c r="B72" s="106"/>
    </row>
    <row r="73" spans="1:2" x14ac:dyDescent="0.25">
      <c r="A73" s="105"/>
      <c r="B73" s="106"/>
    </row>
    <row r="74" spans="1:2" x14ac:dyDescent="0.25">
      <c r="A74" s="105"/>
      <c r="B74" s="106"/>
    </row>
    <row r="75" spans="1:2" x14ac:dyDescent="0.25">
      <c r="A75" s="105"/>
      <c r="B75" s="106"/>
    </row>
    <row r="76" spans="1:2" x14ac:dyDescent="0.25">
      <c r="A76" s="105"/>
      <c r="B76" s="106"/>
    </row>
    <row r="77" spans="1:2" x14ac:dyDescent="0.25">
      <c r="A77" s="105"/>
      <c r="B77" s="106"/>
    </row>
    <row r="78" spans="1:2" x14ac:dyDescent="0.25">
      <c r="A78" s="105"/>
      <c r="B78" s="106"/>
    </row>
    <row r="79" spans="1:2" x14ac:dyDescent="0.25">
      <c r="A79" s="105"/>
      <c r="B79" s="106"/>
    </row>
    <row r="80" spans="1:2" x14ac:dyDescent="0.25">
      <c r="A80" s="105"/>
      <c r="B80" s="106"/>
    </row>
    <row r="81" spans="1:2" x14ac:dyDescent="0.25">
      <c r="A81" s="105"/>
      <c r="B81" s="106"/>
    </row>
    <row r="82" spans="1:2" x14ac:dyDescent="0.25">
      <c r="A82" s="105"/>
      <c r="B82" s="106"/>
    </row>
    <row r="83" spans="1:2" x14ac:dyDescent="0.25">
      <c r="A83" s="105"/>
      <c r="B83" s="106"/>
    </row>
    <row r="84" spans="1:2" x14ac:dyDescent="0.25">
      <c r="A84" s="105"/>
      <c r="B84" s="106"/>
    </row>
    <row r="85" spans="1:2" x14ac:dyDescent="0.25">
      <c r="A85" s="105"/>
      <c r="B85" s="106"/>
    </row>
    <row r="86" spans="1:2" x14ac:dyDescent="0.25">
      <c r="A86" s="105"/>
      <c r="B86" s="106"/>
    </row>
    <row r="87" spans="1:2" x14ac:dyDescent="0.25">
      <c r="A87" s="105"/>
      <c r="B87" s="106"/>
    </row>
    <row r="88" spans="1:2" x14ac:dyDescent="0.25">
      <c r="A88" s="105"/>
      <c r="B88" s="106"/>
    </row>
    <row r="89" spans="1:2" x14ac:dyDescent="0.25">
      <c r="A89" s="105"/>
      <c r="B89" s="106"/>
    </row>
    <row r="90" spans="1:2" x14ac:dyDescent="0.25">
      <c r="A90" s="105"/>
      <c r="B90" s="106"/>
    </row>
    <row r="91" spans="1:2" x14ac:dyDescent="0.25">
      <c r="A91" s="105"/>
      <c r="B91" s="106"/>
    </row>
    <row r="92" spans="1:2" x14ac:dyDescent="0.25">
      <c r="A92" s="105"/>
      <c r="B92" s="106"/>
    </row>
    <row r="93" spans="1:2" x14ac:dyDescent="0.25">
      <c r="A93" s="105"/>
      <c r="B93" s="106"/>
    </row>
    <row r="94" spans="1:2" x14ac:dyDescent="0.25">
      <c r="A94" s="105"/>
      <c r="B94" s="106"/>
    </row>
    <row r="95" spans="1:2" x14ac:dyDescent="0.25">
      <c r="A95" s="105"/>
      <c r="B95" s="106"/>
    </row>
    <row r="96" spans="1:2" x14ac:dyDescent="0.25">
      <c r="A96" s="105"/>
      <c r="B96" s="106"/>
    </row>
    <row r="97" spans="1:2" x14ac:dyDescent="0.25">
      <c r="A97" s="105"/>
      <c r="B97" s="106"/>
    </row>
    <row r="98" spans="1:2" x14ac:dyDescent="0.25">
      <c r="A98" s="105"/>
      <c r="B98" s="106"/>
    </row>
    <row r="99" spans="1:2" x14ac:dyDescent="0.25">
      <c r="A99" s="105"/>
      <c r="B99" s="106"/>
    </row>
    <row r="100" spans="1:2" x14ac:dyDescent="0.25">
      <c r="A100" s="105"/>
      <c r="B100" s="106"/>
    </row>
    <row r="101" spans="1:2" x14ac:dyDescent="0.25">
      <c r="A101" s="105"/>
      <c r="B101" s="106"/>
    </row>
    <row r="102" spans="1:2" x14ac:dyDescent="0.25">
      <c r="A102" s="105"/>
      <c r="B102" s="106"/>
    </row>
    <row r="103" spans="1:2" x14ac:dyDescent="0.25">
      <c r="A103" s="105"/>
      <c r="B103" s="106"/>
    </row>
    <row r="104" spans="1:2" x14ac:dyDescent="0.25">
      <c r="A104" s="105"/>
      <c r="B104" s="106"/>
    </row>
    <row r="105" spans="1:2" x14ac:dyDescent="0.25">
      <c r="A105" s="105"/>
      <c r="B105" s="106"/>
    </row>
    <row r="106" spans="1:2" x14ac:dyDescent="0.25">
      <c r="A106" s="105"/>
      <c r="B106" s="106"/>
    </row>
    <row r="107" spans="1:2" x14ac:dyDescent="0.25">
      <c r="A107" s="105"/>
      <c r="B107" s="106"/>
    </row>
    <row r="108" spans="1:2" x14ac:dyDescent="0.25">
      <c r="A108" s="105"/>
      <c r="B108" s="106"/>
    </row>
    <row r="109" spans="1:2" x14ac:dyDescent="0.25">
      <c r="A109" s="105"/>
      <c r="B109" s="106"/>
    </row>
    <row r="110" spans="1:2" x14ac:dyDescent="0.25">
      <c r="A110" s="105"/>
      <c r="B110" s="106"/>
    </row>
    <row r="111" spans="1:2" x14ac:dyDescent="0.25">
      <c r="A111" s="105"/>
      <c r="B111" s="106"/>
    </row>
    <row r="112" spans="1:2" x14ac:dyDescent="0.25">
      <c r="A112" s="105"/>
      <c r="B112" s="106"/>
    </row>
    <row r="113" spans="1:2" x14ac:dyDescent="0.25">
      <c r="A113" s="105"/>
      <c r="B113" s="106"/>
    </row>
    <row r="114" spans="1:2" x14ac:dyDescent="0.25">
      <c r="A114" s="105"/>
      <c r="B114" s="106"/>
    </row>
    <row r="115" spans="1:2" x14ac:dyDescent="0.25">
      <c r="A115" s="105"/>
      <c r="B115" s="106"/>
    </row>
    <row r="116" spans="1:2" x14ac:dyDescent="0.25">
      <c r="A116" s="105"/>
      <c r="B116" s="106"/>
    </row>
    <row r="117" spans="1:2" x14ac:dyDescent="0.25">
      <c r="A117" s="105"/>
      <c r="B117" s="106"/>
    </row>
    <row r="118" spans="1:2" x14ac:dyDescent="0.25">
      <c r="A118" s="105"/>
      <c r="B118" s="106"/>
    </row>
    <row r="119" spans="1:2" x14ac:dyDescent="0.25">
      <c r="A119" s="105"/>
      <c r="B119" s="106"/>
    </row>
    <row r="120" spans="1:2" x14ac:dyDescent="0.25">
      <c r="A120" s="105"/>
      <c r="B120" s="106"/>
    </row>
    <row r="121" spans="1:2" x14ac:dyDescent="0.25">
      <c r="A121" s="105"/>
      <c r="B121" s="106"/>
    </row>
    <row r="122" spans="1:2" x14ac:dyDescent="0.25">
      <c r="A122" s="105"/>
      <c r="B122" s="106"/>
    </row>
    <row r="123" spans="1:2" x14ac:dyDescent="0.25">
      <c r="A123" s="105"/>
      <c r="B123" s="106"/>
    </row>
    <row r="124" spans="1:2" x14ac:dyDescent="0.25">
      <c r="A124" s="105"/>
      <c r="B124" s="106"/>
    </row>
    <row r="125" spans="1:2" x14ac:dyDescent="0.25">
      <c r="A125" s="105"/>
      <c r="B125" s="106"/>
    </row>
    <row r="126" spans="1:2" x14ac:dyDescent="0.25">
      <c r="A126" s="105"/>
      <c r="B126" s="106"/>
    </row>
    <row r="127" spans="1:2" x14ac:dyDescent="0.25">
      <c r="A127" s="105"/>
      <c r="B127" s="106"/>
    </row>
    <row r="128" spans="1:2" x14ac:dyDescent="0.25">
      <c r="A128" s="105"/>
      <c r="B128" s="106"/>
    </row>
    <row r="129" spans="1:2" x14ac:dyDescent="0.25">
      <c r="A129" s="105"/>
      <c r="B129" s="106"/>
    </row>
    <row r="130" spans="1:2" x14ac:dyDescent="0.25">
      <c r="A130" s="105"/>
      <c r="B130" s="106"/>
    </row>
    <row r="131" spans="1:2" x14ac:dyDescent="0.25">
      <c r="A131" s="105"/>
      <c r="B131" s="106"/>
    </row>
    <row r="132" spans="1:2" x14ac:dyDescent="0.25">
      <c r="A132" s="105"/>
      <c r="B132" s="106"/>
    </row>
    <row r="133" spans="1:2" x14ac:dyDescent="0.25">
      <c r="A133" s="105"/>
      <c r="B133" s="106"/>
    </row>
    <row r="134" spans="1:2" x14ac:dyDescent="0.25">
      <c r="A134" s="105"/>
      <c r="B134" s="106"/>
    </row>
    <row r="135" spans="1:2" x14ac:dyDescent="0.25">
      <c r="A135" s="105"/>
      <c r="B135" s="106"/>
    </row>
    <row r="136" spans="1:2" x14ac:dyDescent="0.25">
      <c r="A136" s="105"/>
      <c r="B136" s="106"/>
    </row>
    <row r="137" spans="1:2" x14ac:dyDescent="0.25">
      <c r="A137" s="105"/>
      <c r="B137" s="106"/>
    </row>
    <row r="138" spans="1:2" x14ac:dyDescent="0.25">
      <c r="A138" s="105"/>
      <c r="B138" s="106"/>
    </row>
    <row r="139" spans="1:2" x14ac:dyDescent="0.25">
      <c r="A139" s="105"/>
      <c r="B139" s="106"/>
    </row>
    <row r="140" spans="1:2" x14ac:dyDescent="0.25">
      <c r="A140" s="105"/>
      <c r="B140" s="106"/>
    </row>
    <row r="141" spans="1:2" x14ac:dyDescent="0.25">
      <c r="A141" s="105"/>
      <c r="B141" s="106"/>
    </row>
    <row r="142" spans="1:2" x14ac:dyDescent="0.25">
      <c r="A142" s="105"/>
      <c r="B142" s="106"/>
    </row>
    <row r="143" spans="1:2" x14ac:dyDescent="0.25">
      <c r="A143" s="105"/>
      <c r="B143" s="106"/>
    </row>
    <row r="144" spans="1:2" x14ac:dyDescent="0.25">
      <c r="A144" s="105"/>
      <c r="B144" s="106"/>
    </row>
    <row r="145" spans="1:2" x14ac:dyDescent="0.25">
      <c r="A145" s="105"/>
      <c r="B145" s="106"/>
    </row>
    <row r="146" spans="1:2" x14ac:dyDescent="0.25">
      <c r="A146" s="105"/>
      <c r="B146" s="106"/>
    </row>
    <row r="147" spans="1:2" x14ac:dyDescent="0.25">
      <c r="A147" s="105"/>
      <c r="B147" s="106"/>
    </row>
    <row r="148" spans="1:2" x14ac:dyDescent="0.25">
      <c r="A148" s="105"/>
      <c r="B148" s="106"/>
    </row>
    <row r="149" spans="1:2" x14ac:dyDescent="0.25">
      <c r="A149" s="105"/>
      <c r="B149" s="106"/>
    </row>
    <row r="150" spans="1:2" x14ac:dyDescent="0.25">
      <c r="A150" s="105"/>
      <c r="B150" s="106"/>
    </row>
    <row r="151" spans="1:2" x14ac:dyDescent="0.25">
      <c r="A151" s="105"/>
      <c r="B151" s="106"/>
    </row>
    <row r="152" spans="1:2" x14ac:dyDescent="0.25">
      <c r="A152" s="105"/>
      <c r="B152" s="106"/>
    </row>
    <row r="153" spans="1:2" x14ac:dyDescent="0.25">
      <c r="A153" s="105"/>
      <c r="B153" s="106"/>
    </row>
    <row r="154" spans="1:2" x14ac:dyDescent="0.25">
      <c r="A154" s="105"/>
      <c r="B154" s="106"/>
    </row>
    <row r="155" spans="1:2" x14ac:dyDescent="0.25">
      <c r="A155" s="105"/>
      <c r="B155" s="106"/>
    </row>
    <row r="156" spans="1:2" x14ac:dyDescent="0.25">
      <c r="A156" s="105"/>
      <c r="B156" s="106"/>
    </row>
    <row r="157" spans="1:2" x14ac:dyDescent="0.25">
      <c r="A157" s="105"/>
      <c r="B157" s="106"/>
    </row>
    <row r="158" spans="1:2" x14ac:dyDescent="0.25">
      <c r="A158" s="105"/>
      <c r="B158" s="106"/>
    </row>
    <row r="159" spans="1:2" x14ac:dyDescent="0.25">
      <c r="A159" s="105"/>
      <c r="B159" s="106"/>
    </row>
    <row r="160" spans="1:2" x14ac:dyDescent="0.25">
      <c r="A160" s="105"/>
      <c r="B160" s="106"/>
    </row>
    <row r="161" spans="1:2" x14ac:dyDescent="0.25">
      <c r="A161" s="105"/>
      <c r="B161" s="106"/>
    </row>
    <row r="162" spans="1:2" x14ac:dyDescent="0.25">
      <c r="A162" s="105"/>
      <c r="B162" s="106"/>
    </row>
    <row r="163" spans="1:2" x14ac:dyDescent="0.25">
      <c r="A163" s="105"/>
      <c r="B163" s="106"/>
    </row>
    <row r="164" spans="1:2" x14ac:dyDescent="0.25">
      <c r="A164" s="105"/>
      <c r="B164" s="106"/>
    </row>
    <row r="165" spans="1:2" x14ac:dyDescent="0.25">
      <c r="A165" s="105"/>
      <c r="B165" s="106"/>
    </row>
    <row r="166" spans="1:2" x14ac:dyDescent="0.25">
      <c r="A166" s="105"/>
      <c r="B166" s="106"/>
    </row>
    <row r="167" spans="1:2" x14ac:dyDescent="0.25">
      <c r="A167" s="105"/>
      <c r="B167" s="106"/>
    </row>
    <row r="168" spans="1:2" x14ac:dyDescent="0.25">
      <c r="A168" s="105"/>
      <c r="B168" s="106"/>
    </row>
    <row r="169" spans="1:2" x14ac:dyDescent="0.25">
      <c r="A169" s="105"/>
      <c r="B169" s="106"/>
    </row>
    <row r="170" spans="1:2" x14ac:dyDescent="0.25">
      <c r="A170" s="105"/>
      <c r="B170" s="106"/>
    </row>
    <row r="171" spans="1:2" x14ac:dyDescent="0.25">
      <c r="A171" s="105"/>
      <c r="B171" s="106"/>
    </row>
    <row r="172" spans="1:2" x14ac:dyDescent="0.25">
      <c r="A172" s="105"/>
      <c r="B172" s="106"/>
    </row>
    <row r="173" spans="1:2" x14ac:dyDescent="0.25">
      <c r="A173" s="105"/>
      <c r="B173" s="106"/>
    </row>
    <row r="174" spans="1:2" x14ac:dyDescent="0.25">
      <c r="A174" s="105"/>
      <c r="B174" s="106"/>
    </row>
    <row r="175" spans="1:2" x14ac:dyDescent="0.25">
      <c r="A175" s="105"/>
      <c r="B175" s="106"/>
    </row>
    <row r="176" spans="1:2" x14ac:dyDescent="0.25">
      <c r="A176" s="105"/>
      <c r="B176" s="106"/>
    </row>
    <row r="177" spans="1:2" x14ac:dyDescent="0.25">
      <c r="A177" s="105"/>
      <c r="B177" s="106"/>
    </row>
    <row r="178" spans="1:2" x14ac:dyDescent="0.25">
      <c r="A178" s="105"/>
      <c r="B178" s="106"/>
    </row>
    <row r="179" spans="1:2" x14ac:dyDescent="0.25">
      <c r="A179" s="105"/>
      <c r="B179" s="106"/>
    </row>
    <row r="180" spans="1:2" x14ac:dyDescent="0.25">
      <c r="A180" s="105"/>
      <c r="B180" s="106"/>
    </row>
    <row r="181" spans="1:2" x14ac:dyDescent="0.25">
      <c r="A181" s="105"/>
      <c r="B181" s="106"/>
    </row>
    <row r="182" spans="1:2" x14ac:dyDescent="0.25">
      <c r="A182" s="105"/>
      <c r="B182" s="106"/>
    </row>
    <row r="183" spans="1:2" x14ac:dyDescent="0.25">
      <c r="A183" s="105"/>
      <c r="B183" s="106"/>
    </row>
    <row r="184" spans="1:2" x14ac:dyDescent="0.25">
      <c r="A184" s="105"/>
      <c r="B184" s="106"/>
    </row>
    <row r="185" spans="1:2" x14ac:dyDescent="0.25">
      <c r="A185" s="105"/>
      <c r="B185" s="106"/>
    </row>
    <row r="186" spans="1:2" x14ac:dyDescent="0.25">
      <c r="A186" s="105"/>
      <c r="B186" s="106"/>
    </row>
    <row r="187" spans="1:2" x14ac:dyDescent="0.25">
      <c r="A187" s="105"/>
      <c r="B187" s="106"/>
    </row>
    <row r="188" spans="1:2" x14ac:dyDescent="0.25">
      <c r="A188" s="105"/>
      <c r="B188" s="106"/>
    </row>
    <row r="189" spans="1:2" x14ac:dyDescent="0.25">
      <c r="A189" s="105"/>
      <c r="B189" s="106"/>
    </row>
    <row r="190" spans="1:2" x14ac:dyDescent="0.25">
      <c r="A190" s="105"/>
      <c r="B190" s="106"/>
    </row>
    <row r="191" spans="1:2" x14ac:dyDescent="0.25">
      <c r="A191" s="105"/>
      <c r="B191" s="106"/>
    </row>
    <row r="192" spans="1:2" x14ac:dyDescent="0.25">
      <c r="A192" s="105"/>
      <c r="B192" s="106"/>
    </row>
    <row r="193" spans="1:2" x14ac:dyDescent="0.25">
      <c r="A193" s="105"/>
      <c r="B193" s="106"/>
    </row>
    <row r="194" spans="1:2" x14ac:dyDescent="0.25">
      <c r="A194" s="105"/>
      <c r="B194" s="106"/>
    </row>
    <row r="195" spans="1:2" x14ac:dyDescent="0.25">
      <c r="A195" s="105"/>
      <c r="B195" s="106"/>
    </row>
    <row r="196" spans="1:2" x14ac:dyDescent="0.25">
      <c r="A196" s="105"/>
      <c r="B196" s="106"/>
    </row>
    <row r="197" spans="1:2" x14ac:dyDescent="0.25">
      <c r="A197" s="105"/>
      <c r="B197" s="106"/>
    </row>
    <row r="198" spans="1:2" x14ac:dyDescent="0.25">
      <c r="A198" s="105"/>
      <c r="B198" s="106"/>
    </row>
    <row r="199" spans="1:2" x14ac:dyDescent="0.25">
      <c r="A199" s="105"/>
      <c r="B199" s="106"/>
    </row>
    <row r="200" spans="1:2" x14ac:dyDescent="0.25">
      <c r="A200" s="105"/>
      <c r="B200" s="106"/>
    </row>
    <row r="201" spans="1:2" x14ac:dyDescent="0.25">
      <c r="A201" s="105"/>
      <c r="B201" s="106"/>
    </row>
    <row r="202" spans="1:2" x14ac:dyDescent="0.25">
      <c r="A202" s="105"/>
      <c r="B202" s="106"/>
    </row>
    <row r="203" spans="1:2" x14ac:dyDescent="0.25">
      <c r="A203" s="105"/>
      <c r="B203" s="106"/>
    </row>
    <row r="204" spans="1:2" x14ac:dyDescent="0.25">
      <c r="A204" s="105"/>
      <c r="B204" s="106"/>
    </row>
    <row r="205" spans="1:2" x14ac:dyDescent="0.25">
      <c r="A205" s="105"/>
      <c r="B205" s="106"/>
    </row>
    <row r="206" spans="1:2" x14ac:dyDescent="0.25">
      <c r="A206" s="105"/>
      <c r="B206" s="106"/>
    </row>
    <row r="207" spans="1:2" x14ac:dyDescent="0.25">
      <c r="A207" s="105"/>
      <c r="B207" s="106"/>
    </row>
    <row r="208" spans="1:2" x14ac:dyDescent="0.25">
      <c r="A208" s="105"/>
      <c r="B208" s="106"/>
    </row>
    <row r="209" spans="1:2" x14ac:dyDescent="0.25">
      <c r="A209" s="105"/>
      <c r="B209" s="106"/>
    </row>
    <row r="210" spans="1:2" x14ac:dyDescent="0.25">
      <c r="A210" s="105"/>
      <c r="B210" s="106"/>
    </row>
  </sheetData>
  <mergeCells count="7">
    <mergeCell ref="A20:R20"/>
    <mergeCell ref="A21:R21"/>
    <mergeCell ref="A1:R1"/>
    <mergeCell ref="A2:R2"/>
    <mergeCell ref="A3:R3"/>
    <mergeCell ref="A18:R18"/>
    <mergeCell ref="A19:R19"/>
  </mergeCells>
  <pageMargins left="0" right="0" top="0.75" bottom="0.75" header="0.3" footer="0.3"/>
  <pageSetup scale="64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6C69E-EE70-4ADF-B4AB-68C78A4B7AE5}">
  <sheetPr codeName="Sheet27">
    <pageSetUpPr fitToPage="1"/>
  </sheetPr>
  <dimension ref="A1:Y21"/>
  <sheetViews>
    <sheetView showGridLines="0" zoomScaleNormal="100" workbookViewId="0">
      <pane ySplit="1" topLeftCell="A2" activePane="bottomLeft" state="frozen"/>
      <selection pane="bottomLeft" sqref="A1:Y1"/>
    </sheetView>
  </sheetViews>
  <sheetFormatPr defaultRowHeight="13.8" x14ac:dyDescent="0.25"/>
  <cols>
    <col min="1" max="1" width="12.5546875" style="278" customWidth="1"/>
    <col min="2" max="17" width="13.5546875" style="104" hidden="1" customWidth="1"/>
    <col min="18" max="18" width="13.5546875" style="104" customWidth="1"/>
    <col min="19" max="16384" width="8.88671875" style="104"/>
  </cols>
  <sheetData>
    <row r="1" spans="1:25" s="101" customFormat="1" ht="21" x14ac:dyDescent="0.25">
      <c r="A1" s="325" t="s">
        <v>160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  <c r="U1" s="325"/>
      <c r="V1" s="325"/>
      <c r="W1" s="325"/>
      <c r="X1" s="325"/>
      <c r="Y1" s="325"/>
    </row>
    <row r="2" spans="1:25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25" s="102" customFormat="1" ht="18" x14ac:dyDescent="0.25">
      <c r="A3" s="337" t="s">
        <v>162</v>
      </c>
      <c r="B3" s="337"/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</row>
    <row r="4" spans="1:25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99">
        <v>2020</v>
      </c>
    </row>
    <row r="5" spans="1:25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13" t="s">
        <v>74</v>
      </c>
      <c r="H5" s="113" t="s">
        <v>74</v>
      </c>
      <c r="I5" s="113" t="s">
        <v>74</v>
      </c>
      <c r="J5" s="113" t="s">
        <v>74</v>
      </c>
      <c r="K5" s="113" t="s">
        <v>74</v>
      </c>
      <c r="L5" s="113" t="s">
        <v>74</v>
      </c>
      <c r="M5" s="113" t="s">
        <v>74</v>
      </c>
      <c r="N5" s="113" t="s">
        <v>74</v>
      </c>
      <c r="O5" s="113" t="s">
        <v>74</v>
      </c>
      <c r="P5" s="113" t="s">
        <v>74</v>
      </c>
      <c r="Q5" s="113" t="s">
        <v>74</v>
      </c>
      <c r="R5" s="300" t="s">
        <v>74</v>
      </c>
    </row>
    <row r="6" spans="1:25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11" t="s">
        <v>74</v>
      </c>
      <c r="H6" s="111" t="s">
        <v>74</v>
      </c>
      <c r="I6" s="111" t="s">
        <v>74</v>
      </c>
      <c r="J6" s="111" t="s">
        <v>74</v>
      </c>
      <c r="K6" s="111" t="s">
        <v>74</v>
      </c>
      <c r="L6" s="111" t="s">
        <v>74</v>
      </c>
      <c r="M6" s="111" t="s">
        <v>74</v>
      </c>
      <c r="N6" s="111" t="s">
        <v>74</v>
      </c>
      <c r="O6" s="111" t="s">
        <v>74</v>
      </c>
      <c r="P6" s="111" t="s">
        <v>74</v>
      </c>
      <c r="Q6" s="111" t="s">
        <v>74</v>
      </c>
      <c r="R6" s="300" t="s">
        <v>74</v>
      </c>
    </row>
    <row r="7" spans="1:25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11" t="s">
        <v>74</v>
      </c>
      <c r="H7" s="111" t="s">
        <v>74</v>
      </c>
      <c r="I7" s="111" t="s">
        <v>74</v>
      </c>
      <c r="J7" s="111" t="s">
        <v>74</v>
      </c>
      <c r="K7" s="111" t="s">
        <v>74</v>
      </c>
      <c r="L7" s="111" t="s">
        <v>74</v>
      </c>
      <c r="M7" s="111" t="s">
        <v>74</v>
      </c>
      <c r="N7" s="111" t="s">
        <v>74</v>
      </c>
      <c r="O7" s="111" t="s">
        <v>74</v>
      </c>
      <c r="P7" s="111" t="s">
        <v>74</v>
      </c>
      <c r="Q7" s="111" t="s">
        <v>74</v>
      </c>
      <c r="R7" s="300" t="s">
        <v>74</v>
      </c>
    </row>
    <row r="8" spans="1:25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11" t="s">
        <v>74</v>
      </c>
      <c r="H8" s="111" t="s">
        <v>74</v>
      </c>
      <c r="I8" s="111" t="s">
        <v>74</v>
      </c>
      <c r="J8" s="111" t="s">
        <v>74</v>
      </c>
      <c r="K8" s="111" t="s">
        <v>74</v>
      </c>
      <c r="L8" s="111" t="s">
        <v>74</v>
      </c>
      <c r="M8" s="111" t="s">
        <v>74</v>
      </c>
      <c r="N8" s="111" t="s">
        <v>74</v>
      </c>
      <c r="O8" s="111" t="s">
        <v>74</v>
      </c>
      <c r="P8" s="111" t="s">
        <v>74</v>
      </c>
      <c r="Q8" s="111" t="s">
        <v>74</v>
      </c>
      <c r="R8" s="301">
        <v>0</v>
      </c>
    </row>
    <row r="9" spans="1:25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11" t="s">
        <v>74</v>
      </c>
      <c r="H9" s="111" t="s">
        <v>74</v>
      </c>
      <c r="I9" s="111" t="s">
        <v>74</v>
      </c>
      <c r="J9" s="111" t="s">
        <v>74</v>
      </c>
      <c r="K9" s="111" t="s">
        <v>74</v>
      </c>
      <c r="L9" s="111" t="s">
        <v>74</v>
      </c>
      <c r="M9" s="111" t="s">
        <v>74</v>
      </c>
      <c r="N9" s="111" t="s">
        <v>74</v>
      </c>
      <c r="O9" s="111" t="s">
        <v>74</v>
      </c>
      <c r="P9" s="111" t="s">
        <v>74</v>
      </c>
      <c r="Q9" s="111" t="s">
        <v>74</v>
      </c>
      <c r="R9" s="267">
        <v>2434</v>
      </c>
    </row>
    <row r="10" spans="1:25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11" t="s">
        <v>74</v>
      </c>
      <c r="H10" s="111" t="s">
        <v>74</v>
      </c>
      <c r="I10" s="111" t="s">
        <v>74</v>
      </c>
      <c r="J10" s="111" t="s">
        <v>74</v>
      </c>
      <c r="K10" s="111" t="s">
        <v>74</v>
      </c>
      <c r="L10" s="111" t="s">
        <v>74</v>
      </c>
      <c r="M10" s="111" t="s">
        <v>74</v>
      </c>
      <c r="N10" s="111" t="s">
        <v>74</v>
      </c>
      <c r="O10" s="111" t="s">
        <v>74</v>
      </c>
      <c r="P10" s="111" t="s">
        <v>74</v>
      </c>
      <c r="Q10" s="111" t="s">
        <v>74</v>
      </c>
      <c r="R10" s="267">
        <v>3451</v>
      </c>
    </row>
    <row r="11" spans="1:25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11" t="s">
        <v>74</v>
      </c>
      <c r="H11" s="111" t="s">
        <v>74</v>
      </c>
      <c r="I11" s="111" t="s">
        <v>74</v>
      </c>
      <c r="J11" s="111" t="s">
        <v>74</v>
      </c>
      <c r="K11" s="111" t="s">
        <v>74</v>
      </c>
      <c r="L11" s="111" t="s">
        <v>74</v>
      </c>
      <c r="M11" s="111" t="s">
        <v>74</v>
      </c>
      <c r="N11" s="111" t="s">
        <v>74</v>
      </c>
      <c r="O11" s="111" t="s">
        <v>74</v>
      </c>
      <c r="P11" s="111" t="s">
        <v>74</v>
      </c>
      <c r="Q11" s="111" t="s">
        <v>74</v>
      </c>
      <c r="R11" s="279" t="s">
        <v>74</v>
      </c>
    </row>
    <row r="12" spans="1:25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11" t="s">
        <v>74</v>
      </c>
      <c r="G12" s="111" t="s">
        <v>74</v>
      </c>
      <c r="H12" s="111" t="s">
        <v>74</v>
      </c>
      <c r="I12" s="111" t="s">
        <v>74</v>
      </c>
      <c r="J12" s="111" t="s">
        <v>74</v>
      </c>
      <c r="K12" s="113" t="s">
        <v>74</v>
      </c>
      <c r="L12" s="113" t="s">
        <v>74</v>
      </c>
      <c r="M12" s="113" t="s">
        <v>74</v>
      </c>
      <c r="N12" s="113" t="s">
        <v>74</v>
      </c>
      <c r="O12" s="113" t="s">
        <v>74</v>
      </c>
      <c r="P12" s="113" t="s">
        <v>74</v>
      </c>
      <c r="Q12" s="113" t="s">
        <v>74</v>
      </c>
      <c r="R12" s="280" t="s">
        <v>74</v>
      </c>
    </row>
    <row r="13" spans="1:25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11" t="s">
        <v>74</v>
      </c>
      <c r="G13" s="111" t="s">
        <v>74</v>
      </c>
      <c r="H13" s="111" t="s">
        <v>74</v>
      </c>
      <c r="I13" s="111" t="s">
        <v>74</v>
      </c>
      <c r="J13" s="111" t="s">
        <v>74</v>
      </c>
      <c r="K13" s="113" t="s">
        <v>74</v>
      </c>
      <c r="L13" s="113" t="s">
        <v>74</v>
      </c>
      <c r="M13" s="113" t="s">
        <v>74</v>
      </c>
      <c r="N13" s="113" t="s">
        <v>74</v>
      </c>
      <c r="O13" s="113" t="s">
        <v>74</v>
      </c>
      <c r="P13" s="113" t="s">
        <v>74</v>
      </c>
      <c r="Q13" s="113" t="s">
        <v>74</v>
      </c>
      <c r="R13" s="280" t="s">
        <v>74</v>
      </c>
    </row>
    <row r="14" spans="1:25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11" t="s">
        <v>74</v>
      </c>
      <c r="G14" s="111" t="s">
        <v>74</v>
      </c>
      <c r="H14" s="111" t="s">
        <v>74</v>
      </c>
      <c r="I14" s="111" t="s">
        <v>74</v>
      </c>
      <c r="J14" s="111" t="s">
        <v>74</v>
      </c>
      <c r="K14" s="113" t="s">
        <v>74</v>
      </c>
      <c r="L14" s="113" t="s">
        <v>74</v>
      </c>
      <c r="M14" s="113" t="s">
        <v>74</v>
      </c>
      <c r="N14" s="113" t="s">
        <v>74</v>
      </c>
      <c r="O14" s="113" t="s">
        <v>74</v>
      </c>
      <c r="P14" s="113" t="s">
        <v>74</v>
      </c>
      <c r="Q14" s="113" t="s">
        <v>74</v>
      </c>
      <c r="R14" s="280" t="s">
        <v>74</v>
      </c>
    </row>
    <row r="15" spans="1:25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74</v>
      </c>
      <c r="G15" s="111" t="s">
        <v>74</v>
      </c>
      <c r="H15" s="111" t="s">
        <v>74</v>
      </c>
      <c r="I15" s="111" t="s">
        <v>74</v>
      </c>
      <c r="J15" s="111" t="s">
        <v>74</v>
      </c>
      <c r="K15" s="113" t="s">
        <v>74</v>
      </c>
      <c r="L15" s="113" t="s">
        <v>74</v>
      </c>
      <c r="M15" s="113" t="s">
        <v>74</v>
      </c>
      <c r="N15" s="113" t="s">
        <v>74</v>
      </c>
      <c r="O15" s="113" t="s">
        <v>74</v>
      </c>
      <c r="P15" s="113" t="s">
        <v>74</v>
      </c>
      <c r="Q15" s="113" t="s">
        <v>74</v>
      </c>
      <c r="R15" s="280" t="s">
        <v>74</v>
      </c>
    </row>
    <row r="16" spans="1:25" s="103" customFormat="1" ht="16.2" thickBot="1" x14ac:dyDescent="0.35">
      <c r="A16" s="130" t="s">
        <v>30</v>
      </c>
      <c r="B16" s="133" t="s">
        <v>74</v>
      </c>
      <c r="C16" s="120" t="s">
        <v>74</v>
      </c>
      <c r="D16" s="120" t="s">
        <v>74</v>
      </c>
      <c r="E16" s="120" t="s">
        <v>74</v>
      </c>
      <c r="F16" s="120" t="s">
        <v>74</v>
      </c>
      <c r="G16" s="120" t="s">
        <v>74</v>
      </c>
      <c r="H16" s="120" t="s">
        <v>74</v>
      </c>
      <c r="I16" s="120" t="s">
        <v>74</v>
      </c>
      <c r="J16" s="120" t="s">
        <v>74</v>
      </c>
      <c r="K16" s="302" t="s">
        <v>74</v>
      </c>
      <c r="L16" s="302" t="s">
        <v>74</v>
      </c>
      <c r="M16" s="302" t="s">
        <v>74</v>
      </c>
      <c r="N16" s="302" t="s">
        <v>74</v>
      </c>
      <c r="O16" s="302" t="s">
        <v>74</v>
      </c>
      <c r="P16" s="302" t="s">
        <v>74</v>
      </c>
      <c r="Q16" s="302" t="s">
        <v>74</v>
      </c>
      <c r="R16" s="281" t="s">
        <v>74</v>
      </c>
    </row>
    <row r="17" spans="1:23" s="103" customFormat="1" ht="16.2" thickTop="1" x14ac:dyDescent="0.25">
      <c r="A17" s="127" t="s">
        <v>8</v>
      </c>
      <c r="B17" s="134" t="s">
        <v>74</v>
      </c>
      <c r="C17" s="135" t="s">
        <v>74</v>
      </c>
      <c r="D17" s="135" t="s">
        <v>74</v>
      </c>
      <c r="E17" s="135" t="s">
        <v>74</v>
      </c>
      <c r="F17" s="135" t="s">
        <v>74</v>
      </c>
      <c r="G17" s="135" t="s">
        <v>74</v>
      </c>
      <c r="H17" s="135" t="s">
        <v>74</v>
      </c>
      <c r="I17" s="135" t="s">
        <v>74</v>
      </c>
      <c r="J17" s="117" t="s">
        <v>74</v>
      </c>
      <c r="K17" s="118">
        <f t="shared" ref="K17:P17" si="0">SUM(K5:K16)</f>
        <v>0</v>
      </c>
      <c r="L17" s="118">
        <f t="shared" si="0"/>
        <v>0</v>
      </c>
      <c r="M17" s="118">
        <f t="shared" si="0"/>
        <v>0</v>
      </c>
      <c r="N17" s="118">
        <f t="shared" si="0"/>
        <v>0</v>
      </c>
      <c r="O17" s="118">
        <f t="shared" si="0"/>
        <v>0</v>
      </c>
      <c r="P17" s="118">
        <f t="shared" si="0"/>
        <v>0</v>
      </c>
      <c r="Q17" s="118">
        <f t="shared" ref="Q17:R17" si="1">SUM(Q5:Q16)</f>
        <v>0</v>
      </c>
      <c r="R17" s="268">
        <f t="shared" si="1"/>
        <v>5885</v>
      </c>
    </row>
    <row r="18" spans="1:23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23" x14ac:dyDescent="0.25">
      <c r="A19" s="329" t="s">
        <v>161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  <c r="S19" s="329"/>
      <c r="T19" s="329"/>
      <c r="U19" s="329"/>
    </row>
    <row r="20" spans="1:23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</row>
    <row r="21" spans="1:23" x14ac:dyDescent="0.25">
      <c r="A21" s="324" t="s">
        <v>73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</row>
  </sheetData>
  <mergeCells count="7">
    <mergeCell ref="A21:R21"/>
    <mergeCell ref="A19:U19"/>
    <mergeCell ref="A20:W20"/>
    <mergeCell ref="A3:V3"/>
    <mergeCell ref="A1:Y1"/>
    <mergeCell ref="A2:R2"/>
    <mergeCell ref="A18:R18"/>
  </mergeCells>
  <pageMargins left="0.75" right="0.25" top="1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7">
    <pageSetUpPr fitToPage="1"/>
  </sheetPr>
  <dimension ref="A1:R37"/>
  <sheetViews>
    <sheetView showGridLines="0" workbookViewId="0">
      <pane ySplit="1" topLeftCell="A2" activePane="bottomLeft" state="frozen"/>
      <selection pane="bottomLeft" sqref="A1:R1"/>
    </sheetView>
  </sheetViews>
  <sheetFormatPr defaultRowHeight="13.2" x14ac:dyDescent="0.25"/>
  <cols>
    <col min="1" max="1" width="12.5546875" style="132" customWidth="1"/>
    <col min="2" max="18" width="13.5546875" style="131" customWidth="1"/>
    <col min="19" max="16384" width="8.88671875" style="131"/>
  </cols>
  <sheetData>
    <row r="1" spans="1:18" s="137" customFormat="1" ht="21" x14ac:dyDescent="0.25">
      <c r="A1" s="325" t="s">
        <v>93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38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38" customFormat="1" ht="18" x14ac:dyDescent="0.25">
      <c r="A3" s="333" t="s">
        <v>37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39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39" customFormat="1" ht="15.6" x14ac:dyDescent="0.25">
      <c r="A5" s="128" t="s">
        <v>19</v>
      </c>
      <c r="B5" s="148">
        <v>14890</v>
      </c>
      <c r="C5" s="149">
        <v>16990</v>
      </c>
      <c r="D5" s="149">
        <v>17054</v>
      </c>
      <c r="E5" s="149">
        <v>17963</v>
      </c>
      <c r="F5" s="149">
        <v>15193</v>
      </c>
      <c r="G5" s="149">
        <v>15670</v>
      </c>
      <c r="H5" s="149">
        <v>20602</v>
      </c>
      <c r="I5" s="149">
        <v>14814</v>
      </c>
      <c r="J5" s="114">
        <v>15114</v>
      </c>
      <c r="K5" s="114">
        <v>17233</v>
      </c>
      <c r="L5" s="114">
        <v>16224</v>
      </c>
      <c r="M5" s="114">
        <v>17833</v>
      </c>
      <c r="N5" s="114">
        <v>20448</v>
      </c>
      <c r="O5" s="114">
        <v>17774</v>
      </c>
      <c r="P5" s="114">
        <v>17209</v>
      </c>
      <c r="Q5" s="114">
        <v>15045</v>
      </c>
      <c r="R5" s="266">
        <v>19224</v>
      </c>
    </row>
    <row r="6" spans="1:18" s="139" customFormat="1" ht="15.6" x14ac:dyDescent="0.25">
      <c r="A6" s="129" t="s">
        <v>20</v>
      </c>
      <c r="B6" s="145">
        <v>13839</v>
      </c>
      <c r="C6" s="112">
        <v>13189</v>
      </c>
      <c r="D6" s="112">
        <v>28376.05</v>
      </c>
      <c r="E6" s="112">
        <v>17685</v>
      </c>
      <c r="F6" s="112">
        <v>13415</v>
      </c>
      <c r="G6" s="112">
        <v>17124</v>
      </c>
      <c r="H6" s="112">
        <v>13594</v>
      </c>
      <c r="I6" s="112">
        <v>13908</v>
      </c>
      <c r="J6" s="111">
        <v>14461</v>
      </c>
      <c r="K6" s="111">
        <v>13891</v>
      </c>
      <c r="L6" s="111">
        <v>14247</v>
      </c>
      <c r="M6" s="111">
        <v>16629</v>
      </c>
      <c r="N6" s="111">
        <v>16559</v>
      </c>
      <c r="O6" s="111">
        <v>14421</v>
      </c>
      <c r="P6" s="111">
        <v>14197</v>
      </c>
      <c r="Q6" s="111">
        <v>13191</v>
      </c>
      <c r="R6" s="267">
        <v>14840</v>
      </c>
    </row>
    <row r="7" spans="1:18" s="139" customFormat="1" ht="15.6" x14ac:dyDescent="0.25">
      <c r="A7" s="129" t="s">
        <v>21</v>
      </c>
      <c r="B7" s="145">
        <v>13187</v>
      </c>
      <c r="C7" s="112">
        <v>13256</v>
      </c>
      <c r="D7" s="112">
        <v>14527</v>
      </c>
      <c r="E7" s="112">
        <v>13955</v>
      </c>
      <c r="F7" s="112">
        <v>14918</v>
      </c>
      <c r="G7" s="112">
        <v>15258</v>
      </c>
      <c r="H7" s="112">
        <v>14608</v>
      </c>
      <c r="I7" s="112">
        <v>14189</v>
      </c>
      <c r="J7" s="111">
        <v>13943</v>
      </c>
      <c r="K7" s="111">
        <v>13796</v>
      </c>
      <c r="L7" s="111">
        <v>14161</v>
      </c>
      <c r="M7" s="111">
        <v>14402</v>
      </c>
      <c r="N7" s="111">
        <v>14572</v>
      </c>
      <c r="O7" s="111">
        <v>15016</v>
      </c>
      <c r="P7" s="111">
        <v>13093</v>
      </c>
      <c r="Q7" s="111">
        <v>12607</v>
      </c>
      <c r="R7" s="267">
        <v>12602</v>
      </c>
    </row>
    <row r="8" spans="1:18" s="139" customFormat="1" ht="15.6" x14ac:dyDescent="0.25">
      <c r="A8" s="129" t="s">
        <v>22</v>
      </c>
      <c r="B8" s="145">
        <v>15810</v>
      </c>
      <c r="C8" s="112">
        <v>16829</v>
      </c>
      <c r="D8" s="112">
        <v>17884</v>
      </c>
      <c r="E8" s="112">
        <v>19735</v>
      </c>
      <c r="F8" s="112">
        <v>15686</v>
      </c>
      <c r="G8" s="112">
        <v>16926</v>
      </c>
      <c r="H8" s="112">
        <v>16355</v>
      </c>
      <c r="I8" s="112">
        <v>22650</v>
      </c>
      <c r="J8" s="111">
        <v>16146</v>
      </c>
      <c r="K8" s="111">
        <v>16946</v>
      </c>
      <c r="L8" s="111">
        <v>18603</v>
      </c>
      <c r="M8" s="111">
        <v>17472</v>
      </c>
      <c r="N8" s="111">
        <v>17412</v>
      </c>
      <c r="O8" s="111">
        <v>18404</v>
      </c>
      <c r="P8" s="111">
        <v>17073</v>
      </c>
      <c r="Q8" s="111">
        <v>19853</v>
      </c>
      <c r="R8" s="267">
        <v>7275</v>
      </c>
    </row>
    <row r="9" spans="1:18" s="139" customFormat="1" ht="15.6" x14ac:dyDescent="0.25">
      <c r="A9" s="129" t="s">
        <v>23</v>
      </c>
      <c r="B9" s="145">
        <v>14237</v>
      </c>
      <c r="C9" s="112">
        <v>15704</v>
      </c>
      <c r="D9" s="112">
        <v>14593</v>
      </c>
      <c r="E9" s="112">
        <v>14927</v>
      </c>
      <c r="F9" s="112">
        <v>15313</v>
      </c>
      <c r="G9" s="112">
        <v>13484</v>
      </c>
      <c r="H9" s="112">
        <v>14374</v>
      </c>
      <c r="I9" s="112">
        <v>16564</v>
      </c>
      <c r="J9" s="111">
        <v>14415</v>
      </c>
      <c r="K9" s="111">
        <v>15953</v>
      </c>
      <c r="L9" s="111">
        <v>15165</v>
      </c>
      <c r="M9" s="111">
        <v>15310</v>
      </c>
      <c r="N9" s="111">
        <v>17593</v>
      </c>
      <c r="O9" s="111">
        <v>15308</v>
      </c>
      <c r="P9" s="111">
        <v>14089</v>
      </c>
      <c r="Q9" s="111">
        <v>17124</v>
      </c>
      <c r="R9" s="267">
        <v>625</v>
      </c>
    </row>
    <row r="10" spans="1:18" s="139" customFormat="1" ht="15.6" x14ac:dyDescent="0.25">
      <c r="A10" s="129" t="s">
        <v>24</v>
      </c>
      <c r="B10" s="145">
        <v>13974</v>
      </c>
      <c r="C10" s="112">
        <v>13078</v>
      </c>
      <c r="D10" s="112">
        <v>14092</v>
      </c>
      <c r="E10" s="112">
        <v>13188</v>
      </c>
      <c r="F10" s="112">
        <v>13077</v>
      </c>
      <c r="G10" s="112">
        <v>13653</v>
      </c>
      <c r="H10" s="112">
        <v>12791</v>
      </c>
      <c r="I10" s="112">
        <v>12130</v>
      </c>
      <c r="J10" s="111">
        <v>12757</v>
      </c>
      <c r="K10" s="111">
        <v>14660</v>
      </c>
      <c r="L10" s="111">
        <v>15557</v>
      </c>
      <c r="M10" s="111">
        <v>15384</v>
      </c>
      <c r="N10" s="111">
        <v>14938</v>
      </c>
      <c r="O10" s="111">
        <v>14328</v>
      </c>
      <c r="P10" s="111">
        <v>12513</v>
      </c>
      <c r="Q10" s="111">
        <v>18278</v>
      </c>
      <c r="R10" s="267">
        <v>753</v>
      </c>
    </row>
    <row r="11" spans="1:18" s="139" customFormat="1" ht="15.6" x14ac:dyDescent="0.3">
      <c r="A11" s="129" t="s">
        <v>25</v>
      </c>
      <c r="B11" s="145">
        <v>10688</v>
      </c>
      <c r="C11" s="112">
        <v>11040</v>
      </c>
      <c r="D11" s="112">
        <v>12310</v>
      </c>
      <c r="E11" s="112">
        <v>11443</v>
      </c>
      <c r="F11" s="112">
        <v>9598</v>
      </c>
      <c r="G11" s="111">
        <v>10192</v>
      </c>
      <c r="H11" s="112">
        <v>10674</v>
      </c>
      <c r="I11" s="112">
        <v>10612</v>
      </c>
      <c r="J11" s="111">
        <v>12585</v>
      </c>
      <c r="K11" s="111">
        <v>13264</v>
      </c>
      <c r="L11" s="111">
        <v>12185</v>
      </c>
      <c r="M11" s="111">
        <v>14348</v>
      </c>
      <c r="N11" s="111">
        <v>14466</v>
      </c>
      <c r="O11" s="111">
        <v>13522</v>
      </c>
      <c r="P11" s="111">
        <v>13120</v>
      </c>
      <c r="Q11" s="111">
        <v>17202</v>
      </c>
      <c r="R11" s="279" t="s">
        <v>74</v>
      </c>
    </row>
    <row r="12" spans="1:18" s="139" customFormat="1" ht="15.6" x14ac:dyDescent="0.3">
      <c r="A12" s="129" t="s">
        <v>26</v>
      </c>
      <c r="B12" s="145">
        <v>16485</v>
      </c>
      <c r="C12" s="112">
        <v>14397</v>
      </c>
      <c r="D12" s="112">
        <v>13722</v>
      </c>
      <c r="E12" s="112">
        <v>13937</v>
      </c>
      <c r="F12" s="112">
        <v>12664</v>
      </c>
      <c r="G12" s="111">
        <v>14919</v>
      </c>
      <c r="H12" s="112">
        <v>14938</v>
      </c>
      <c r="I12" s="112">
        <v>11690</v>
      </c>
      <c r="J12" s="111">
        <v>13075</v>
      </c>
      <c r="K12" s="111">
        <v>13507</v>
      </c>
      <c r="L12" s="111">
        <v>14787</v>
      </c>
      <c r="M12" s="111">
        <v>13596</v>
      </c>
      <c r="N12" s="111">
        <v>14374</v>
      </c>
      <c r="O12" s="111">
        <v>12463</v>
      </c>
      <c r="P12" s="111">
        <v>11892</v>
      </c>
      <c r="Q12" s="111">
        <v>16242</v>
      </c>
      <c r="R12" s="280" t="s">
        <v>74</v>
      </c>
    </row>
    <row r="13" spans="1:18" s="139" customFormat="1" ht="15.6" x14ac:dyDescent="0.3">
      <c r="A13" s="129" t="s">
        <v>27</v>
      </c>
      <c r="B13" s="145">
        <v>12519</v>
      </c>
      <c r="C13" s="112">
        <v>12867</v>
      </c>
      <c r="D13" s="112">
        <v>14461</v>
      </c>
      <c r="E13" s="112">
        <v>13896</v>
      </c>
      <c r="F13" s="112">
        <v>12328</v>
      </c>
      <c r="G13" s="111">
        <v>12657</v>
      </c>
      <c r="H13" s="112">
        <v>14209</v>
      </c>
      <c r="I13" s="112">
        <v>12782</v>
      </c>
      <c r="J13" s="111">
        <v>13931</v>
      </c>
      <c r="K13" s="111">
        <v>14958</v>
      </c>
      <c r="L13" s="111">
        <v>15349</v>
      </c>
      <c r="M13" s="111">
        <v>15120</v>
      </c>
      <c r="N13" s="111">
        <v>15016</v>
      </c>
      <c r="O13" s="111">
        <v>13460</v>
      </c>
      <c r="P13" s="111">
        <v>13013</v>
      </c>
      <c r="Q13" s="111">
        <v>17837</v>
      </c>
      <c r="R13" s="280" t="s">
        <v>74</v>
      </c>
    </row>
    <row r="14" spans="1:18" s="139" customFormat="1" ht="15.6" x14ac:dyDescent="0.3">
      <c r="A14" s="129" t="s">
        <v>28</v>
      </c>
      <c r="B14" s="145">
        <v>15034</v>
      </c>
      <c r="C14" s="112">
        <v>15521</v>
      </c>
      <c r="D14" s="112">
        <v>15368</v>
      </c>
      <c r="E14" s="112">
        <v>18005</v>
      </c>
      <c r="F14" s="112">
        <v>13695</v>
      </c>
      <c r="G14" s="111">
        <v>14053</v>
      </c>
      <c r="H14" s="112">
        <v>16075</v>
      </c>
      <c r="I14" s="112">
        <v>13466</v>
      </c>
      <c r="J14" s="111">
        <v>14774</v>
      </c>
      <c r="K14" s="111">
        <v>15422</v>
      </c>
      <c r="L14" s="111">
        <v>15350</v>
      </c>
      <c r="M14" s="111">
        <v>14978</v>
      </c>
      <c r="N14" s="111">
        <v>16274</v>
      </c>
      <c r="O14" s="111">
        <v>15336</v>
      </c>
      <c r="P14" s="111">
        <v>14170</v>
      </c>
      <c r="Q14" s="111">
        <v>17438</v>
      </c>
      <c r="R14" s="280" t="s">
        <v>74</v>
      </c>
    </row>
    <row r="15" spans="1:18" s="139" customFormat="1" ht="15.6" x14ac:dyDescent="0.3">
      <c r="A15" s="129" t="s">
        <v>29</v>
      </c>
      <c r="B15" s="145">
        <v>15766</v>
      </c>
      <c r="C15" s="112">
        <v>15623</v>
      </c>
      <c r="D15" s="112">
        <v>15884</v>
      </c>
      <c r="E15" s="112">
        <v>15511</v>
      </c>
      <c r="F15" s="112" t="s">
        <v>33</v>
      </c>
      <c r="G15" s="111">
        <v>15125</v>
      </c>
      <c r="H15" s="112">
        <v>14860</v>
      </c>
      <c r="I15" s="112">
        <v>15124</v>
      </c>
      <c r="J15" s="111">
        <v>17064</v>
      </c>
      <c r="K15" s="111">
        <v>16002</v>
      </c>
      <c r="L15" s="111">
        <v>16713</v>
      </c>
      <c r="M15" s="111">
        <v>17020</v>
      </c>
      <c r="N15" s="111">
        <v>16780</v>
      </c>
      <c r="O15" s="111">
        <v>14525</v>
      </c>
      <c r="P15" s="111">
        <v>14169</v>
      </c>
      <c r="Q15" s="111">
        <v>14336</v>
      </c>
      <c r="R15" s="280" t="s">
        <v>74</v>
      </c>
    </row>
    <row r="16" spans="1:18" s="139" customFormat="1" ht="16.2" thickBot="1" x14ac:dyDescent="0.35">
      <c r="A16" s="130" t="s">
        <v>30</v>
      </c>
      <c r="B16" s="124">
        <v>10892.61</v>
      </c>
      <c r="C16" s="119">
        <v>13029</v>
      </c>
      <c r="D16" s="119">
        <v>13842</v>
      </c>
      <c r="E16" s="119">
        <v>12925</v>
      </c>
      <c r="F16" s="119">
        <v>26294</v>
      </c>
      <c r="G16" s="120">
        <v>13016</v>
      </c>
      <c r="H16" s="119">
        <v>12977</v>
      </c>
      <c r="I16" s="119">
        <v>12234</v>
      </c>
      <c r="J16" s="120">
        <v>13552</v>
      </c>
      <c r="K16" s="120">
        <v>15030</v>
      </c>
      <c r="L16" s="120">
        <v>14565</v>
      </c>
      <c r="M16" s="120">
        <v>14572</v>
      </c>
      <c r="N16" s="120">
        <v>13954</v>
      </c>
      <c r="O16" s="120">
        <v>13948</v>
      </c>
      <c r="P16" s="120">
        <v>12596</v>
      </c>
      <c r="Q16" s="120">
        <v>13257</v>
      </c>
      <c r="R16" s="281" t="s">
        <v>74</v>
      </c>
    </row>
    <row r="17" spans="1:18" s="139" customFormat="1" ht="16.2" thickTop="1" x14ac:dyDescent="0.25">
      <c r="A17" s="127" t="s">
        <v>8</v>
      </c>
      <c r="B17" s="160">
        <f>SUM(B5:B16)</f>
        <v>167321.60999999999</v>
      </c>
      <c r="C17" s="151">
        <f t="shared" ref="C17:I17" si="0">SUM(C5:C16)</f>
        <v>171523</v>
      </c>
      <c r="D17" s="151">
        <f t="shared" si="0"/>
        <v>192113.05</v>
      </c>
      <c r="E17" s="151">
        <f t="shared" si="0"/>
        <v>183170</v>
      </c>
      <c r="F17" s="151">
        <f t="shared" si="0"/>
        <v>162181</v>
      </c>
      <c r="G17" s="151">
        <f t="shared" si="0"/>
        <v>172077</v>
      </c>
      <c r="H17" s="151">
        <f t="shared" si="0"/>
        <v>176057</v>
      </c>
      <c r="I17" s="151">
        <f t="shared" si="0"/>
        <v>170163</v>
      </c>
      <c r="J17" s="151">
        <f t="shared" ref="J17:P17" si="1">SUM(J5:J16)</f>
        <v>171817</v>
      </c>
      <c r="K17" s="151">
        <f t="shared" si="1"/>
        <v>180662</v>
      </c>
      <c r="L17" s="151">
        <f t="shared" si="1"/>
        <v>182906</v>
      </c>
      <c r="M17" s="151">
        <f t="shared" si="1"/>
        <v>186664</v>
      </c>
      <c r="N17" s="151">
        <f t="shared" si="1"/>
        <v>192386</v>
      </c>
      <c r="O17" s="151">
        <f t="shared" si="1"/>
        <v>178505</v>
      </c>
      <c r="P17" s="151">
        <f t="shared" si="1"/>
        <v>167134</v>
      </c>
      <c r="Q17" s="151">
        <f t="shared" ref="Q17:R17" si="2">SUM(Q5:Q16)</f>
        <v>192410</v>
      </c>
      <c r="R17" s="270">
        <f t="shared" si="2"/>
        <v>55319</v>
      </c>
    </row>
    <row r="18" spans="1:18" s="140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s="138" customFormat="1" ht="18" x14ac:dyDescent="0.25">
      <c r="A19" s="333" t="s">
        <v>130</v>
      </c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</row>
    <row r="20" spans="1:18" s="139" customFormat="1" ht="15.6" x14ac:dyDescent="0.25">
      <c r="A20" s="126" t="s">
        <v>18</v>
      </c>
      <c r="B20" s="121">
        <v>2004</v>
      </c>
      <c r="C20" s="115">
        <v>2005</v>
      </c>
      <c r="D20" s="115">
        <v>2006</v>
      </c>
      <c r="E20" s="115">
        <v>2007</v>
      </c>
      <c r="F20" s="115">
        <v>2008</v>
      </c>
      <c r="G20" s="115">
        <v>2009</v>
      </c>
      <c r="H20" s="115">
        <v>2010</v>
      </c>
      <c r="I20" s="115">
        <v>2011</v>
      </c>
      <c r="J20" s="116">
        <v>2012</v>
      </c>
      <c r="K20" s="116">
        <v>2013</v>
      </c>
      <c r="L20" s="116">
        <v>2014</v>
      </c>
      <c r="M20" s="116">
        <v>2015</v>
      </c>
      <c r="N20" s="116">
        <v>2016</v>
      </c>
      <c r="O20" s="116">
        <v>2017</v>
      </c>
      <c r="P20" s="116">
        <v>2018</v>
      </c>
      <c r="Q20" s="116">
        <v>2019</v>
      </c>
      <c r="R20" s="265">
        <v>2020</v>
      </c>
    </row>
    <row r="21" spans="1:18" s="139" customFormat="1" ht="15.6" x14ac:dyDescent="0.25">
      <c r="A21" s="128" t="s">
        <v>19</v>
      </c>
      <c r="B21" s="148">
        <v>88110</v>
      </c>
      <c r="C21" s="149">
        <v>96636</v>
      </c>
      <c r="D21" s="149">
        <v>95664</v>
      </c>
      <c r="E21" s="149">
        <v>99292</v>
      </c>
      <c r="F21" s="149">
        <v>94090</v>
      </c>
      <c r="G21" s="149">
        <v>90769</v>
      </c>
      <c r="H21" s="149">
        <v>106753</v>
      </c>
      <c r="I21" s="149">
        <v>88749</v>
      </c>
      <c r="J21" s="114">
        <v>97063</v>
      </c>
      <c r="K21" s="114">
        <v>101064</v>
      </c>
      <c r="L21" s="114">
        <v>95940</v>
      </c>
      <c r="M21" s="114">
        <v>106395</v>
      </c>
      <c r="N21" s="114">
        <v>109806</v>
      </c>
      <c r="O21" s="114">
        <v>107856</v>
      </c>
      <c r="P21" s="114">
        <v>117169</v>
      </c>
      <c r="Q21" s="114">
        <v>114047</v>
      </c>
      <c r="R21" s="266">
        <v>124060</v>
      </c>
    </row>
    <row r="22" spans="1:18" s="139" customFormat="1" ht="15.6" x14ac:dyDescent="0.25">
      <c r="A22" s="129" t="s">
        <v>20</v>
      </c>
      <c r="B22" s="145">
        <v>79691</v>
      </c>
      <c r="C22" s="112">
        <v>77456</v>
      </c>
      <c r="D22" s="112">
        <v>87233.42</v>
      </c>
      <c r="E22" s="112">
        <v>87884</v>
      </c>
      <c r="F22" s="112">
        <v>81800</v>
      </c>
      <c r="G22" s="112">
        <v>108390</v>
      </c>
      <c r="H22" s="112">
        <v>80850</v>
      </c>
      <c r="I22" s="112">
        <v>82908</v>
      </c>
      <c r="J22" s="111">
        <v>82242</v>
      </c>
      <c r="K22" s="111">
        <v>88334</v>
      </c>
      <c r="L22" s="111">
        <v>86733</v>
      </c>
      <c r="M22" s="111">
        <v>107019</v>
      </c>
      <c r="N22" s="111">
        <v>108575</v>
      </c>
      <c r="O22" s="111">
        <v>112379</v>
      </c>
      <c r="P22" s="111">
        <v>104171</v>
      </c>
      <c r="Q22" s="111">
        <v>107451</v>
      </c>
      <c r="R22" s="267">
        <v>112705</v>
      </c>
    </row>
    <row r="23" spans="1:18" s="139" customFormat="1" ht="15.6" x14ac:dyDescent="0.25">
      <c r="A23" s="129" t="s">
        <v>21</v>
      </c>
      <c r="B23" s="145">
        <v>77448</v>
      </c>
      <c r="C23" s="112">
        <v>83267.05</v>
      </c>
      <c r="D23" s="112">
        <v>82541</v>
      </c>
      <c r="E23" s="112">
        <v>87558.93</v>
      </c>
      <c r="F23" s="112">
        <v>91300</v>
      </c>
      <c r="G23" s="112">
        <v>90722</v>
      </c>
      <c r="H23" s="112">
        <v>83583</v>
      </c>
      <c r="I23" s="112">
        <v>82663</v>
      </c>
      <c r="J23" s="111">
        <v>90036</v>
      </c>
      <c r="K23" s="111">
        <v>86881</v>
      </c>
      <c r="L23" s="111">
        <v>89797</v>
      </c>
      <c r="M23" s="111">
        <v>100017</v>
      </c>
      <c r="N23" s="111">
        <v>100348</v>
      </c>
      <c r="O23" s="111">
        <v>109195</v>
      </c>
      <c r="P23" s="111">
        <v>105295</v>
      </c>
      <c r="Q23" s="111">
        <v>105749</v>
      </c>
      <c r="R23" s="267">
        <v>118054</v>
      </c>
    </row>
    <row r="24" spans="1:18" s="139" customFormat="1" ht="15.6" x14ac:dyDescent="0.25">
      <c r="A24" s="129" t="s">
        <v>22</v>
      </c>
      <c r="B24" s="145">
        <v>91369</v>
      </c>
      <c r="C24" s="112">
        <v>91448</v>
      </c>
      <c r="D24" s="112">
        <v>96231</v>
      </c>
      <c r="E24" s="112">
        <v>102107</v>
      </c>
      <c r="F24" s="112">
        <v>92286</v>
      </c>
      <c r="G24" s="112">
        <v>97056</v>
      </c>
      <c r="H24" s="112">
        <v>94595</v>
      </c>
      <c r="I24" s="112">
        <v>94485</v>
      </c>
      <c r="J24" s="111">
        <v>101339</v>
      </c>
      <c r="K24" s="111">
        <v>102180</v>
      </c>
      <c r="L24" s="111">
        <v>105761</v>
      </c>
      <c r="M24" s="111">
        <v>111792</v>
      </c>
      <c r="N24" s="111">
        <v>108762</v>
      </c>
      <c r="O24" s="111">
        <v>115940</v>
      </c>
      <c r="P24" s="111">
        <v>121641</v>
      </c>
      <c r="Q24" s="111">
        <v>125209</v>
      </c>
      <c r="R24" s="267">
        <v>89623</v>
      </c>
    </row>
    <row r="25" spans="1:18" s="139" customFormat="1" ht="15.6" x14ac:dyDescent="0.25">
      <c r="A25" s="129" t="s">
        <v>23</v>
      </c>
      <c r="B25" s="145">
        <v>83612.69</v>
      </c>
      <c r="C25" s="112">
        <v>91769</v>
      </c>
      <c r="D25" s="112">
        <v>86416</v>
      </c>
      <c r="E25" s="112">
        <v>92419</v>
      </c>
      <c r="F25" s="112">
        <v>92080</v>
      </c>
      <c r="G25" s="112">
        <v>132016</v>
      </c>
      <c r="H25" s="112">
        <v>93737</v>
      </c>
      <c r="I25" s="112">
        <v>95821</v>
      </c>
      <c r="J25" s="111">
        <v>95283</v>
      </c>
      <c r="K25" s="111">
        <v>97462</v>
      </c>
      <c r="L25" s="111">
        <v>99536</v>
      </c>
      <c r="M25" s="111">
        <v>107136</v>
      </c>
      <c r="N25" s="111">
        <v>117454</v>
      </c>
      <c r="O25" s="111">
        <v>110005</v>
      </c>
      <c r="P25" s="111">
        <v>128126</v>
      </c>
      <c r="Q25" s="111">
        <v>127635</v>
      </c>
      <c r="R25" s="267">
        <v>70075</v>
      </c>
    </row>
    <row r="26" spans="1:18" s="139" customFormat="1" ht="15.6" x14ac:dyDescent="0.25">
      <c r="A26" s="129" t="s">
        <v>24</v>
      </c>
      <c r="B26" s="145">
        <v>83394</v>
      </c>
      <c r="C26" s="112">
        <v>89203</v>
      </c>
      <c r="D26" s="112">
        <v>90620</v>
      </c>
      <c r="E26" s="112">
        <v>91224</v>
      </c>
      <c r="F26" s="112">
        <v>94915</v>
      </c>
      <c r="G26" s="112">
        <v>91401</v>
      </c>
      <c r="H26" s="112">
        <v>89274</v>
      </c>
      <c r="I26" s="112">
        <v>88421</v>
      </c>
      <c r="J26" s="111">
        <v>91563</v>
      </c>
      <c r="K26" s="111">
        <v>98837</v>
      </c>
      <c r="L26" s="111">
        <v>100030</v>
      </c>
      <c r="M26" s="111">
        <v>108624</v>
      </c>
      <c r="N26" s="111">
        <v>109491</v>
      </c>
      <c r="O26" s="111">
        <v>107283</v>
      </c>
      <c r="P26" s="111">
        <v>114781</v>
      </c>
      <c r="Q26" s="111">
        <v>122750</v>
      </c>
      <c r="R26" s="267">
        <v>83558</v>
      </c>
    </row>
    <row r="27" spans="1:18" s="139" customFormat="1" ht="15.6" x14ac:dyDescent="0.3">
      <c r="A27" s="129" t="s">
        <v>25</v>
      </c>
      <c r="B27" s="145">
        <v>61739</v>
      </c>
      <c r="C27" s="112">
        <v>72756</v>
      </c>
      <c r="D27" s="112">
        <v>74967</v>
      </c>
      <c r="E27" s="112">
        <v>79172</v>
      </c>
      <c r="F27" s="112">
        <v>69340</v>
      </c>
      <c r="G27" s="111">
        <v>74207</v>
      </c>
      <c r="H27" s="112">
        <v>76465</v>
      </c>
      <c r="I27" s="112">
        <v>72690</v>
      </c>
      <c r="J27" s="111">
        <v>74148</v>
      </c>
      <c r="K27" s="111">
        <v>79975</v>
      </c>
      <c r="L27" s="111">
        <v>80630</v>
      </c>
      <c r="M27" s="111">
        <v>89586</v>
      </c>
      <c r="N27" s="111">
        <v>96580</v>
      </c>
      <c r="O27" s="111">
        <v>93394</v>
      </c>
      <c r="P27" s="111">
        <v>107427</v>
      </c>
      <c r="Q27" s="111">
        <v>104781</v>
      </c>
      <c r="R27" s="279" t="s">
        <v>74</v>
      </c>
    </row>
    <row r="28" spans="1:18" s="139" customFormat="1" ht="15.6" x14ac:dyDescent="0.3">
      <c r="A28" s="129" t="s">
        <v>26</v>
      </c>
      <c r="B28" s="145">
        <v>122708</v>
      </c>
      <c r="C28" s="112">
        <v>104869</v>
      </c>
      <c r="D28" s="112">
        <v>102518</v>
      </c>
      <c r="E28" s="112">
        <v>106167</v>
      </c>
      <c r="F28" s="112">
        <v>99896</v>
      </c>
      <c r="G28" s="111">
        <v>96546</v>
      </c>
      <c r="H28" s="112">
        <v>101713</v>
      </c>
      <c r="I28" s="112">
        <v>101033</v>
      </c>
      <c r="J28" s="111">
        <v>114420</v>
      </c>
      <c r="K28" s="111">
        <v>107387</v>
      </c>
      <c r="L28" s="111">
        <v>121440</v>
      </c>
      <c r="M28" s="111">
        <v>117940</v>
      </c>
      <c r="N28" s="111">
        <v>117739</v>
      </c>
      <c r="O28" s="111">
        <v>137926</v>
      </c>
      <c r="P28" s="111">
        <v>127010</v>
      </c>
      <c r="Q28" s="111">
        <v>132585</v>
      </c>
      <c r="R28" s="280" t="s">
        <v>74</v>
      </c>
    </row>
    <row r="29" spans="1:18" s="139" customFormat="1" ht="15.6" x14ac:dyDescent="0.3">
      <c r="A29" s="129" t="s">
        <v>27</v>
      </c>
      <c r="B29" s="145">
        <v>89007</v>
      </c>
      <c r="C29" s="112">
        <v>90062</v>
      </c>
      <c r="D29" s="112">
        <v>91219</v>
      </c>
      <c r="E29" s="112">
        <v>95604</v>
      </c>
      <c r="F29" s="112">
        <v>95054</v>
      </c>
      <c r="G29" s="111">
        <v>90740</v>
      </c>
      <c r="H29" s="112">
        <v>90104</v>
      </c>
      <c r="I29" s="112">
        <v>97435</v>
      </c>
      <c r="J29" s="111">
        <v>100657</v>
      </c>
      <c r="K29" s="111">
        <v>100679</v>
      </c>
      <c r="L29" s="111">
        <v>106349</v>
      </c>
      <c r="M29" s="111">
        <v>110781</v>
      </c>
      <c r="N29" s="111">
        <v>110567</v>
      </c>
      <c r="O29" s="111">
        <v>118089</v>
      </c>
      <c r="P29" s="111">
        <v>124735</v>
      </c>
      <c r="Q29" s="111">
        <v>123557</v>
      </c>
      <c r="R29" s="280" t="s">
        <v>74</v>
      </c>
    </row>
    <row r="30" spans="1:18" s="139" customFormat="1" ht="15.6" x14ac:dyDescent="0.3">
      <c r="A30" s="129" t="s">
        <v>28</v>
      </c>
      <c r="B30" s="145">
        <v>90209</v>
      </c>
      <c r="C30" s="112">
        <v>93580.97</v>
      </c>
      <c r="D30" s="112">
        <v>94024</v>
      </c>
      <c r="E30" s="112">
        <v>98868.41</v>
      </c>
      <c r="F30" s="112">
        <v>96735</v>
      </c>
      <c r="G30" s="111">
        <v>88762</v>
      </c>
      <c r="H30" s="112">
        <v>91568</v>
      </c>
      <c r="I30" s="112">
        <v>101373</v>
      </c>
      <c r="J30" s="111">
        <v>101639</v>
      </c>
      <c r="K30" s="111">
        <v>98788</v>
      </c>
      <c r="L30" s="111">
        <v>104694</v>
      </c>
      <c r="M30" s="111">
        <v>107329</v>
      </c>
      <c r="N30" s="111">
        <v>111846</v>
      </c>
      <c r="O30" s="111">
        <v>115399</v>
      </c>
      <c r="P30" s="111">
        <v>118580</v>
      </c>
      <c r="Q30" s="111">
        <v>117632</v>
      </c>
      <c r="R30" s="280" t="s">
        <v>74</v>
      </c>
    </row>
    <row r="31" spans="1:18" s="139" customFormat="1" ht="15.6" x14ac:dyDescent="0.3">
      <c r="A31" s="129" t="s">
        <v>29</v>
      </c>
      <c r="B31" s="145">
        <v>88458</v>
      </c>
      <c r="C31" s="112">
        <v>90186</v>
      </c>
      <c r="D31" s="112">
        <v>89088</v>
      </c>
      <c r="E31" s="112">
        <v>93360</v>
      </c>
      <c r="F31" s="112" t="s">
        <v>33</v>
      </c>
      <c r="G31" s="111">
        <v>89766</v>
      </c>
      <c r="H31" s="112">
        <v>91501</v>
      </c>
      <c r="I31" s="112">
        <v>92679</v>
      </c>
      <c r="J31" s="111">
        <v>97150</v>
      </c>
      <c r="K31" s="111">
        <v>100091</v>
      </c>
      <c r="L31" s="111">
        <v>106005</v>
      </c>
      <c r="M31" s="111">
        <v>110379</v>
      </c>
      <c r="N31" s="111">
        <v>112264</v>
      </c>
      <c r="O31" s="111">
        <v>119569</v>
      </c>
      <c r="P31" s="111">
        <v>126185</v>
      </c>
      <c r="Q31" s="111">
        <v>126018</v>
      </c>
      <c r="R31" s="280" t="s">
        <v>74</v>
      </c>
    </row>
    <row r="32" spans="1:18" s="139" customFormat="1" ht="16.2" thickBot="1" x14ac:dyDescent="0.35">
      <c r="A32" s="130" t="s">
        <v>30</v>
      </c>
      <c r="B32" s="124">
        <v>76348.800000000003</v>
      </c>
      <c r="C32" s="119">
        <v>81771</v>
      </c>
      <c r="D32" s="119">
        <v>83199</v>
      </c>
      <c r="E32" s="119">
        <v>85915.7</v>
      </c>
      <c r="F32" s="119">
        <v>150407</v>
      </c>
      <c r="G32" s="120">
        <v>81526</v>
      </c>
      <c r="H32" s="120">
        <v>80916</v>
      </c>
      <c r="I32" s="120">
        <v>82488</v>
      </c>
      <c r="J32" s="120">
        <v>89910</v>
      </c>
      <c r="K32" s="120">
        <v>92661</v>
      </c>
      <c r="L32" s="120">
        <v>94061</v>
      </c>
      <c r="M32" s="120">
        <v>94711</v>
      </c>
      <c r="N32" s="120">
        <v>92630</v>
      </c>
      <c r="O32" s="120">
        <v>104986</v>
      </c>
      <c r="P32" s="120">
        <v>111451</v>
      </c>
      <c r="Q32" s="120">
        <v>111279</v>
      </c>
      <c r="R32" s="281" t="s">
        <v>74</v>
      </c>
    </row>
    <row r="33" spans="1:18" s="139" customFormat="1" ht="16.2" thickTop="1" x14ac:dyDescent="0.25">
      <c r="A33" s="127" t="s">
        <v>8</v>
      </c>
      <c r="B33" s="150">
        <f>SUM(B21:B32)</f>
        <v>1032094.49</v>
      </c>
      <c r="C33" s="151">
        <f t="shared" ref="C33:I33" si="3">SUM(C21:C32)</f>
        <v>1063004.02</v>
      </c>
      <c r="D33" s="151">
        <f t="shared" si="3"/>
        <v>1073720.42</v>
      </c>
      <c r="E33" s="151">
        <f t="shared" si="3"/>
        <v>1119572.04</v>
      </c>
      <c r="F33" s="151">
        <f t="shared" si="3"/>
        <v>1057903</v>
      </c>
      <c r="G33" s="151">
        <f t="shared" si="3"/>
        <v>1131901</v>
      </c>
      <c r="H33" s="151">
        <f t="shared" si="3"/>
        <v>1081059</v>
      </c>
      <c r="I33" s="151">
        <f t="shared" si="3"/>
        <v>1080745</v>
      </c>
      <c r="J33" s="151">
        <f t="shared" ref="J33:P33" si="4">SUM(J21:J32)</f>
        <v>1135450</v>
      </c>
      <c r="K33" s="151">
        <f t="shared" si="4"/>
        <v>1154339</v>
      </c>
      <c r="L33" s="151">
        <f t="shared" si="4"/>
        <v>1190976</v>
      </c>
      <c r="M33" s="151">
        <f t="shared" si="4"/>
        <v>1271709</v>
      </c>
      <c r="N33" s="151">
        <f t="shared" si="4"/>
        <v>1296062</v>
      </c>
      <c r="O33" s="151">
        <f t="shared" si="4"/>
        <v>1352021</v>
      </c>
      <c r="P33" s="151">
        <f t="shared" si="4"/>
        <v>1406571</v>
      </c>
      <c r="Q33" s="151">
        <f t="shared" ref="Q33:R33" si="5">SUM(Q21:Q32)</f>
        <v>1418693</v>
      </c>
      <c r="R33" s="270">
        <f t="shared" si="5"/>
        <v>598075</v>
      </c>
    </row>
    <row r="34" spans="1:18" s="140" customFormat="1" ht="6.6" x14ac:dyDescent="0.25">
      <c r="A34" s="328" t="s">
        <v>84</v>
      </c>
      <c r="B34" s="328"/>
      <c r="C34" s="328"/>
      <c r="D34" s="328"/>
      <c r="E34" s="328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8"/>
      <c r="R34" s="328"/>
    </row>
    <row r="35" spans="1:18" s="141" customFormat="1" ht="13.8" x14ac:dyDescent="0.25">
      <c r="A35" s="335" t="s">
        <v>34</v>
      </c>
      <c r="B35" s="335"/>
      <c r="C35" s="335"/>
      <c r="D35" s="335"/>
      <c r="E35" s="335"/>
      <c r="F35" s="335"/>
      <c r="G35" s="335"/>
      <c r="H35" s="335"/>
      <c r="I35" s="335"/>
      <c r="J35" s="335"/>
      <c r="K35" s="335"/>
      <c r="L35" s="335"/>
      <c r="M35" s="335"/>
      <c r="N35" s="335"/>
      <c r="O35" s="335"/>
      <c r="P35" s="335"/>
      <c r="Q35" s="335"/>
      <c r="R35" s="335"/>
    </row>
    <row r="36" spans="1:18" s="141" customFormat="1" ht="13.8" x14ac:dyDescent="0.25">
      <c r="A36" s="323" t="str">
        <f>'Lod&amp;Liq'!A64:F64</f>
        <v>Source:  Minnesota Department of Revenue, Tax Research Division, February 2021</v>
      </c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</row>
    <row r="37" spans="1:18" s="141" customFormat="1" ht="13.8" x14ac:dyDescent="0.25">
      <c r="A37" s="330" t="s">
        <v>73</v>
      </c>
      <c r="B37" s="330"/>
      <c r="C37" s="330"/>
      <c r="D37" s="330"/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</row>
  </sheetData>
  <mergeCells count="9">
    <mergeCell ref="A36:R36"/>
    <mergeCell ref="A37:R37"/>
    <mergeCell ref="A1:R1"/>
    <mergeCell ref="A2:R2"/>
    <mergeCell ref="A3:R3"/>
    <mergeCell ref="A18:R18"/>
    <mergeCell ref="A19:R19"/>
    <mergeCell ref="A34:R34"/>
    <mergeCell ref="A35:R35"/>
  </mergeCells>
  <pageMargins left="0" right="0" top="0.75" bottom="0.75" header="0.3" footer="0.3"/>
  <pageSetup scale="65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>
    <pageSetUpPr fitToPage="1"/>
  </sheetPr>
  <dimension ref="A1:R37"/>
  <sheetViews>
    <sheetView showGridLines="0" workbookViewId="0">
      <pane ySplit="1" topLeftCell="A2" activePane="bottomLeft" state="frozen"/>
      <selection pane="bottomLeft" sqref="A1:R1"/>
    </sheetView>
  </sheetViews>
  <sheetFormatPr defaultRowHeight="13.8" x14ac:dyDescent="0.25"/>
  <cols>
    <col min="1" max="1" width="12.5546875" style="107" customWidth="1"/>
    <col min="2" max="18" width="13.5546875" style="104" customWidth="1"/>
    <col min="19" max="16384" width="8.88671875" style="104"/>
  </cols>
  <sheetData>
    <row r="1" spans="1:18" s="101" customFormat="1" ht="21" x14ac:dyDescent="0.25">
      <c r="A1" s="325" t="s">
        <v>94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3" t="s">
        <v>131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65" t="s">
        <v>74</v>
      </c>
      <c r="C5" s="149">
        <v>2030</v>
      </c>
      <c r="D5" s="149">
        <v>2460</v>
      </c>
      <c r="E5" s="149">
        <v>2581</v>
      </c>
      <c r="F5" s="162" t="s">
        <v>74</v>
      </c>
      <c r="G5" s="149">
        <v>2552</v>
      </c>
      <c r="H5" s="114">
        <v>3167</v>
      </c>
      <c r="I5" s="114">
        <v>4305</v>
      </c>
      <c r="J5" s="114">
        <v>5190</v>
      </c>
      <c r="K5" s="114">
        <v>4869</v>
      </c>
      <c r="L5" s="114">
        <v>5174</v>
      </c>
      <c r="M5" s="114">
        <v>2647</v>
      </c>
      <c r="N5" s="114">
        <v>3560</v>
      </c>
      <c r="O5" s="114">
        <v>3700</v>
      </c>
      <c r="P5" s="114">
        <v>2922</v>
      </c>
      <c r="Q5" s="114">
        <v>-74539</v>
      </c>
      <c r="R5" s="266">
        <v>16230</v>
      </c>
    </row>
    <row r="6" spans="1:18" s="103" customFormat="1" ht="15.6" x14ac:dyDescent="0.25">
      <c r="A6" s="129" t="s">
        <v>20</v>
      </c>
      <c r="B6" s="146" t="s">
        <v>74</v>
      </c>
      <c r="C6" s="143">
        <v>2113</v>
      </c>
      <c r="D6" s="143">
        <v>2632</v>
      </c>
      <c r="E6" s="143">
        <v>2492</v>
      </c>
      <c r="F6" s="143" t="s">
        <v>74</v>
      </c>
      <c r="G6" s="143">
        <v>2648</v>
      </c>
      <c r="H6" s="161">
        <v>2575</v>
      </c>
      <c r="I6" s="161">
        <v>3910</v>
      </c>
      <c r="J6" s="161">
        <v>4259</v>
      </c>
      <c r="K6" s="161">
        <v>4389</v>
      </c>
      <c r="L6" s="161">
        <v>4156</v>
      </c>
      <c r="M6" s="161">
        <v>3765</v>
      </c>
      <c r="N6" s="161">
        <v>2719</v>
      </c>
      <c r="O6" s="161">
        <v>6025</v>
      </c>
      <c r="P6" s="161">
        <v>5096</v>
      </c>
      <c r="Q6" s="161">
        <v>14749</v>
      </c>
      <c r="R6" s="272">
        <v>15667</v>
      </c>
    </row>
    <row r="7" spans="1:18" s="103" customFormat="1" ht="15.6" x14ac:dyDescent="0.25">
      <c r="A7" s="129" t="s">
        <v>21</v>
      </c>
      <c r="B7" s="146" t="s">
        <v>74</v>
      </c>
      <c r="C7" s="143">
        <v>1914</v>
      </c>
      <c r="D7" s="143">
        <v>2226</v>
      </c>
      <c r="E7" s="143">
        <v>2188</v>
      </c>
      <c r="F7" s="143" t="s">
        <v>74</v>
      </c>
      <c r="G7" s="143">
        <v>-14107</v>
      </c>
      <c r="H7" s="161">
        <v>2633</v>
      </c>
      <c r="I7" s="161">
        <v>4760</v>
      </c>
      <c r="J7" s="161">
        <v>5180</v>
      </c>
      <c r="K7" s="161">
        <v>5011</v>
      </c>
      <c r="L7" s="161">
        <v>4241</v>
      </c>
      <c r="M7" s="161">
        <v>1856</v>
      </c>
      <c r="N7" s="161">
        <v>6408</v>
      </c>
      <c r="O7" s="161">
        <v>2025</v>
      </c>
      <c r="P7" s="161">
        <v>10986</v>
      </c>
      <c r="Q7" s="161">
        <v>12748</v>
      </c>
      <c r="R7" s="272">
        <v>15965</v>
      </c>
    </row>
    <row r="8" spans="1:18" s="103" customFormat="1" ht="15.6" x14ac:dyDescent="0.25">
      <c r="A8" s="129" t="s">
        <v>22</v>
      </c>
      <c r="B8" s="146" t="s">
        <v>74</v>
      </c>
      <c r="C8" s="143">
        <v>1905</v>
      </c>
      <c r="D8" s="143">
        <v>2593</v>
      </c>
      <c r="E8" s="143">
        <v>2507</v>
      </c>
      <c r="F8" s="143" t="s">
        <v>74</v>
      </c>
      <c r="G8" s="143">
        <v>2843</v>
      </c>
      <c r="H8" s="161">
        <v>4066</v>
      </c>
      <c r="I8" s="161">
        <v>5495</v>
      </c>
      <c r="J8" s="161">
        <v>6550</v>
      </c>
      <c r="K8" s="161">
        <v>5963</v>
      </c>
      <c r="L8" s="161">
        <v>5239</v>
      </c>
      <c r="M8" s="161">
        <v>2651</v>
      </c>
      <c r="N8" s="161">
        <v>3117</v>
      </c>
      <c r="O8" s="161">
        <v>3320</v>
      </c>
      <c r="P8" s="161">
        <v>4548</v>
      </c>
      <c r="Q8" s="161">
        <v>66703</v>
      </c>
      <c r="R8" s="272">
        <v>3623</v>
      </c>
    </row>
    <row r="9" spans="1:18" s="103" customFormat="1" ht="15.6" x14ac:dyDescent="0.25">
      <c r="A9" s="129" t="s">
        <v>23</v>
      </c>
      <c r="B9" s="166">
        <v>397</v>
      </c>
      <c r="C9" s="143">
        <v>2111</v>
      </c>
      <c r="D9" s="143">
        <v>2280</v>
      </c>
      <c r="E9" s="143">
        <v>2369</v>
      </c>
      <c r="F9" s="143" t="s">
        <v>74</v>
      </c>
      <c r="G9" s="143">
        <v>2565</v>
      </c>
      <c r="H9" s="161">
        <v>3423</v>
      </c>
      <c r="I9" s="161">
        <v>5392</v>
      </c>
      <c r="J9" s="111">
        <v>4850</v>
      </c>
      <c r="K9" s="111">
        <v>5302</v>
      </c>
      <c r="L9" s="111">
        <v>4606</v>
      </c>
      <c r="M9" s="111">
        <v>1977</v>
      </c>
      <c r="N9" s="111">
        <v>2402</v>
      </c>
      <c r="O9" s="111">
        <v>2943</v>
      </c>
      <c r="P9" s="111">
        <v>3219</v>
      </c>
      <c r="Q9" s="111">
        <v>15061</v>
      </c>
      <c r="R9" s="267">
        <v>1721</v>
      </c>
    </row>
    <row r="10" spans="1:18" s="103" customFormat="1" ht="15.6" x14ac:dyDescent="0.25">
      <c r="A10" s="129" t="s">
        <v>24</v>
      </c>
      <c r="B10" s="146">
        <v>943</v>
      </c>
      <c r="C10" s="143">
        <v>2203</v>
      </c>
      <c r="D10" s="143">
        <v>2528</v>
      </c>
      <c r="E10" s="143">
        <v>2451</v>
      </c>
      <c r="F10" s="143" t="s">
        <v>74</v>
      </c>
      <c r="G10" s="143">
        <v>2585</v>
      </c>
      <c r="H10" s="161">
        <v>3497</v>
      </c>
      <c r="I10" s="161">
        <v>4476</v>
      </c>
      <c r="J10" s="111">
        <v>5413</v>
      </c>
      <c r="K10" s="111">
        <v>5141</v>
      </c>
      <c r="L10" s="111">
        <v>5449</v>
      </c>
      <c r="M10" s="111">
        <v>2622</v>
      </c>
      <c r="N10" s="111">
        <v>2408</v>
      </c>
      <c r="O10" s="111">
        <v>2653</v>
      </c>
      <c r="P10" s="111">
        <v>3030</v>
      </c>
      <c r="Q10" s="111">
        <v>17421</v>
      </c>
      <c r="R10" s="267">
        <v>-247502</v>
      </c>
    </row>
    <row r="11" spans="1:18" s="103" customFormat="1" ht="15.6" x14ac:dyDescent="0.3">
      <c r="A11" s="129" t="s">
        <v>25</v>
      </c>
      <c r="B11" s="146">
        <v>3907</v>
      </c>
      <c r="C11" s="143">
        <v>2253</v>
      </c>
      <c r="D11" s="143">
        <v>3005</v>
      </c>
      <c r="E11" s="143">
        <v>2667</v>
      </c>
      <c r="F11" s="143" t="s">
        <v>74</v>
      </c>
      <c r="G11" s="143">
        <v>3456</v>
      </c>
      <c r="H11" s="161">
        <v>4621</v>
      </c>
      <c r="I11" s="161">
        <v>6641</v>
      </c>
      <c r="J11" s="111">
        <v>6610</v>
      </c>
      <c r="K11" s="111">
        <v>7316</v>
      </c>
      <c r="L11" s="111">
        <v>7715</v>
      </c>
      <c r="M11" s="111">
        <v>3555</v>
      </c>
      <c r="N11" s="111">
        <v>3573</v>
      </c>
      <c r="O11" s="111">
        <v>5134</v>
      </c>
      <c r="P11" s="111">
        <v>6031</v>
      </c>
      <c r="Q11" s="111">
        <v>19638</v>
      </c>
      <c r="R11" s="279" t="s">
        <v>74</v>
      </c>
    </row>
    <row r="12" spans="1:18" s="103" customFormat="1" ht="15.6" x14ac:dyDescent="0.3">
      <c r="A12" s="129" t="s">
        <v>26</v>
      </c>
      <c r="B12" s="146">
        <v>1178</v>
      </c>
      <c r="C12" s="143">
        <v>2659</v>
      </c>
      <c r="D12" s="143">
        <v>2868</v>
      </c>
      <c r="E12" s="143">
        <v>2120</v>
      </c>
      <c r="F12" s="143" t="s">
        <v>74</v>
      </c>
      <c r="G12" s="143">
        <v>3939</v>
      </c>
      <c r="H12" s="161">
        <v>6931</v>
      </c>
      <c r="I12" s="161">
        <v>5412</v>
      </c>
      <c r="J12" s="111">
        <v>6269</v>
      </c>
      <c r="K12" s="111">
        <v>5935</v>
      </c>
      <c r="L12" s="111">
        <v>2379</v>
      </c>
      <c r="M12" s="111">
        <v>2287</v>
      </c>
      <c r="N12" s="111">
        <v>3046</v>
      </c>
      <c r="O12" s="111">
        <v>2834</v>
      </c>
      <c r="P12" s="111">
        <v>3727</v>
      </c>
      <c r="Q12" s="111">
        <v>17341</v>
      </c>
      <c r="R12" s="280" t="s">
        <v>74</v>
      </c>
    </row>
    <row r="13" spans="1:18" s="103" customFormat="1" ht="15.6" x14ac:dyDescent="0.3">
      <c r="A13" s="129" t="s">
        <v>27</v>
      </c>
      <c r="B13" s="146">
        <v>1281</v>
      </c>
      <c r="C13" s="143">
        <v>2679</v>
      </c>
      <c r="D13" s="143">
        <v>2983</v>
      </c>
      <c r="E13" s="143">
        <v>3112</v>
      </c>
      <c r="F13" s="143" t="s">
        <v>74</v>
      </c>
      <c r="G13" s="143">
        <v>3159</v>
      </c>
      <c r="H13" s="161">
        <v>5184</v>
      </c>
      <c r="I13" s="161">
        <v>5923</v>
      </c>
      <c r="J13" s="111">
        <v>6427</v>
      </c>
      <c r="K13" s="111">
        <v>6351</v>
      </c>
      <c r="L13" s="111">
        <v>2548</v>
      </c>
      <c r="M13" s="111">
        <v>2900</v>
      </c>
      <c r="N13" s="111">
        <v>3191</v>
      </c>
      <c r="O13" s="111">
        <v>3178</v>
      </c>
      <c r="P13" s="111">
        <v>4346</v>
      </c>
      <c r="Q13" s="111">
        <v>16930</v>
      </c>
      <c r="R13" s="280" t="s">
        <v>74</v>
      </c>
    </row>
    <row r="14" spans="1:18" s="103" customFormat="1" ht="15.6" x14ac:dyDescent="0.3">
      <c r="A14" s="129" t="s">
        <v>28</v>
      </c>
      <c r="B14" s="146">
        <v>4441</v>
      </c>
      <c r="C14" s="143">
        <v>2708</v>
      </c>
      <c r="D14" s="143">
        <v>2825</v>
      </c>
      <c r="E14" s="143">
        <v>2530</v>
      </c>
      <c r="F14" s="143" t="s">
        <v>74</v>
      </c>
      <c r="G14" s="143">
        <v>3621</v>
      </c>
      <c r="H14" s="161">
        <v>5512</v>
      </c>
      <c r="I14" s="161">
        <v>6870</v>
      </c>
      <c r="J14" s="111">
        <v>6383</v>
      </c>
      <c r="K14" s="111">
        <v>6361</v>
      </c>
      <c r="L14" s="111">
        <v>3275</v>
      </c>
      <c r="M14" s="111">
        <v>4577</v>
      </c>
      <c r="N14" s="111">
        <v>4347</v>
      </c>
      <c r="O14" s="111">
        <v>3824</v>
      </c>
      <c r="P14" s="111">
        <v>4822</v>
      </c>
      <c r="Q14" s="111">
        <v>17701</v>
      </c>
      <c r="R14" s="280" t="s">
        <v>74</v>
      </c>
    </row>
    <row r="15" spans="1:18" s="103" customFormat="1" ht="15.6" x14ac:dyDescent="0.3">
      <c r="A15" s="129" t="s">
        <v>29</v>
      </c>
      <c r="B15" s="146">
        <v>2114</v>
      </c>
      <c r="C15" s="143">
        <v>2515</v>
      </c>
      <c r="D15" s="143">
        <v>2687</v>
      </c>
      <c r="E15" s="143">
        <v>2476</v>
      </c>
      <c r="F15" s="161" t="s">
        <v>36</v>
      </c>
      <c r="G15" s="143">
        <v>2641</v>
      </c>
      <c r="H15" s="161">
        <v>3603</v>
      </c>
      <c r="I15" s="161">
        <v>5102</v>
      </c>
      <c r="J15" s="111">
        <v>5836</v>
      </c>
      <c r="K15" s="111">
        <v>4425</v>
      </c>
      <c r="L15" s="111">
        <v>2344</v>
      </c>
      <c r="M15" s="111">
        <v>2520</v>
      </c>
      <c r="N15" s="111">
        <v>2902</v>
      </c>
      <c r="O15" s="111">
        <v>1812</v>
      </c>
      <c r="P15" s="111">
        <v>295594</v>
      </c>
      <c r="Q15" s="111">
        <v>12934</v>
      </c>
      <c r="R15" s="280" t="s">
        <v>74</v>
      </c>
    </row>
    <row r="16" spans="1:18" s="103" customFormat="1" ht="16.2" thickBot="1" x14ac:dyDescent="0.35">
      <c r="A16" s="130" t="s">
        <v>30</v>
      </c>
      <c r="B16" s="147">
        <v>1985</v>
      </c>
      <c r="C16" s="144">
        <v>2220</v>
      </c>
      <c r="D16" s="144">
        <v>2401</v>
      </c>
      <c r="E16" s="144">
        <v>2306</v>
      </c>
      <c r="F16" s="164">
        <v>21584</v>
      </c>
      <c r="G16" s="144">
        <v>2476</v>
      </c>
      <c r="H16" s="163">
        <v>4973</v>
      </c>
      <c r="I16" s="163">
        <v>6914</v>
      </c>
      <c r="J16" s="120">
        <v>4497</v>
      </c>
      <c r="K16" s="120">
        <v>3821</v>
      </c>
      <c r="L16" s="120">
        <v>1979</v>
      </c>
      <c r="M16" s="120">
        <v>2068</v>
      </c>
      <c r="N16" s="120">
        <v>2117</v>
      </c>
      <c r="O16" s="120">
        <v>1711</v>
      </c>
      <c r="P16" s="120">
        <v>106139</v>
      </c>
      <c r="Q16" s="120">
        <v>11322</v>
      </c>
      <c r="R16" s="281" t="s">
        <v>74</v>
      </c>
    </row>
    <row r="17" spans="1:18" s="103" customFormat="1" ht="16.2" thickTop="1" x14ac:dyDescent="0.25">
      <c r="A17" s="127" t="s">
        <v>8</v>
      </c>
      <c r="B17" s="150">
        <f>SUM(B5:B16)</f>
        <v>16246</v>
      </c>
      <c r="C17" s="151">
        <f t="shared" ref="C17:I17" si="0">SUM(C5:C16)</f>
        <v>27310</v>
      </c>
      <c r="D17" s="151">
        <f t="shared" si="0"/>
        <v>31488</v>
      </c>
      <c r="E17" s="151">
        <f t="shared" si="0"/>
        <v>29799</v>
      </c>
      <c r="F17" s="151">
        <f t="shared" si="0"/>
        <v>21584</v>
      </c>
      <c r="G17" s="151">
        <f t="shared" si="0"/>
        <v>18378</v>
      </c>
      <c r="H17" s="151">
        <f t="shared" si="0"/>
        <v>50185</v>
      </c>
      <c r="I17" s="151">
        <f t="shared" si="0"/>
        <v>65200</v>
      </c>
      <c r="J17" s="151">
        <f t="shared" ref="J17:P17" si="1">SUM(J5:J16)</f>
        <v>67464</v>
      </c>
      <c r="K17" s="151">
        <f t="shared" si="1"/>
        <v>64884</v>
      </c>
      <c r="L17" s="151">
        <f t="shared" si="1"/>
        <v>49105</v>
      </c>
      <c r="M17" s="151">
        <f t="shared" si="1"/>
        <v>33425</v>
      </c>
      <c r="N17" s="151">
        <f t="shared" si="1"/>
        <v>39790</v>
      </c>
      <c r="O17" s="151">
        <f t="shared" si="1"/>
        <v>39159</v>
      </c>
      <c r="P17" s="151">
        <f t="shared" si="1"/>
        <v>450460</v>
      </c>
      <c r="Q17" s="151">
        <f t="shared" ref="Q17:R17" si="2">SUM(Q5:Q16)</f>
        <v>148009</v>
      </c>
      <c r="R17" s="270">
        <f t="shared" si="2"/>
        <v>-194296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s="102" customFormat="1" ht="18" x14ac:dyDescent="0.25">
      <c r="A19" s="333" t="s">
        <v>132</v>
      </c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</row>
    <row r="20" spans="1:18" s="103" customFormat="1" ht="15.6" x14ac:dyDescent="0.25">
      <c r="A20" s="126" t="s">
        <v>18</v>
      </c>
      <c r="B20" s="121">
        <v>2004</v>
      </c>
      <c r="C20" s="115">
        <v>2005</v>
      </c>
      <c r="D20" s="115">
        <v>2006</v>
      </c>
      <c r="E20" s="115">
        <v>2007</v>
      </c>
      <c r="F20" s="115">
        <v>2008</v>
      </c>
      <c r="G20" s="115">
        <v>2009</v>
      </c>
      <c r="H20" s="115">
        <v>2010</v>
      </c>
      <c r="I20" s="115">
        <v>2011</v>
      </c>
      <c r="J20" s="116">
        <v>2012</v>
      </c>
      <c r="K20" s="116">
        <v>2013</v>
      </c>
      <c r="L20" s="116">
        <v>2014</v>
      </c>
      <c r="M20" s="116">
        <v>2015</v>
      </c>
      <c r="N20" s="116">
        <v>2016</v>
      </c>
      <c r="O20" s="116">
        <v>2017</v>
      </c>
      <c r="P20" s="116">
        <v>2018</v>
      </c>
      <c r="Q20" s="116">
        <v>2019</v>
      </c>
      <c r="R20" s="265">
        <v>2020</v>
      </c>
    </row>
    <row r="21" spans="1:18" s="103" customFormat="1" ht="15.6" x14ac:dyDescent="0.25">
      <c r="A21" s="128" t="s">
        <v>19</v>
      </c>
      <c r="B21" s="165" t="s">
        <v>74</v>
      </c>
      <c r="C21" s="149">
        <v>143542</v>
      </c>
      <c r="D21" s="149">
        <v>213378</v>
      </c>
      <c r="E21" s="149">
        <v>175664</v>
      </c>
      <c r="F21" s="149">
        <v>173357</v>
      </c>
      <c r="G21" s="149">
        <v>227336</v>
      </c>
      <c r="H21" s="114">
        <v>159255</v>
      </c>
      <c r="I21" s="114">
        <v>167079</v>
      </c>
      <c r="J21" s="114">
        <v>171590</v>
      </c>
      <c r="K21" s="114">
        <v>156476</v>
      </c>
      <c r="L21" s="114">
        <v>191806</v>
      </c>
      <c r="M21" s="114">
        <v>205432</v>
      </c>
      <c r="N21" s="114">
        <v>231242</v>
      </c>
      <c r="O21" s="114">
        <v>246952</v>
      </c>
      <c r="P21" s="114">
        <v>252734</v>
      </c>
      <c r="Q21" s="114">
        <v>257066</v>
      </c>
      <c r="R21" s="266">
        <v>266036</v>
      </c>
    </row>
    <row r="22" spans="1:18" s="103" customFormat="1" ht="15.6" x14ac:dyDescent="0.25">
      <c r="A22" s="129" t="s">
        <v>20</v>
      </c>
      <c r="B22" s="146" t="s">
        <v>74</v>
      </c>
      <c r="C22" s="143">
        <v>159070</v>
      </c>
      <c r="D22" s="143">
        <v>185784</v>
      </c>
      <c r="E22" s="143">
        <v>176483</v>
      </c>
      <c r="F22" s="143">
        <v>247879</v>
      </c>
      <c r="G22" s="143">
        <v>195855</v>
      </c>
      <c r="H22" s="161">
        <v>184621</v>
      </c>
      <c r="I22" s="161">
        <v>203130</v>
      </c>
      <c r="J22" s="161">
        <v>206637</v>
      </c>
      <c r="K22" s="161">
        <v>218114</v>
      </c>
      <c r="L22" s="161">
        <v>212468</v>
      </c>
      <c r="M22" s="161">
        <v>252236</v>
      </c>
      <c r="N22" s="161">
        <v>272391</v>
      </c>
      <c r="O22" s="161">
        <v>252396</v>
      </c>
      <c r="P22" s="161">
        <v>293624</v>
      </c>
      <c r="Q22" s="161">
        <v>237049</v>
      </c>
      <c r="R22" s="272">
        <v>340148</v>
      </c>
    </row>
    <row r="23" spans="1:18" s="103" customFormat="1" ht="15.6" x14ac:dyDescent="0.25">
      <c r="A23" s="129" t="s">
        <v>21</v>
      </c>
      <c r="B23" s="146" t="s">
        <v>74</v>
      </c>
      <c r="C23" s="143">
        <v>197753</v>
      </c>
      <c r="D23" s="143">
        <v>180692</v>
      </c>
      <c r="E23" s="143">
        <v>198369</v>
      </c>
      <c r="F23" s="143">
        <v>244874</v>
      </c>
      <c r="G23" s="143">
        <v>202298</v>
      </c>
      <c r="H23" s="161">
        <v>174755</v>
      </c>
      <c r="I23" s="161">
        <v>198605</v>
      </c>
      <c r="J23" s="161">
        <v>232461</v>
      </c>
      <c r="K23" s="161">
        <v>228965</v>
      </c>
      <c r="L23" s="161">
        <v>248072</v>
      </c>
      <c r="M23" s="161">
        <v>259345</v>
      </c>
      <c r="N23" s="161">
        <v>321383</v>
      </c>
      <c r="O23" s="161">
        <v>329116</v>
      </c>
      <c r="P23" s="161">
        <v>446920</v>
      </c>
      <c r="Q23" s="161">
        <v>313546</v>
      </c>
      <c r="R23" s="272">
        <v>379173</v>
      </c>
    </row>
    <row r="24" spans="1:18" s="103" customFormat="1" ht="15.6" x14ac:dyDescent="0.25">
      <c r="A24" s="129" t="s">
        <v>22</v>
      </c>
      <c r="B24" s="146" t="s">
        <v>74</v>
      </c>
      <c r="C24" s="143">
        <v>233196</v>
      </c>
      <c r="D24" s="143">
        <v>281952</v>
      </c>
      <c r="E24" s="143">
        <v>277114</v>
      </c>
      <c r="F24" s="143">
        <v>314709</v>
      </c>
      <c r="G24" s="143">
        <v>327450</v>
      </c>
      <c r="H24" s="161">
        <v>305268</v>
      </c>
      <c r="I24" s="161">
        <v>305209</v>
      </c>
      <c r="J24" s="161">
        <v>315199</v>
      </c>
      <c r="K24" s="161">
        <v>311910</v>
      </c>
      <c r="L24" s="161">
        <v>301148</v>
      </c>
      <c r="M24" s="161">
        <v>283141</v>
      </c>
      <c r="N24" s="161">
        <v>317495</v>
      </c>
      <c r="O24" s="161">
        <v>421181</v>
      </c>
      <c r="P24" s="161">
        <v>393602</v>
      </c>
      <c r="Q24" s="161">
        <v>385572</v>
      </c>
      <c r="R24" s="272">
        <v>187626</v>
      </c>
    </row>
    <row r="25" spans="1:18" s="103" customFormat="1" ht="15.6" x14ac:dyDescent="0.25">
      <c r="A25" s="129" t="s">
        <v>23</v>
      </c>
      <c r="B25" s="166">
        <v>225244</v>
      </c>
      <c r="C25" s="143">
        <v>226986</v>
      </c>
      <c r="D25" s="143">
        <v>244114</v>
      </c>
      <c r="E25" s="143">
        <v>250307</v>
      </c>
      <c r="F25" s="143">
        <v>311798.81</v>
      </c>
      <c r="G25" s="143">
        <v>194661</v>
      </c>
      <c r="H25" s="161">
        <v>227014</v>
      </c>
      <c r="I25" s="161">
        <v>262064</v>
      </c>
      <c r="J25" s="111">
        <v>243817</v>
      </c>
      <c r="K25" s="111">
        <v>293646</v>
      </c>
      <c r="L25" s="111">
        <v>259559</v>
      </c>
      <c r="M25" s="111">
        <v>290521</v>
      </c>
      <c r="N25" s="111">
        <v>347885</v>
      </c>
      <c r="O25" s="111">
        <v>327052</v>
      </c>
      <c r="P25" s="111">
        <v>386772</v>
      </c>
      <c r="Q25" s="111">
        <v>383204</v>
      </c>
      <c r="R25" s="267">
        <v>55952</v>
      </c>
    </row>
    <row r="26" spans="1:18" s="103" customFormat="1" ht="15.6" x14ac:dyDescent="0.25">
      <c r="A26" s="129" t="s">
        <v>24</v>
      </c>
      <c r="B26" s="146">
        <v>223800</v>
      </c>
      <c r="C26" s="143">
        <v>256778</v>
      </c>
      <c r="D26" s="143">
        <v>236899</v>
      </c>
      <c r="E26" s="143">
        <v>248329</v>
      </c>
      <c r="F26" s="143">
        <v>255858</v>
      </c>
      <c r="G26" s="143">
        <v>217835</v>
      </c>
      <c r="H26" s="161">
        <v>254424</v>
      </c>
      <c r="I26" s="161">
        <v>244256</v>
      </c>
      <c r="J26" s="111">
        <v>260561</v>
      </c>
      <c r="K26" s="111">
        <v>280410</v>
      </c>
      <c r="L26" s="111">
        <v>263273</v>
      </c>
      <c r="M26" s="111">
        <v>376573</v>
      </c>
      <c r="N26" s="111">
        <v>314186</v>
      </c>
      <c r="O26" s="111">
        <v>339505</v>
      </c>
      <c r="P26" s="111">
        <v>325950</v>
      </c>
      <c r="Q26" s="111">
        <v>325370</v>
      </c>
      <c r="R26" s="267">
        <v>69416</v>
      </c>
    </row>
    <row r="27" spans="1:18" s="103" customFormat="1" ht="15.6" x14ac:dyDescent="0.3">
      <c r="A27" s="129" t="s">
        <v>25</v>
      </c>
      <c r="B27" s="146">
        <v>163660</v>
      </c>
      <c r="C27" s="143">
        <v>172635</v>
      </c>
      <c r="D27" s="143">
        <v>133104</v>
      </c>
      <c r="E27" s="143">
        <v>134796</v>
      </c>
      <c r="F27" s="143">
        <v>196764</v>
      </c>
      <c r="G27" s="143">
        <v>191111</v>
      </c>
      <c r="H27" s="161">
        <v>281289</v>
      </c>
      <c r="I27" s="161">
        <v>227434</v>
      </c>
      <c r="J27" s="111">
        <v>268190</v>
      </c>
      <c r="K27" s="111">
        <v>268121</v>
      </c>
      <c r="L27" s="111">
        <v>314780</v>
      </c>
      <c r="M27" s="111">
        <v>317154</v>
      </c>
      <c r="N27" s="111">
        <v>216838</v>
      </c>
      <c r="O27" s="111">
        <v>400969</v>
      </c>
      <c r="P27" s="111">
        <v>449495</v>
      </c>
      <c r="Q27" s="111">
        <v>287104</v>
      </c>
      <c r="R27" s="279" t="s">
        <v>74</v>
      </c>
    </row>
    <row r="28" spans="1:18" s="103" customFormat="1" ht="15.6" x14ac:dyDescent="0.3">
      <c r="A28" s="129" t="s">
        <v>26</v>
      </c>
      <c r="B28" s="146">
        <v>376495</v>
      </c>
      <c r="C28" s="143">
        <v>367400</v>
      </c>
      <c r="D28" s="143">
        <v>403975</v>
      </c>
      <c r="E28" s="143">
        <v>438503</v>
      </c>
      <c r="F28" s="143">
        <v>309866</v>
      </c>
      <c r="G28" s="143">
        <v>306780</v>
      </c>
      <c r="H28" s="161">
        <v>264597</v>
      </c>
      <c r="I28" s="161">
        <v>340182</v>
      </c>
      <c r="J28" s="111">
        <v>294774</v>
      </c>
      <c r="K28" s="111">
        <v>293005</v>
      </c>
      <c r="L28" s="111">
        <v>343922</v>
      </c>
      <c r="M28" s="111">
        <v>390373</v>
      </c>
      <c r="N28" s="111">
        <v>528047</v>
      </c>
      <c r="O28" s="111">
        <v>411571</v>
      </c>
      <c r="P28" s="111">
        <v>376765</v>
      </c>
      <c r="Q28" s="111">
        <v>570495</v>
      </c>
      <c r="R28" s="280" t="s">
        <v>74</v>
      </c>
    </row>
    <row r="29" spans="1:18" s="103" customFormat="1" ht="15.6" x14ac:dyDescent="0.3">
      <c r="A29" s="129" t="s">
        <v>27</v>
      </c>
      <c r="B29" s="146">
        <v>275272</v>
      </c>
      <c r="C29" s="143">
        <v>313812</v>
      </c>
      <c r="D29" s="143">
        <v>284902</v>
      </c>
      <c r="E29" s="143">
        <v>290002</v>
      </c>
      <c r="F29" s="143">
        <v>303851</v>
      </c>
      <c r="G29" s="143">
        <v>245351</v>
      </c>
      <c r="H29" s="161">
        <v>264733</v>
      </c>
      <c r="I29" s="161">
        <v>316803</v>
      </c>
      <c r="J29" s="111">
        <v>336470</v>
      </c>
      <c r="K29" s="111">
        <v>294655</v>
      </c>
      <c r="L29" s="111">
        <v>370176</v>
      </c>
      <c r="M29" s="111">
        <v>360007</v>
      </c>
      <c r="N29" s="111">
        <v>411083</v>
      </c>
      <c r="O29" s="111">
        <v>426532</v>
      </c>
      <c r="P29" s="111">
        <v>424416</v>
      </c>
      <c r="Q29" s="111">
        <v>420749</v>
      </c>
      <c r="R29" s="280" t="s">
        <v>74</v>
      </c>
    </row>
    <row r="30" spans="1:18" s="103" customFormat="1" ht="15.6" x14ac:dyDescent="0.3">
      <c r="A30" s="129" t="s">
        <v>28</v>
      </c>
      <c r="B30" s="146">
        <v>278813</v>
      </c>
      <c r="C30" s="143">
        <v>295512</v>
      </c>
      <c r="D30" s="143">
        <v>303088</v>
      </c>
      <c r="E30" s="143">
        <v>292242</v>
      </c>
      <c r="F30" s="143">
        <v>355325</v>
      </c>
      <c r="G30" s="143">
        <v>249145</v>
      </c>
      <c r="H30" s="161">
        <v>279146</v>
      </c>
      <c r="I30" s="161">
        <v>280433</v>
      </c>
      <c r="J30" s="111">
        <v>281946</v>
      </c>
      <c r="K30" s="111">
        <v>338427</v>
      </c>
      <c r="L30" s="111">
        <v>333174</v>
      </c>
      <c r="M30" s="111">
        <v>348819</v>
      </c>
      <c r="N30" s="111">
        <v>463159</v>
      </c>
      <c r="O30" s="111">
        <v>402770</v>
      </c>
      <c r="P30" s="111">
        <v>433308</v>
      </c>
      <c r="Q30" s="111">
        <v>441855</v>
      </c>
      <c r="R30" s="280" t="s">
        <v>74</v>
      </c>
    </row>
    <row r="31" spans="1:18" s="103" customFormat="1" ht="15.6" x14ac:dyDescent="0.3">
      <c r="A31" s="129" t="s">
        <v>29</v>
      </c>
      <c r="B31" s="146">
        <v>291329</v>
      </c>
      <c r="C31" s="143">
        <v>295157</v>
      </c>
      <c r="D31" s="143">
        <v>282351</v>
      </c>
      <c r="E31" s="143">
        <v>348155</v>
      </c>
      <c r="F31" s="161" t="s">
        <v>36</v>
      </c>
      <c r="G31" s="143">
        <v>268181</v>
      </c>
      <c r="H31" s="161">
        <v>188639</v>
      </c>
      <c r="I31" s="161">
        <v>288944</v>
      </c>
      <c r="J31" s="111">
        <v>307537</v>
      </c>
      <c r="K31" s="111">
        <v>345129</v>
      </c>
      <c r="L31" s="111">
        <v>350453</v>
      </c>
      <c r="M31" s="111">
        <v>372214</v>
      </c>
      <c r="N31" s="111">
        <v>459151</v>
      </c>
      <c r="O31" s="111">
        <v>402028</v>
      </c>
      <c r="P31" s="111">
        <v>465824</v>
      </c>
      <c r="Q31" s="111">
        <v>469482</v>
      </c>
      <c r="R31" s="280" t="s">
        <v>74</v>
      </c>
    </row>
    <row r="32" spans="1:18" s="103" customFormat="1" ht="16.2" thickBot="1" x14ac:dyDescent="0.35">
      <c r="A32" s="130" t="s">
        <v>30</v>
      </c>
      <c r="B32" s="147">
        <v>188743</v>
      </c>
      <c r="C32" s="144">
        <v>136101</v>
      </c>
      <c r="D32" s="144">
        <v>224088</v>
      </c>
      <c r="E32" s="144">
        <v>220697</v>
      </c>
      <c r="F32" s="144">
        <v>417603</v>
      </c>
      <c r="G32" s="144">
        <v>182771</v>
      </c>
      <c r="H32" s="163">
        <v>299769</v>
      </c>
      <c r="I32" s="163">
        <v>206978</v>
      </c>
      <c r="J32" s="120">
        <v>214058</v>
      </c>
      <c r="K32" s="120">
        <v>236637</v>
      </c>
      <c r="L32" s="120">
        <v>244743</v>
      </c>
      <c r="M32" s="120">
        <v>268993</v>
      </c>
      <c r="N32" s="120">
        <v>202166</v>
      </c>
      <c r="O32" s="120">
        <v>299573</v>
      </c>
      <c r="P32" s="120">
        <v>300547</v>
      </c>
      <c r="Q32" s="120">
        <v>317263</v>
      </c>
      <c r="R32" s="281" t="s">
        <v>74</v>
      </c>
    </row>
    <row r="33" spans="1:18" s="103" customFormat="1" ht="16.2" thickTop="1" x14ac:dyDescent="0.25">
      <c r="A33" s="127" t="s">
        <v>8</v>
      </c>
      <c r="B33" s="150">
        <f>SUM(B21:B32)</f>
        <v>2023356</v>
      </c>
      <c r="C33" s="151">
        <f t="shared" ref="C33:I33" si="3">SUM(C21:C32)</f>
        <v>2797942</v>
      </c>
      <c r="D33" s="151">
        <f t="shared" si="3"/>
        <v>2974327</v>
      </c>
      <c r="E33" s="151">
        <f t="shared" si="3"/>
        <v>3050661</v>
      </c>
      <c r="F33" s="151">
        <f t="shared" si="3"/>
        <v>3131884.81</v>
      </c>
      <c r="G33" s="151">
        <f t="shared" si="3"/>
        <v>2808774</v>
      </c>
      <c r="H33" s="151">
        <f t="shared" si="3"/>
        <v>2883510</v>
      </c>
      <c r="I33" s="151">
        <f t="shared" si="3"/>
        <v>3041117</v>
      </c>
      <c r="J33" s="151">
        <f t="shared" ref="J33:P33" si="4">SUM(J21:J32)</f>
        <v>3133240</v>
      </c>
      <c r="K33" s="151">
        <f t="shared" si="4"/>
        <v>3265495</v>
      </c>
      <c r="L33" s="151">
        <f t="shared" si="4"/>
        <v>3433574</v>
      </c>
      <c r="M33" s="151">
        <f t="shared" si="4"/>
        <v>3724808</v>
      </c>
      <c r="N33" s="151">
        <f t="shared" si="4"/>
        <v>4085026</v>
      </c>
      <c r="O33" s="151">
        <f t="shared" si="4"/>
        <v>4259645</v>
      </c>
      <c r="P33" s="151">
        <f t="shared" si="4"/>
        <v>4549957</v>
      </c>
      <c r="Q33" s="151">
        <f t="shared" ref="Q33:R33" si="5">SUM(Q21:Q32)</f>
        <v>4408755</v>
      </c>
      <c r="R33" s="270">
        <f t="shared" si="5"/>
        <v>1298351</v>
      </c>
    </row>
    <row r="34" spans="1:18" s="108" customFormat="1" ht="6.6" x14ac:dyDescent="0.25">
      <c r="A34" s="328" t="s">
        <v>84</v>
      </c>
      <c r="B34" s="328"/>
      <c r="C34" s="328"/>
      <c r="D34" s="328"/>
      <c r="E34" s="328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8"/>
      <c r="R34" s="328"/>
    </row>
    <row r="35" spans="1:18" x14ac:dyDescent="0.25">
      <c r="A35" s="335" t="s">
        <v>34</v>
      </c>
      <c r="B35" s="335"/>
      <c r="C35" s="335"/>
      <c r="D35" s="335"/>
      <c r="E35" s="335"/>
      <c r="F35" s="335"/>
      <c r="G35" s="335"/>
      <c r="H35" s="335"/>
      <c r="I35" s="335"/>
      <c r="J35" s="335"/>
      <c r="K35" s="335"/>
      <c r="L35" s="335"/>
      <c r="M35" s="335"/>
      <c r="N35" s="335"/>
      <c r="O35" s="335"/>
      <c r="P35" s="335"/>
      <c r="Q35" s="335"/>
      <c r="R35" s="335"/>
    </row>
    <row r="36" spans="1:18" x14ac:dyDescent="0.25">
      <c r="A36" s="323" t="str">
        <f>'Lod&amp;Liq'!A64:F64</f>
        <v>Source:  Minnesota Department of Revenue, Tax Research Division, February 2021</v>
      </c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</row>
    <row r="37" spans="1:18" x14ac:dyDescent="0.25">
      <c r="A37" s="330" t="s">
        <v>73</v>
      </c>
      <c r="B37" s="330"/>
      <c r="C37" s="330"/>
      <c r="D37" s="330"/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</row>
  </sheetData>
  <mergeCells count="9">
    <mergeCell ref="A36:R36"/>
    <mergeCell ref="A37:R37"/>
    <mergeCell ref="A1:R1"/>
    <mergeCell ref="A2:R2"/>
    <mergeCell ref="A3:R3"/>
    <mergeCell ref="A18:R18"/>
    <mergeCell ref="A19:R19"/>
    <mergeCell ref="A34:R34"/>
    <mergeCell ref="A35:R35"/>
  </mergeCells>
  <pageMargins left="0" right="0" top="0.75" bottom="0.75" header="0.3" footer="0.3"/>
  <pageSetup scale="65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9">
    <pageSetUpPr fitToPage="1"/>
  </sheetPr>
  <dimension ref="A1:R23"/>
  <sheetViews>
    <sheetView showGridLines="0" workbookViewId="0">
      <pane ySplit="1" topLeftCell="A2" activePane="bottomLeft" state="frozen"/>
      <selection pane="bottomLeft" sqref="A1:R1"/>
    </sheetView>
  </sheetViews>
  <sheetFormatPr defaultColWidth="13.5546875" defaultRowHeight="13.8" x14ac:dyDescent="0.25"/>
  <cols>
    <col min="1" max="1" width="13.5546875" style="184"/>
    <col min="2" max="5" width="0" style="104" hidden="1" customWidth="1"/>
    <col min="6" max="16384" width="13.5546875" style="104"/>
  </cols>
  <sheetData>
    <row r="1" spans="1:18" s="101" customFormat="1" ht="21" x14ac:dyDescent="0.25">
      <c r="A1" s="325" t="s">
        <v>111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</row>
    <row r="2" spans="1:18" s="102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18" s="102" customFormat="1" ht="18" x14ac:dyDescent="0.25">
      <c r="A3" s="333" t="s">
        <v>43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s="103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18" s="103" customFormat="1" ht="15.6" x14ac:dyDescent="0.25">
      <c r="A5" s="128" t="s">
        <v>19</v>
      </c>
      <c r="B5" s="122" t="s">
        <v>74</v>
      </c>
      <c r="C5" s="113" t="s">
        <v>74</v>
      </c>
      <c r="D5" s="113" t="s">
        <v>74</v>
      </c>
      <c r="E5" s="113" t="s">
        <v>74</v>
      </c>
      <c r="F5" s="113" t="s">
        <v>74</v>
      </c>
      <c r="G5" s="192">
        <v>414620</v>
      </c>
      <c r="H5" s="174">
        <v>530620</v>
      </c>
      <c r="I5" s="174">
        <v>694800</v>
      </c>
      <c r="J5" s="174">
        <v>492562</v>
      </c>
      <c r="K5" s="174">
        <v>-1144660</v>
      </c>
      <c r="L5" s="174">
        <v>-1290860</v>
      </c>
      <c r="M5" s="174">
        <v>-23020</v>
      </c>
      <c r="N5" s="174">
        <v>534900</v>
      </c>
      <c r="O5" s="174">
        <v>595900</v>
      </c>
      <c r="P5" s="174">
        <v>18480</v>
      </c>
      <c r="Q5" s="174">
        <v>17240</v>
      </c>
      <c r="R5" s="273">
        <v>-57020</v>
      </c>
    </row>
    <row r="6" spans="1:18" s="103" customFormat="1" ht="15.6" x14ac:dyDescent="0.25">
      <c r="A6" s="129" t="s">
        <v>20</v>
      </c>
      <c r="B6" s="123" t="s">
        <v>74</v>
      </c>
      <c r="C6" s="111" t="s">
        <v>74</v>
      </c>
      <c r="D6" s="111" t="s">
        <v>74</v>
      </c>
      <c r="E6" s="111" t="s">
        <v>74</v>
      </c>
      <c r="F6" s="111" t="s">
        <v>74</v>
      </c>
      <c r="G6" s="191">
        <v>326160</v>
      </c>
      <c r="H6" s="186">
        <v>326880</v>
      </c>
      <c r="I6" s="186">
        <v>385480</v>
      </c>
      <c r="J6" s="186">
        <v>333060</v>
      </c>
      <c r="K6" s="186">
        <v>2024900</v>
      </c>
      <c r="L6" s="186">
        <v>421000</v>
      </c>
      <c r="M6" s="186">
        <v>505320</v>
      </c>
      <c r="N6" s="186">
        <v>464760</v>
      </c>
      <c r="O6" s="186">
        <v>483300</v>
      </c>
      <c r="P6" s="186">
        <v>9700</v>
      </c>
      <c r="Q6" s="186">
        <v>17160</v>
      </c>
      <c r="R6" s="276">
        <v>-800</v>
      </c>
    </row>
    <row r="7" spans="1:18" s="103" customFormat="1" ht="15.6" x14ac:dyDescent="0.25">
      <c r="A7" s="129" t="s">
        <v>21</v>
      </c>
      <c r="B7" s="123" t="s">
        <v>74</v>
      </c>
      <c r="C7" s="111" t="s">
        <v>74</v>
      </c>
      <c r="D7" s="111" t="s">
        <v>74</v>
      </c>
      <c r="E7" s="111" t="s">
        <v>74</v>
      </c>
      <c r="F7" s="111" t="s">
        <v>74</v>
      </c>
      <c r="G7" s="191">
        <v>321040</v>
      </c>
      <c r="H7" s="186">
        <v>271040</v>
      </c>
      <c r="I7" s="186">
        <v>347560</v>
      </c>
      <c r="J7" s="186">
        <v>377920</v>
      </c>
      <c r="K7" s="186">
        <v>375000</v>
      </c>
      <c r="L7" s="186">
        <v>2211660</v>
      </c>
      <c r="M7" s="186">
        <v>439713</v>
      </c>
      <c r="N7" s="186">
        <v>607540</v>
      </c>
      <c r="O7" s="186">
        <v>484503</v>
      </c>
      <c r="P7" s="186">
        <v>6180</v>
      </c>
      <c r="Q7" s="186">
        <v>-58480</v>
      </c>
      <c r="R7" s="276">
        <v>-58260</v>
      </c>
    </row>
    <row r="8" spans="1:18" s="103" customFormat="1" ht="15.6" x14ac:dyDescent="0.25">
      <c r="A8" s="129" t="s">
        <v>22</v>
      </c>
      <c r="B8" s="123" t="s">
        <v>74</v>
      </c>
      <c r="C8" s="111" t="s">
        <v>74</v>
      </c>
      <c r="D8" s="111" t="s">
        <v>74</v>
      </c>
      <c r="E8" s="111" t="s">
        <v>74</v>
      </c>
      <c r="F8" s="111" t="s">
        <v>74</v>
      </c>
      <c r="G8" s="191">
        <v>390380</v>
      </c>
      <c r="H8" s="186">
        <v>445080</v>
      </c>
      <c r="I8" s="186">
        <v>527320</v>
      </c>
      <c r="J8" s="186">
        <v>561620</v>
      </c>
      <c r="K8" s="186">
        <v>524620</v>
      </c>
      <c r="L8" s="186">
        <v>616500</v>
      </c>
      <c r="M8" s="186">
        <v>603867</v>
      </c>
      <c r="N8" s="186">
        <v>569329</v>
      </c>
      <c r="O8" s="186">
        <v>621300</v>
      </c>
      <c r="P8" s="186">
        <v>6180</v>
      </c>
      <c r="Q8" s="186">
        <v>60</v>
      </c>
      <c r="R8" s="276">
        <v>2700</v>
      </c>
    </row>
    <row r="9" spans="1:18" s="103" customFormat="1" ht="15.6" x14ac:dyDescent="0.25">
      <c r="A9" s="129" t="s">
        <v>23</v>
      </c>
      <c r="B9" s="123" t="s">
        <v>74</v>
      </c>
      <c r="C9" s="111" t="s">
        <v>74</v>
      </c>
      <c r="D9" s="111" t="s">
        <v>74</v>
      </c>
      <c r="E9" s="111" t="s">
        <v>74</v>
      </c>
      <c r="F9" s="111" t="s">
        <v>74</v>
      </c>
      <c r="G9" s="191">
        <v>357300</v>
      </c>
      <c r="H9" s="186">
        <v>369940</v>
      </c>
      <c r="I9" s="186">
        <v>446760</v>
      </c>
      <c r="J9" s="186">
        <v>421500</v>
      </c>
      <c r="K9" s="186">
        <v>471540</v>
      </c>
      <c r="L9" s="186">
        <v>509240</v>
      </c>
      <c r="M9" s="186">
        <v>521293</v>
      </c>
      <c r="N9" s="186">
        <v>534940</v>
      </c>
      <c r="O9" s="186">
        <v>550080</v>
      </c>
      <c r="P9" s="186">
        <v>32339</v>
      </c>
      <c r="Q9" s="186">
        <v>80</v>
      </c>
      <c r="R9" s="276">
        <v>300</v>
      </c>
    </row>
    <row r="10" spans="1:18" s="103" customFormat="1" ht="15.6" x14ac:dyDescent="0.25">
      <c r="A10" s="129" t="s">
        <v>24</v>
      </c>
      <c r="B10" s="123" t="s">
        <v>74</v>
      </c>
      <c r="C10" s="111" t="s">
        <v>74</v>
      </c>
      <c r="D10" s="111" t="s">
        <v>74</v>
      </c>
      <c r="E10" s="111" t="s">
        <v>74</v>
      </c>
      <c r="F10" s="111" t="s">
        <v>74</v>
      </c>
      <c r="G10" s="191">
        <v>348720</v>
      </c>
      <c r="H10" s="186">
        <v>361340</v>
      </c>
      <c r="I10" s="186">
        <v>444800</v>
      </c>
      <c r="J10" s="186">
        <v>466640</v>
      </c>
      <c r="K10" s="186">
        <v>779720</v>
      </c>
      <c r="L10" s="186">
        <v>588220</v>
      </c>
      <c r="M10" s="186">
        <v>539940</v>
      </c>
      <c r="N10" s="186">
        <v>556580</v>
      </c>
      <c r="O10" s="186">
        <v>583960</v>
      </c>
      <c r="P10" s="186">
        <v>20600</v>
      </c>
      <c r="Q10" s="186">
        <v>3280</v>
      </c>
      <c r="R10" s="276">
        <v>140</v>
      </c>
    </row>
    <row r="11" spans="1:18" s="103" customFormat="1" ht="15.6" x14ac:dyDescent="0.3">
      <c r="A11" s="129" t="s">
        <v>25</v>
      </c>
      <c r="B11" s="123" t="s">
        <v>74</v>
      </c>
      <c r="C11" s="111" t="s">
        <v>74</v>
      </c>
      <c r="D11" s="111" t="s">
        <v>74</v>
      </c>
      <c r="E11" s="111" t="s">
        <v>74</v>
      </c>
      <c r="F11" s="111" t="s">
        <v>74</v>
      </c>
      <c r="G11" s="186">
        <v>365240</v>
      </c>
      <c r="H11" s="186">
        <v>369720</v>
      </c>
      <c r="I11" s="186">
        <v>440740</v>
      </c>
      <c r="J11" s="186">
        <v>419560</v>
      </c>
      <c r="K11" s="186">
        <v>557340</v>
      </c>
      <c r="L11" s="186">
        <v>475860</v>
      </c>
      <c r="M11" s="186">
        <v>1100400</v>
      </c>
      <c r="N11" s="186">
        <v>553120</v>
      </c>
      <c r="O11" s="186">
        <v>559360</v>
      </c>
      <c r="P11" s="186">
        <v>36240</v>
      </c>
      <c r="Q11" s="111">
        <v>0</v>
      </c>
      <c r="R11" s="279" t="s">
        <v>74</v>
      </c>
    </row>
    <row r="12" spans="1:18" s="103" customFormat="1" ht="15.6" x14ac:dyDescent="0.3">
      <c r="A12" s="129" t="s">
        <v>26</v>
      </c>
      <c r="B12" s="123" t="s">
        <v>74</v>
      </c>
      <c r="C12" s="111" t="s">
        <v>74</v>
      </c>
      <c r="D12" s="111" t="s">
        <v>74</v>
      </c>
      <c r="E12" s="111" t="s">
        <v>74</v>
      </c>
      <c r="F12" s="185">
        <v>361520</v>
      </c>
      <c r="G12" s="191">
        <v>450340</v>
      </c>
      <c r="H12" s="186">
        <v>413680</v>
      </c>
      <c r="I12" s="186">
        <v>465760</v>
      </c>
      <c r="J12" s="186">
        <v>533300</v>
      </c>
      <c r="K12" s="186">
        <v>594360</v>
      </c>
      <c r="L12" s="186">
        <v>596400</v>
      </c>
      <c r="M12" s="186">
        <v>597900</v>
      </c>
      <c r="N12" s="186">
        <v>601400</v>
      </c>
      <c r="O12" s="186">
        <v>622604</v>
      </c>
      <c r="P12" s="186">
        <v>2600</v>
      </c>
      <c r="Q12" s="111">
        <v>0</v>
      </c>
      <c r="R12" s="280" t="s">
        <v>74</v>
      </c>
    </row>
    <row r="13" spans="1:18" s="103" customFormat="1" ht="15.6" x14ac:dyDescent="0.3">
      <c r="A13" s="129" t="s">
        <v>27</v>
      </c>
      <c r="B13" s="123" t="s">
        <v>74</v>
      </c>
      <c r="C13" s="111" t="s">
        <v>74</v>
      </c>
      <c r="D13" s="111" t="s">
        <v>74</v>
      </c>
      <c r="E13" s="111" t="s">
        <v>74</v>
      </c>
      <c r="F13" s="186">
        <v>387920</v>
      </c>
      <c r="G13" s="186">
        <v>436700</v>
      </c>
      <c r="H13" s="186">
        <v>363680</v>
      </c>
      <c r="I13" s="186">
        <v>452540</v>
      </c>
      <c r="J13" s="186">
        <v>461860</v>
      </c>
      <c r="K13" s="186">
        <v>580693</v>
      </c>
      <c r="L13" s="186">
        <v>543020</v>
      </c>
      <c r="M13" s="186">
        <v>583558</v>
      </c>
      <c r="N13" s="186">
        <v>627220</v>
      </c>
      <c r="O13" s="186">
        <v>579820</v>
      </c>
      <c r="P13" s="186">
        <v>1560</v>
      </c>
      <c r="Q13" s="111">
        <v>1000</v>
      </c>
      <c r="R13" s="280" t="s">
        <v>74</v>
      </c>
    </row>
    <row r="14" spans="1:18" s="103" customFormat="1" ht="15.6" x14ac:dyDescent="0.3">
      <c r="A14" s="129" t="s">
        <v>28</v>
      </c>
      <c r="B14" s="123" t="s">
        <v>74</v>
      </c>
      <c r="C14" s="111" t="s">
        <v>74</v>
      </c>
      <c r="D14" s="111" t="s">
        <v>74</v>
      </c>
      <c r="E14" s="111" t="s">
        <v>74</v>
      </c>
      <c r="F14" s="186">
        <v>203020</v>
      </c>
      <c r="G14" s="186">
        <v>364300</v>
      </c>
      <c r="H14" s="186">
        <v>395180</v>
      </c>
      <c r="I14" s="186">
        <v>479400</v>
      </c>
      <c r="J14" s="186">
        <v>498660</v>
      </c>
      <c r="K14" s="186">
        <v>525681</v>
      </c>
      <c r="L14" s="186">
        <v>659710</v>
      </c>
      <c r="M14" s="186">
        <v>602060</v>
      </c>
      <c r="N14" s="186">
        <v>596400</v>
      </c>
      <c r="O14" s="186">
        <v>607080</v>
      </c>
      <c r="P14" s="186">
        <v>680</v>
      </c>
      <c r="Q14" s="111">
        <v>2520</v>
      </c>
      <c r="R14" s="280" t="s">
        <v>74</v>
      </c>
    </row>
    <row r="15" spans="1:18" s="103" customFormat="1" ht="15.6" x14ac:dyDescent="0.3">
      <c r="A15" s="129" t="s">
        <v>29</v>
      </c>
      <c r="B15" s="123" t="s">
        <v>74</v>
      </c>
      <c r="C15" s="111" t="s">
        <v>74</v>
      </c>
      <c r="D15" s="111" t="s">
        <v>74</v>
      </c>
      <c r="E15" s="111" t="s">
        <v>74</v>
      </c>
      <c r="F15" s="111" t="s">
        <v>33</v>
      </c>
      <c r="G15" s="186">
        <v>283840</v>
      </c>
      <c r="H15" s="186">
        <v>343900</v>
      </c>
      <c r="I15" s="186">
        <v>410880</v>
      </c>
      <c r="J15" s="186">
        <v>417960</v>
      </c>
      <c r="K15" s="186">
        <v>469249</v>
      </c>
      <c r="L15" s="186">
        <v>522263</v>
      </c>
      <c r="M15" s="186">
        <v>529490</v>
      </c>
      <c r="N15" s="186">
        <v>516252</v>
      </c>
      <c r="O15" s="186">
        <v>10400</v>
      </c>
      <c r="P15" s="186">
        <v>320</v>
      </c>
      <c r="Q15" s="111">
        <v>60220</v>
      </c>
      <c r="R15" s="280" t="s">
        <v>74</v>
      </c>
    </row>
    <row r="16" spans="1:18" s="103" customFormat="1" ht="16.2" thickBot="1" x14ac:dyDescent="0.35">
      <c r="A16" s="130" t="s">
        <v>30</v>
      </c>
      <c r="B16" s="124" t="s">
        <v>74</v>
      </c>
      <c r="C16" s="119" t="s">
        <v>74</v>
      </c>
      <c r="D16" s="119" t="s">
        <v>74</v>
      </c>
      <c r="E16" s="119" t="s">
        <v>74</v>
      </c>
      <c r="F16" s="193">
        <v>525200</v>
      </c>
      <c r="G16" s="187">
        <v>255920</v>
      </c>
      <c r="H16" s="187">
        <v>309000</v>
      </c>
      <c r="I16" s="187">
        <v>381900</v>
      </c>
      <c r="J16" s="187">
        <v>383280</v>
      </c>
      <c r="K16" s="187">
        <v>450240</v>
      </c>
      <c r="L16" s="187">
        <v>520859</v>
      </c>
      <c r="M16" s="187">
        <v>457140</v>
      </c>
      <c r="N16" s="187">
        <v>498640</v>
      </c>
      <c r="O16" s="187">
        <v>7740</v>
      </c>
      <c r="P16" s="187">
        <v>2063</v>
      </c>
      <c r="Q16" s="120">
        <v>-58360</v>
      </c>
      <c r="R16" s="281" t="s">
        <v>74</v>
      </c>
    </row>
    <row r="17" spans="1:18" s="103" customFormat="1" ht="16.2" thickTop="1" x14ac:dyDescent="0.25">
      <c r="A17" s="127" t="s">
        <v>8</v>
      </c>
      <c r="B17" s="125" t="s">
        <v>74</v>
      </c>
      <c r="C17" s="117" t="s">
        <v>74</v>
      </c>
      <c r="D17" s="117" t="s">
        <v>74</v>
      </c>
      <c r="E17" s="117" t="s">
        <v>74</v>
      </c>
      <c r="F17" s="179">
        <f t="shared" ref="F17:K17" si="0">SUM(F5:F16)</f>
        <v>1477660</v>
      </c>
      <c r="G17" s="179">
        <f t="shared" si="0"/>
        <v>4314560</v>
      </c>
      <c r="H17" s="179">
        <f t="shared" si="0"/>
        <v>4500060</v>
      </c>
      <c r="I17" s="179">
        <f t="shared" si="0"/>
        <v>5477940</v>
      </c>
      <c r="J17" s="179">
        <f t="shared" si="0"/>
        <v>5367922</v>
      </c>
      <c r="K17" s="179">
        <f t="shared" si="0"/>
        <v>6208683</v>
      </c>
      <c r="L17" s="179">
        <f t="shared" ref="L17:Q17" si="1">SUM(L5:L16)</f>
        <v>6373872</v>
      </c>
      <c r="M17" s="179">
        <f t="shared" si="1"/>
        <v>6457661</v>
      </c>
      <c r="N17" s="179">
        <f t="shared" si="1"/>
        <v>6661081</v>
      </c>
      <c r="O17" s="179">
        <f t="shared" si="1"/>
        <v>5706047</v>
      </c>
      <c r="P17" s="179">
        <f t="shared" si="1"/>
        <v>136942</v>
      </c>
      <c r="Q17" s="179">
        <f t="shared" si="1"/>
        <v>-15280</v>
      </c>
      <c r="R17" s="274">
        <f t="shared" ref="R17" si="2">SUM(R5:R16)</f>
        <v>-112940</v>
      </c>
    </row>
    <row r="18" spans="1:18" s="108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18" x14ac:dyDescent="0.25">
      <c r="A19" s="329" t="s">
        <v>109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</row>
    <row r="20" spans="1:18" x14ac:dyDescent="0.25">
      <c r="A20" s="323" t="s">
        <v>108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x14ac:dyDescent="0.25">
      <c r="A21" s="335" t="s">
        <v>34</v>
      </c>
      <c r="B21" s="335"/>
      <c r="C21" s="335"/>
      <c r="D21" s="335"/>
      <c r="E21" s="335"/>
      <c r="F21" s="335"/>
      <c r="G21" s="335"/>
      <c r="H21" s="335"/>
      <c r="I21" s="335"/>
      <c r="J21" s="335"/>
      <c r="K21" s="335"/>
      <c r="L21" s="335"/>
      <c r="M21" s="335"/>
      <c r="N21" s="335"/>
      <c r="O21" s="335"/>
      <c r="P21" s="335"/>
      <c r="Q21" s="335"/>
      <c r="R21" s="335"/>
    </row>
    <row r="22" spans="1:18" x14ac:dyDescent="0.25">
      <c r="A22" s="323" t="str">
        <f>'Lod&amp;Liq'!A64:F64</f>
        <v>Source:  Minnesota Department of Revenue, Tax Research Division, February 2021</v>
      </c>
      <c r="B22" s="323"/>
      <c r="C22" s="323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3"/>
      <c r="O22" s="323"/>
      <c r="P22" s="323"/>
      <c r="Q22" s="323"/>
      <c r="R22" s="323"/>
    </row>
    <row r="23" spans="1:18" x14ac:dyDescent="0.25">
      <c r="A23" s="330" t="s">
        <v>73</v>
      </c>
      <c r="B23" s="330"/>
      <c r="C23" s="330"/>
      <c r="D23" s="330"/>
      <c r="E23" s="330"/>
      <c r="F23" s="330"/>
      <c r="G23" s="330"/>
      <c r="H23" s="330"/>
      <c r="I23" s="330"/>
      <c r="J23" s="330"/>
      <c r="K23" s="330"/>
      <c r="L23" s="330"/>
      <c r="M23" s="330"/>
      <c r="N23" s="330"/>
      <c r="O23" s="330"/>
      <c r="P23" s="330"/>
      <c r="Q23" s="330"/>
      <c r="R23" s="330"/>
    </row>
  </sheetData>
  <mergeCells count="9">
    <mergeCell ref="A22:R22"/>
    <mergeCell ref="A23:R23"/>
    <mergeCell ref="A1:R1"/>
    <mergeCell ref="A2:R2"/>
    <mergeCell ref="A3:R3"/>
    <mergeCell ref="A18:R18"/>
    <mergeCell ref="A19:R19"/>
    <mergeCell ref="A20:R20"/>
    <mergeCell ref="A21:R21"/>
  </mergeCells>
  <pageMargins left="0.3" right="0" top="0.75" bottom="0.75" header="0.3" footer="0.3"/>
  <pageSetup scale="73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A6C63-09B6-4206-9B2F-6E42CE4BB5B1}">
  <sheetPr codeName="Sheet18">
    <pageSetUpPr fitToPage="1"/>
  </sheetPr>
  <dimension ref="A1:V21"/>
  <sheetViews>
    <sheetView showGridLines="0" workbookViewId="0">
      <pane ySplit="1" topLeftCell="A2" activePane="bottomLeft" state="frozen"/>
      <selection pane="bottomLeft" sqref="A1:V1"/>
    </sheetView>
  </sheetViews>
  <sheetFormatPr defaultRowHeight="13.2" x14ac:dyDescent="0.25"/>
  <cols>
    <col min="1" max="1" width="12.5546875" style="132" customWidth="1"/>
    <col min="2" max="16" width="13.5546875" style="131" hidden="1" customWidth="1"/>
    <col min="17" max="18" width="13.5546875" style="131" customWidth="1"/>
    <col min="19" max="16384" width="8.88671875" style="131"/>
  </cols>
  <sheetData>
    <row r="1" spans="1:22" s="137" customFormat="1" ht="21" x14ac:dyDescent="0.25">
      <c r="A1" s="325" t="s">
        <v>157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  <c r="U1" s="325"/>
      <c r="V1" s="325"/>
    </row>
    <row r="2" spans="1:22" s="138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22" s="138" customFormat="1" ht="18" x14ac:dyDescent="0.25">
      <c r="A3" s="333" t="s">
        <v>158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22" s="139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22" s="139" customFormat="1" ht="15.6" x14ac:dyDescent="0.25">
      <c r="A5" s="128" t="s">
        <v>19</v>
      </c>
      <c r="B5" s="145" t="s">
        <v>74</v>
      </c>
      <c r="C5" s="145" t="s">
        <v>74</v>
      </c>
      <c r="D5" s="145" t="s">
        <v>74</v>
      </c>
      <c r="E5" s="145" t="s">
        <v>74</v>
      </c>
      <c r="F5" s="145" t="s">
        <v>74</v>
      </c>
      <c r="G5" s="145" t="s">
        <v>74</v>
      </c>
      <c r="H5" s="145" t="s">
        <v>74</v>
      </c>
      <c r="I5" s="145" t="s">
        <v>74</v>
      </c>
      <c r="J5" s="145" t="s">
        <v>74</v>
      </c>
      <c r="K5" s="145" t="s">
        <v>74</v>
      </c>
      <c r="L5" s="145" t="s">
        <v>74</v>
      </c>
      <c r="M5" s="145" t="s">
        <v>74</v>
      </c>
      <c r="N5" s="145" t="s">
        <v>74</v>
      </c>
      <c r="O5" s="145" t="s">
        <v>74</v>
      </c>
      <c r="P5" s="145" t="s">
        <v>74</v>
      </c>
      <c r="Q5" s="145" t="s">
        <v>74</v>
      </c>
      <c r="R5" s="266">
        <v>4940</v>
      </c>
    </row>
    <row r="6" spans="1:22" s="139" customFormat="1" ht="15.6" x14ac:dyDescent="0.25">
      <c r="A6" s="129" t="s">
        <v>20</v>
      </c>
      <c r="B6" s="145" t="s">
        <v>74</v>
      </c>
      <c r="C6" s="145" t="s">
        <v>74</v>
      </c>
      <c r="D6" s="145" t="s">
        <v>74</v>
      </c>
      <c r="E6" s="145" t="s">
        <v>74</v>
      </c>
      <c r="F6" s="145" t="s">
        <v>74</v>
      </c>
      <c r="G6" s="145" t="s">
        <v>74</v>
      </c>
      <c r="H6" s="145" t="s">
        <v>74</v>
      </c>
      <c r="I6" s="145" t="s">
        <v>74</v>
      </c>
      <c r="J6" s="145" t="s">
        <v>74</v>
      </c>
      <c r="K6" s="145" t="s">
        <v>74</v>
      </c>
      <c r="L6" s="145" t="s">
        <v>74</v>
      </c>
      <c r="M6" s="145" t="s">
        <v>74</v>
      </c>
      <c r="N6" s="145" t="s">
        <v>74</v>
      </c>
      <c r="O6" s="145" t="s">
        <v>74</v>
      </c>
      <c r="P6" s="145" t="s">
        <v>74</v>
      </c>
      <c r="Q6" s="145" t="s">
        <v>74</v>
      </c>
      <c r="R6" s="267">
        <v>5080</v>
      </c>
    </row>
    <row r="7" spans="1:22" s="139" customFormat="1" ht="15.6" x14ac:dyDescent="0.25">
      <c r="A7" s="129" t="s">
        <v>21</v>
      </c>
      <c r="B7" s="145" t="s">
        <v>74</v>
      </c>
      <c r="C7" s="145" t="s">
        <v>74</v>
      </c>
      <c r="D7" s="145" t="s">
        <v>74</v>
      </c>
      <c r="E7" s="145" t="s">
        <v>74</v>
      </c>
      <c r="F7" s="145" t="s">
        <v>74</v>
      </c>
      <c r="G7" s="145" t="s">
        <v>74</v>
      </c>
      <c r="H7" s="145" t="s">
        <v>74</v>
      </c>
      <c r="I7" s="145" t="s">
        <v>74</v>
      </c>
      <c r="J7" s="145" t="s">
        <v>74</v>
      </c>
      <c r="K7" s="145" t="s">
        <v>74</v>
      </c>
      <c r="L7" s="145" t="s">
        <v>74</v>
      </c>
      <c r="M7" s="145" t="s">
        <v>74</v>
      </c>
      <c r="N7" s="145" t="s">
        <v>74</v>
      </c>
      <c r="O7" s="145" t="s">
        <v>74</v>
      </c>
      <c r="P7" s="145" t="s">
        <v>74</v>
      </c>
      <c r="Q7" s="145" t="s">
        <v>74</v>
      </c>
      <c r="R7" s="267">
        <v>5420</v>
      </c>
    </row>
    <row r="8" spans="1:22" s="139" customFormat="1" ht="15.6" x14ac:dyDescent="0.25">
      <c r="A8" s="129" t="s">
        <v>22</v>
      </c>
      <c r="B8" s="145" t="s">
        <v>74</v>
      </c>
      <c r="C8" s="145" t="s">
        <v>74</v>
      </c>
      <c r="D8" s="145" t="s">
        <v>74</v>
      </c>
      <c r="E8" s="145" t="s">
        <v>74</v>
      </c>
      <c r="F8" s="145" t="s">
        <v>74</v>
      </c>
      <c r="G8" s="145" t="s">
        <v>74</v>
      </c>
      <c r="H8" s="145" t="s">
        <v>74</v>
      </c>
      <c r="I8" s="145" t="s">
        <v>74</v>
      </c>
      <c r="J8" s="145" t="s">
        <v>74</v>
      </c>
      <c r="K8" s="145" t="s">
        <v>74</v>
      </c>
      <c r="L8" s="145" t="s">
        <v>74</v>
      </c>
      <c r="M8" s="145" t="s">
        <v>74</v>
      </c>
      <c r="N8" s="145" t="s">
        <v>74</v>
      </c>
      <c r="O8" s="145" t="s">
        <v>74</v>
      </c>
      <c r="P8" s="145" t="s">
        <v>74</v>
      </c>
      <c r="Q8" s="145" t="s">
        <v>74</v>
      </c>
      <c r="R8" s="267">
        <v>3460</v>
      </c>
    </row>
    <row r="9" spans="1:22" s="139" customFormat="1" ht="15.6" x14ac:dyDescent="0.25">
      <c r="A9" s="129" t="s">
        <v>23</v>
      </c>
      <c r="B9" s="145" t="s">
        <v>74</v>
      </c>
      <c r="C9" s="145" t="s">
        <v>74</v>
      </c>
      <c r="D9" s="145" t="s">
        <v>74</v>
      </c>
      <c r="E9" s="145" t="s">
        <v>74</v>
      </c>
      <c r="F9" s="145" t="s">
        <v>74</v>
      </c>
      <c r="G9" s="145" t="s">
        <v>74</v>
      </c>
      <c r="H9" s="145" t="s">
        <v>74</v>
      </c>
      <c r="I9" s="145" t="s">
        <v>74</v>
      </c>
      <c r="J9" s="145" t="s">
        <v>74</v>
      </c>
      <c r="K9" s="145" t="s">
        <v>74</v>
      </c>
      <c r="L9" s="145" t="s">
        <v>74</v>
      </c>
      <c r="M9" s="145" t="s">
        <v>74</v>
      </c>
      <c r="N9" s="145" t="s">
        <v>74</v>
      </c>
      <c r="O9" s="145" t="s">
        <v>74</v>
      </c>
      <c r="P9" s="145" t="s">
        <v>74</v>
      </c>
      <c r="Q9" s="145" t="s">
        <v>74</v>
      </c>
      <c r="R9" s="267">
        <v>3720</v>
      </c>
    </row>
    <row r="10" spans="1:22" s="139" customFormat="1" ht="15.6" x14ac:dyDescent="0.25">
      <c r="A10" s="129" t="s">
        <v>24</v>
      </c>
      <c r="B10" s="145" t="s">
        <v>74</v>
      </c>
      <c r="C10" s="145" t="s">
        <v>74</v>
      </c>
      <c r="D10" s="145" t="s">
        <v>74</v>
      </c>
      <c r="E10" s="145" t="s">
        <v>74</v>
      </c>
      <c r="F10" s="145" t="s">
        <v>74</v>
      </c>
      <c r="G10" s="145" t="s">
        <v>74</v>
      </c>
      <c r="H10" s="145" t="s">
        <v>74</v>
      </c>
      <c r="I10" s="145" t="s">
        <v>74</v>
      </c>
      <c r="J10" s="145" t="s">
        <v>74</v>
      </c>
      <c r="K10" s="145" t="s">
        <v>74</v>
      </c>
      <c r="L10" s="145" t="s">
        <v>74</v>
      </c>
      <c r="M10" s="145" t="s">
        <v>74</v>
      </c>
      <c r="N10" s="145" t="s">
        <v>74</v>
      </c>
      <c r="O10" s="145" t="s">
        <v>74</v>
      </c>
      <c r="P10" s="145" t="s">
        <v>74</v>
      </c>
      <c r="Q10" s="145" t="s">
        <v>74</v>
      </c>
      <c r="R10" s="267">
        <v>5220</v>
      </c>
    </row>
    <row r="11" spans="1:22" s="139" customFormat="1" ht="15.6" x14ac:dyDescent="0.3">
      <c r="A11" s="129" t="s">
        <v>25</v>
      </c>
      <c r="B11" s="145" t="s">
        <v>74</v>
      </c>
      <c r="C11" s="145" t="s">
        <v>74</v>
      </c>
      <c r="D11" s="145" t="s">
        <v>74</v>
      </c>
      <c r="E11" s="145" t="s">
        <v>74</v>
      </c>
      <c r="F11" s="145" t="s">
        <v>74</v>
      </c>
      <c r="G11" s="145" t="s">
        <v>74</v>
      </c>
      <c r="H11" s="145" t="s">
        <v>74</v>
      </c>
      <c r="I11" s="145" t="s">
        <v>74</v>
      </c>
      <c r="J11" s="145" t="s">
        <v>74</v>
      </c>
      <c r="K11" s="145" t="s">
        <v>74</v>
      </c>
      <c r="L11" s="145" t="s">
        <v>74</v>
      </c>
      <c r="M11" s="145" t="s">
        <v>74</v>
      </c>
      <c r="N11" s="145" t="s">
        <v>74</v>
      </c>
      <c r="O11" s="145" t="s">
        <v>74</v>
      </c>
      <c r="P11" s="145" t="s">
        <v>74</v>
      </c>
      <c r="Q11" s="145" t="s">
        <v>74</v>
      </c>
      <c r="R11" s="279" t="s">
        <v>74</v>
      </c>
    </row>
    <row r="12" spans="1:22" s="139" customFormat="1" ht="15.6" x14ac:dyDescent="0.3">
      <c r="A12" s="129" t="s">
        <v>26</v>
      </c>
      <c r="B12" s="145" t="s">
        <v>74</v>
      </c>
      <c r="C12" s="145" t="s">
        <v>74</v>
      </c>
      <c r="D12" s="145" t="s">
        <v>74</v>
      </c>
      <c r="E12" s="145" t="s">
        <v>74</v>
      </c>
      <c r="F12" s="145" t="s">
        <v>74</v>
      </c>
      <c r="G12" s="145" t="s">
        <v>74</v>
      </c>
      <c r="H12" s="145" t="s">
        <v>74</v>
      </c>
      <c r="I12" s="145" t="s">
        <v>74</v>
      </c>
      <c r="J12" s="145" t="s">
        <v>74</v>
      </c>
      <c r="K12" s="145" t="s">
        <v>74</v>
      </c>
      <c r="L12" s="145" t="s">
        <v>74</v>
      </c>
      <c r="M12" s="145" t="s">
        <v>74</v>
      </c>
      <c r="N12" s="145" t="s">
        <v>74</v>
      </c>
      <c r="O12" s="145" t="s">
        <v>74</v>
      </c>
      <c r="P12" s="145" t="s">
        <v>74</v>
      </c>
      <c r="Q12" s="145" t="s">
        <v>74</v>
      </c>
      <c r="R12" s="280" t="s">
        <v>74</v>
      </c>
    </row>
    <row r="13" spans="1:22" s="139" customFormat="1" ht="15.6" x14ac:dyDescent="0.3">
      <c r="A13" s="129" t="s">
        <v>27</v>
      </c>
      <c r="B13" s="145" t="s">
        <v>74</v>
      </c>
      <c r="C13" s="145" t="s">
        <v>74</v>
      </c>
      <c r="D13" s="145" t="s">
        <v>74</v>
      </c>
      <c r="E13" s="145" t="s">
        <v>74</v>
      </c>
      <c r="F13" s="145" t="s">
        <v>74</v>
      </c>
      <c r="G13" s="145" t="s">
        <v>74</v>
      </c>
      <c r="H13" s="145" t="s">
        <v>74</v>
      </c>
      <c r="I13" s="145" t="s">
        <v>74</v>
      </c>
      <c r="J13" s="145" t="s">
        <v>74</v>
      </c>
      <c r="K13" s="145" t="s">
        <v>74</v>
      </c>
      <c r="L13" s="145" t="s">
        <v>74</v>
      </c>
      <c r="M13" s="145" t="s">
        <v>74</v>
      </c>
      <c r="N13" s="145" t="s">
        <v>74</v>
      </c>
      <c r="O13" s="145" t="s">
        <v>74</v>
      </c>
      <c r="P13" s="145" t="s">
        <v>74</v>
      </c>
      <c r="Q13" s="145" t="s">
        <v>74</v>
      </c>
      <c r="R13" s="280" t="s">
        <v>74</v>
      </c>
    </row>
    <row r="14" spans="1:22" s="139" customFormat="1" ht="15.6" x14ac:dyDescent="0.3">
      <c r="A14" s="129" t="s">
        <v>28</v>
      </c>
      <c r="B14" s="145" t="s">
        <v>74</v>
      </c>
      <c r="C14" s="145" t="s">
        <v>74</v>
      </c>
      <c r="D14" s="145" t="s">
        <v>74</v>
      </c>
      <c r="E14" s="145" t="s">
        <v>74</v>
      </c>
      <c r="F14" s="145" t="s">
        <v>74</v>
      </c>
      <c r="G14" s="145" t="s">
        <v>74</v>
      </c>
      <c r="H14" s="145" t="s">
        <v>74</v>
      </c>
      <c r="I14" s="145" t="s">
        <v>74</v>
      </c>
      <c r="J14" s="145" t="s">
        <v>74</v>
      </c>
      <c r="K14" s="145" t="s">
        <v>74</v>
      </c>
      <c r="L14" s="145" t="s">
        <v>74</v>
      </c>
      <c r="M14" s="145" t="s">
        <v>74</v>
      </c>
      <c r="N14" s="145" t="s">
        <v>74</v>
      </c>
      <c r="O14" s="145" t="s">
        <v>74</v>
      </c>
      <c r="P14" s="145" t="s">
        <v>74</v>
      </c>
      <c r="Q14" s="145" t="s">
        <v>74</v>
      </c>
      <c r="R14" s="280" t="s">
        <v>74</v>
      </c>
    </row>
    <row r="15" spans="1:22" s="139" customFormat="1" ht="15.6" x14ac:dyDescent="0.3">
      <c r="A15" s="129" t="s">
        <v>29</v>
      </c>
      <c r="B15" s="145" t="s">
        <v>74</v>
      </c>
      <c r="C15" s="145" t="s">
        <v>74</v>
      </c>
      <c r="D15" s="145" t="s">
        <v>74</v>
      </c>
      <c r="E15" s="145" t="s">
        <v>74</v>
      </c>
      <c r="F15" s="145" t="s">
        <v>74</v>
      </c>
      <c r="G15" s="145" t="s">
        <v>74</v>
      </c>
      <c r="H15" s="145" t="s">
        <v>74</v>
      </c>
      <c r="I15" s="145" t="s">
        <v>74</v>
      </c>
      <c r="J15" s="145" t="s">
        <v>74</v>
      </c>
      <c r="K15" s="145" t="s">
        <v>74</v>
      </c>
      <c r="L15" s="145" t="s">
        <v>74</v>
      </c>
      <c r="M15" s="145" t="s">
        <v>74</v>
      </c>
      <c r="N15" s="145" t="s">
        <v>74</v>
      </c>
      <c r="O15" s="145" t="s">
        <v>74</v>
      </c>
      <c r="P15" s="145" t="s">
        <v>74</v>
      </c>
      <c r="Q15" s="114">
        <v>4260</v>
      </c>
      <c r="R15" s="280" t="s">
        <v>74</v>
      </c>
    </row>
    <row r="16" spans="1:22" s="139" customFormat="1" ht="16.2" thickBot="1" x14ac:dyDescent="0.35">
      <c r="A16" s="130" t="s">
        <v>30</v>
      </c>
      <c r="B16" s="297" t="s">
        <v>74</v>
      </c>
      <c r="C16" s="124" t="s">
        <v>74</v>
      </c>
      <c r="D16" s="124" t="s">
        <v>74</v>
      </c>
      <c r="E16" s="124" t="s">
        <v>74</v>
      </c>
      <c r="F16" s="124" t="s">
        <v>74</v>
      </c>
      <c r="G16" s="124" t="s">
        <v>74</v>
      </c>
      <c r="H16" s="124" t="s">
        <v>74</v>
      </c>
      <c r="I16" s="124" t="s">
        <v>74</v>
      </c>
      <c r="J16" s="124" t="s">
        <v>74</v>
      </c>
      <c r="K16" s="124" t="s">
        <v>74</v>
      </c>
      <c r="L16" s="124" t="s">
        <v>74</v>
      </c>
      <c r="M16" s="124" t="s">
        <v>74</v>
      </c>
      <c r="N16" s="124" t="s">
        <v>74</v>
      </c>
      <c r="O16" s="124" t="s">
        <v>74</v>
      </c>
      <c r="P16" s="124" t="s">
        <v>74</v>
      </c>
      <c r="Q16" s="120">
        <v>2660</v>
      </c>
      <c r="R16" s="281" t="s">
        <v>74</v>
      </c>
    </row>
    <row r="17" spans="1:21" s="139" customFormat="1" ht="16.2" thickTop="1" x14ac:dyDescent="0.25">
      <c r="A17" s="127" t="s">
        <v>8</v>
      </c>
      <c r="B17" s="296">
        <f>SUM(B5:B16)</f>
        <v>0</v>
      </c>
      <c r="C17" s="151">
        <f t="shared" ref="C17:R17" si="0">SUM(C5:C16)</f>
        <v>0</v>
      </c>
      <c r="D17" s="151">
        <f t="shared" si="0"/>
        <v>0</v>
      </c>
      <c r="E17" s="151">
        <f t="shared" si="0"/>
        <v>0</v>
      </c>
      <c r="F17" s="151">
        <f t="shared" si="0"/>
        <v>0</v>
      </c>
      <c r="G17" s="151">
        <f t="shared" si="0"/>
        <v>0</v>
      </c>
      <c r="H17" s="151">
        <f t="shared" si="0"/>
        <v>0</v>
      </c>
      <c r="I17" s="151">
        <f t="shared" si="0"/>
        <v>0</v>
      </c>
      <c r="J17" s="151">
        <f t="shared" si="0"/>
        <v>0</v>
      </c>
      <c r="K17" s="151">
        <f t="shared" si="0"/>
        <v>0</v>
      </c>
      <c r="L17" s="151">
        <f t="shared" si="0"/>
        <v>0</v>
      </c>
      <c r="M17" s="151">
        <f t="shared" si="0"/>
        <v>0</v>
      </c>
      <c r="N17" s="151">
        <f t="shared" si="0"/>
        <v>0</v>
      </c>
      <c r="O17" s="151">
        <f t="shared" si="0"/>
        <v>0</v>
      </c>
      <c r="P17" s="151">
        <f t="shared" si="0"/>
        <v>0</v>
      </c>
      <c r="Q17" s="151">
        <f t="shared" si="0"/>
        <v>6920</v>
      </c>
      <c r="R17" s="270">
        <f t="shared" si="0"/>
        <v>27840</v>
      </c>
    </row>
    <row r="18" spans="1:21" s="140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21" s="104" customFormat="1" ht="13.8" x14ac:dyDescent="0.25">
      <c r="A19" s="329" t="s">
        <v>163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  <c r="S19" s="329"/>
      <c r="T19" s="194"/>
      <c r="U19" s="194"/>
    </row>
    <row r="20" spans="1:21" s="141" customFormat="1" ht="13.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</row>
    <row r="21" spans="1:21" s="141" customFormat="1" ht="13.8" x14ac:dyDescent="0.25">
      <c r="A21" s="330" t="s">
        <v>73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</row>
  </sheetData>
  <mergeCells count="7">
    <mergeCell ref="A21:R21"/>
    <mergeCell ref="A1:V1"/>
    <mergeCell ref="A20:U20"/>
    <mergeCell ref="A19:S19"/>
    <mergeCell ref="A2:R2"/>
    <mergeCell ref="A3:R3"/>
    <mergeCell ref="A18:R18"/>
  </mergeCells>
  <pageMargins left="0" right="0" top="0.75" bottom="0.75" header="0.3" footer="0.3"/>
  <pageSetup scale="65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2D28B-0FDF-45AA-8AA7-102482FE7BBF}">
  <sheetPr codeName="Sheet28">
    <pageSetUpPr fitToPage="1"/>
  </sheetPr>
  <dimension ref="A1:V21"/>
  <sheetViews>
    <sheetView showGridLines="0" workbookViewId="0">
      <pane ySplit="1" topLeftCell="A2" activePane="bottomLeft" state="frozen"/>
      <selection pane="bottomLeft" sqref="A1:V1"/>
    </sheetView>
  </sheetViews>
  <sheetFormatPr defaultRowHeight="13.2" x14ac:dyDescent="0.25"/>
  <cols>
    <col min="1" max="1" width="12.5546875" style="132" customWidth="1"/>
    <col min="2" max="16" width="13.5546875" style="131" hidden="1" customWidth="1"/>
    <col min="17" max="18" width="13.5546875" style="131" customWidth="1"/>
    <col min="19" max="16384" width="8.88671875" style="131"/>
  </cols>
  <sheetData>
    <row r="1" spans="1:22" s="137" customFormat="1" ht="21" x14ac:dyDescent="0.25">
      <c r="A1" s="325" t="s">
        <v>166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  <c r="U1" s="325"/>
      <c r="V1" s="325"/>
    </row>
    <row r="2" spans="1:22" s="138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22" s="138" customFormat="1" ht="18" x14ac:dyDescent="0.25">
      <c r="A3" s="333" t="s">
        <v>167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22" s="139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22" s="139" customFormat="1" ht="15.6" x14ac:dyDescent="0.25">
      <c r="A5" s="128" t="s">
        <v>19</v>
      </c>
      <c r="B5" s="145" t="s">
        <v>74</v>
      </c>
      <c r="C5" s="145" t="s">
        <v>74</v>
      </c>
      <c r="D5" s="145" t="s">
        <v>74</v>
      </c>
      <c r="E5" s="145" t="s">
        <v>74</v>
      </c>
      <c r="F5" s="145" t="s">
        <v>74</v>
      </c>
      <c r="G5" s="145" t="s">
        <v>74</v>
      </c>
      <c r="H5" s="145" t="s">
        <v>74</v>
      </c>
      <c r="I5" s="145" t="s">
        <v>74</v>
      </c>
      <c r="J5" s="145" t="s">
        <v>74</v>
      </c>
      <c r="K5" s="145" t="s">
        <v>74</v>
      </c>
      <c r="L5" s="145" t="s">
        <v>74</v>
      </c>
      <c r="M5" s="145" t="s">
        <v>74</v>
      </c>
      <c r="N5" s="145" t="s">
        <v>74</v>
      </c>
      <c r="O5" s="145" t="s">
        <v>74</v>
      </c>
      <c r="P5" s="145" t="s">
        <v>74</v>
      </c>
      <c r="Q5" s="145" t="s">
        <v>74</v>
      </c>
      <c r="R5" s="266">
        <v>4980</v>
      </c>
    </row>
    <row r="6" spans="1:22" s="139" customFormat="1" ht="15.6" x14ac:dyDescent="0.25">
      <c r="A6" s="129" t="s">
        <v>20</v>
      </c>
      <c r="B6" s="145" t="s">
        <v>74</v>
      </c>
      <c r="C6" s="145" t="s">
        <v>74</v>
      </c>
      <c r="D6" s="145" t="s">
        <v>74</v>
      </c>
      <c r="E6" s="145" t="s">
        <v>74</v>
      </c>
      <c r="F6" s="145" t="s">
        <v>74</v>
      </c>
      <c r="G6" s="145" t="s">
        <v>74</v>
      </c>
      <c r="H6" s="145" t="s">
        <v>74</v>
      </c>
      <c r="I6" s="145" t="s">
        <v>74</v>
      </c>
      <c r="J6" s="145" t="s">
        <v>74</v>
      </c>
      <c r="K6" s="145" t="s">
        <v>74</v>
      </c>
      <c r="L6" s="145" t="s">
        <v>74</v>
      </c>
      <c r="M6" s="145" t="s">
        <v>74</v>
      </c>
      <c r="N6" s="145" t="s">
        <v>74</v>
      </c>
      <c r="O6" s="145" t="s">
        <v>74</v>
      </c>
      <c r="P6" s="145" t="s">
        <v>74</v>
      </c>
      <c r="Q6" s="145" t="s">
        <v>74</v>
      </c>
      <c r="R6" s="267">
        <v>5820</v>
      </c>
    </row>
    <row r="7" spans="1:22" s="139" customFormat="1" ht="15.6" x14ac:dyDescent="0.25">
      <c r="A7" s="129" t="s">
        <v>21</v>
      </c>
      <c r="B7" s="145" t="s">
        <v>74</v>
      </c>
      <c r="C7" s="145" t="s">
        <v>74</v>
      </c>
      <c r="D7" s="145" t="s">
        <v>74</v>
      </c>
      <c r="E7" s="145" t="s">
        <v>74</v>
      </c>
      <c r="F7" s="145" t="s">
        <v>74</v>
      </c>
      <c r="G7" s="145" t="s">
        <v>74</v>
      </c>
      <c r="H7" s="145" t="s">
        <v>74</v>
      </c>
      <c r="I7" s="145" t="s">
        <v>74</v>
      </c>
      <c r="J7" s="145" t="s">
        <v>74</v>
      </c>
      <c r="K7" s="145" t="s">
        <v>74</v>
      </c>
      <c r="L7" s="145" t="s">
        <v>74</v>
      </c>
      <c r="M7" s="145" t="s">
        <v>74</v>
      </c>
      <c r="N7" s="145" t="s">
        <v>74</v>
      </c>
      <c r="O7" s="145" t="s">
        <v>74</v>
      </c>
      <c r="P7" s="145" t="s">
        <v>74</v>
      </c>
      <c r="Q7" s="145" t="s">
        <v>74</v>
      </c>
      <c r="R7" s="267">
        <v>5860</v>
      </c>
    </row>
    <row r="8" spans="1:22" s="139" customFormat="1" ht="15.6" x14ac:dyDescent="0.25">
      <c r="A8" s="129" t="s">
        <v>22</v>
      </c>
      <c r="B8" s="145" t="s">
        <v>74</v>
      </c>
      <c r="C8" s="145" t="s">
        <v>74</v>
      </c>
      <c r="D8" s="145" t="s">
        <v>74</v>
      </c>
      <c r="E8" s="145" t="s">
        <v>74</v>
      </c>
      <c r="F8" s="145" t="s">
        <v>74</v>
      </c>
      <c r="G8" s="145" t="s">
        <v>74</v>
      </c>
      <c r="H8" s="145" t="s">
        <v>74</v>
      </c>
      <c r="I8" s="145" t="s">
        <v>74</v>
      </c>
      <c r="J8" s="145" t="s">
        <v>74</v>
      </c>
      <c r="K8" s="145" t="s">
        <v>74</v>
      </c>
      <c r="L8" s="145" t="s">
        <v>74</v>
      </c>
      <c r="M8" s="145" t="s">
        <v>74</v>
      </c>
      <c r="N8" s="145" t="s">
        <v>74</v>
      </c>
      <c r="O8" s="145" t="s">
        <v>74</v>
      </c>
      <c r="P8" s="145" t="s">
        <v>74</v>
      </c>
      <c r="Q8" s="145" t="s">
        <v>74</v>
      </c>
      <c r="R8" s="267">
        <v>6160</v>
      </c>
    </row>
    <row r="9" spans="1:22" s="139" customFormat="1" ht="15.6" x14ac:dyDescent="0.25">
      <c r="A9" s="129" t="s">
        <v>23</v>
      </c>
      <c r="B9" s="145" t="s">
        <v>74</v>
      </c>
      <c r="C9" s="145" t="s">
        <v>74</v>
      </c>
      <c r="D9" s="145" t="s">
        <v>74</v>
      </c>
      <c r="E9" s="145" t="s">
        <v>74</v>
      </c>
      <c r="F9" s="145" t="s">
        <v>74</v>
      </c>
      <c r="G9" s="145" t="s">
        <v>74</v>
      </c>
      <c r="H9" s="145" t="s">
        <v>74</v>
      </c>
      <c r="I9" s="145" t="s">
        <v>74</v>
      </c>
      <c r="J9" s="145" t="s">
        <v>74</v>
      </c>
      <c r="K9" s="145" t="s">
        <v>74</v>
      </c>
      <c r="L9" s="145" t="s">
        <v>74</v>
      </c>
      <c r="M9" s="145" t="s">
        <v>74</v>
      </c>
      <c r="N9" s="145" t="s">
        <v>74</v>
      </c>
      <c r="O9" s="145" t="s">
        <v>74</v>
      </c>
      <c r="P9" s="145" t="s">
        <v>74</v>
      </c>
      <c r="Q9" s="145" t="s">
        <v>74</v>
      </c>
      <c r="R9" s="267">
        <v>5060</v>
      </c>
    </row>
    <row r="10" spans="1:22" s="139" customFormat="1" ht="15.6" x14ac:dyDescent="0.25">
      <c r="A10" s="129" t="s">
        <v>24</v>
      </c>
      <c r="B10" s="145" t="s">
        <v>74</v>
      </c>
      <c r="C10" s="145" t="s">
        <v>74</v>
      </c>
      <c r="D10" s="145" t="s">
        <v>74</v>
      </c>
      <c r="E10" s="145" t="s">
        <v>74</v>
      </c>
      <c r="F10" s="145" t="s">
        <v>74</v>
      </c>
      <c r="G10" s="145" t="s">
        <v>74</v>
      </c>
      <c r="H10" s="145" t="s">
        <v>74</v>
      </c>
      <c r="I10" s="145" t="s">
        <v>74</v>
      </c>
      <c r="J10" s="145" t="s">
        <v>74</v>
      </c>
      <c r="K10" s="145" t="s">
        <v>74</v>
      </c>
      <c r="L10" s="145" t="s">
        <v>74</v>
      </c>
      <c r="M10" s="145" t="s">
        <v>74</v>
      </c>
      <c r="N10" s="145" t="s">
        <v>74</v>
      </c>
      <c r="O10" s="145" t="s">
        <v>74</v>
      </c>
      <c r="P10" s="145" t="s">
        <v>74</v>
      </c>
      <c r="Q10" s="145" t="s">
        <v>74</v>
      </c>
      <c r="R10" s="267">
        <v>6940</v>
      </c>
    </row>
    <row r="11" spans="1:22" s="139" customFormat="1" ht="15.6" x14ac:dyDescent="0.3">
      <c r="A11" s="129" t="s">
        <v>25</v>
      </c>
      <c r="B11" s="145" t="s">
        <v>74</v>
      </c>
      <c r="C11" s="145" t="s">
        <v>74</v>
      </c>
      <c r="D11" s="145" t="s">
        <v>74</v>
      </c>
      <c r="E11" s="145" t="s">
        <v>74</v>
      </c>
      <c r="F11" s="145" t="s">
        <v>74</v>
      </c>
      <c r="G11" s="145" t="s">
        <v>74</v>
      </c>
      <c r="H11" s="145" t="s">
        <v>74</v>
      </c>
      <c r="I11" s="145" t="s">
        <v>74</v>
      </c>
      <c r="J11" s="145" t="s">
        <v>74</v>
      </c>
      <c r="K11" s="145" t="s">
        <v>74</v>
      </c>
      <c r="L11" s="145" t="s">
        <v>74</v>
      </c>
      <c r="M11" s="145" t="s">
        <v>74</v>
      </c>
      <c r="N11" s="145" t="s">
        <v>74</v>
      </c>
      <c r="O11" s="145" t="s">
        <v>74</v>
      </c>
      <c r="P11" s="145" t="s">
        <v>74</v>
      </c>
      <c r="Q11" s="145" t="s">
        <v>74</v>
      </c>
      <c r="R11" s="279" t="s">
        <v>74</v>
      </c>
    </row>
    <row r="12" spans="1:22" s="139" customFormat="1" ht="15.6" x14ac:dyDescent="0.3">
      <c r="A12" s="129" t="s">
        <v>26</v>
      </c>
      <c r="B12" s="145" t="s">
        <v>74</v>
      </c>
      <c r="C12" s="145" t="s">
        <v>74</v>
      </c>
      <c r="D12" s="145" t="s">
        <v>74</v>
      </c>
      <c r="E12" s="145" t="s">
        <v>74</v>
      </c>
      <c r="F12" s="145" t="s">
        <v>74</v>
      </c>
      <c r="G12" s="145" t="s">
        <v>74</v>
      </c>
      <c r="H12" s="145" t="s">
        <v>74</v>
      </c>
      <c r="I12" s="145" t="s">
        <v>74</v>
      </c>
      <c r="J12" s="145" t="s">
        <v>74</v>
      </c>
      <c r="K12" s="145" t="s">
        <v>74</v>
      </c>
      <c r="L12" s="145" t="s">
        <v>74</v>
      </c>
      <c r="M12" s="145" t="s">
        <v>74</v>
      </c>
      <c r="N12" s="145" t="s">
        <v>74</v>
      </c>
      <c r="O12" s="145" t="s">
        <v>74</v>
      </c>
      <c r="P12" s="145" t="s">
        <v>74</v>
      </c>
      <c r="Q12" s="145" t="s">
        <v>74</v>
      </c>
      <c r="R12" s="280" t="s">
        <v>74</v>
      </c>
    </row>
    <row r="13" spans="1:22" s="139" customFormat="1" ht="15.6" x14ac:dyDescent="0.3">
      <c r="A13" s="129" t="s">
        <v>27</v>
      </c>
      <c r="B13" s="145" t="s">
        <v>74</v>
      </c>
      <c r="C13" s="145" t="s">
        <v>74</v>
      </c>
      <c r="D13" s="145" t="s">
        <v>74</v>
      </c>
      <c r="E13" s="145" t="s">
        <v>74</v>
      </c>
      <c r="F13" s="145" t="s">
        <v>74</v>
      </c>
      <c r="G13" s="145" t="s">
        <v>74</v>
      </c>
      <c r="H13" s="145" t="s">
        <v>74</v>
      </c>
      <c r="I13" s="145" t="s">
        <v>74</v>
      </c>
      <c r="J13" s="145" t="s">
        <v>74</v>
      </c>
      <c r="K13" s="145" t="s">
        <v>74</v>
      </c>
      <c r="L13" s="145" t="s">
        <v>74</v>
      </c>
      <c r="M13" s="145" t="s">
        <v>74</v>
      </c>
      <c r="N13" s="145" t="s">
        <v>74</v>
      </c>
      <c r="O13" s="145" t="s">
        <v>74</v>
      </c>
      <c r="P13" s="145" t="s">
        <v>74</v>
      </c>
      <c r="Q13" s="145" t="s">
        <v>74</v>
      </c>
      <c r="R13" s="280" t="s">
        <v>74</v>
      </c>
    </row>
    <row r="14" spans="1:22" s="139" customFormat="1" ht="15.6" x14ac:dyDescent="0.3">
      <c r="A14" s="129" t="s">
        <v>28</v>
      </c>
      <c r="B14" s="145" t="s">
        <v>74</v>
      </c>
      <c r="C14" s="145" t="s">
        <v>74</v>
      </c>
      <c r="D14" s="145" t="s">
        <v>74</v>
      </c>
      <c r="E14" s="145" t="s">
        <v>74</v>
      </c>
      <c r="F14" s="145" t="s">
        <v>74</v>
      </c>
      <c r="G14" s="145" t="s">
        <v>74</v>
      </c>
      <c r="H14" s="145" t="s">
        <v>74</v>
      </c>
      <c r="I14" s="145" t="s">
        <v>74</v>
      </c>
      <c r="J14" s="145" t="s">
        <v>74</v>
      </c>
      <c r="K14" s="145" t="s">
        <v>74</v>
      </c>
      <c r="L14" s="145" t="s">
        <v>74</v>
      </c>
      <c r="M14" s="145" t="s">
        <v>74</v>
      </c>
      <c r="N14" s="145" t="s">
        <v>74</v>
      </c>
      <c r="O14" s="145" t="s">
        <v>74</v>
      </c>
      <c r="P14" s="145" t="s">
        <v>74</v>
      </c>
      <c r="Q14" s="114">
        <v>0</v>
      </c>
      <c r="R14" s="280" t="s">
        <v>74</v>
      </c>
    </row>
    <row r="15" spans="1:22" s="139" customFormat="1" ht="15.6" x14ac:dyDescent="0.3">
      <c r="A15" s="129" t="s">
        <v>29</v>
      </c>
      <c r="B15" s="145" t="s">
        <v>74</v>
      </c>
      <c r="C15" s="145" t="s">
        <v>74</v>
      </c>
      <c r="D15" s="145" t="s">
        <v>74</v>
      </c>
      <c r="E15" s="145" t="s">
        <v>74</v>
      </c>
      <c r="F15" s="145" t="s">
        <v>74</v>
      </c>
      <c r="G15" s="145" t="s">
        <v>74</v>
      </c>
      <c r="H15" s="145" t="s">
        <v>74</v>
      </c>
      <c r="I15" s="145" t="s">
        <v>74</v>
      </c>
      <c r="J15" s="145" t="s">
        <v>74</v>
      </c>
      <c r="K15" s="145" t="s">
        <v>74</v>
      </c>
      <c r="L15" s="145" t="s">
        <v>74</v>
      </c>
      <c r="M15" s="145" t="s">
        <v>74</v>
      </c>
      <c r="N15" s="145" t="s">
        <v>74</v>
      </c>
      <c r="O15" s="145" t="s">
        <v>74</v>
      </c>
      <c r="P15" s="145" t="s">
        <v>74</v>
      </c>
      <c r="Q15" s="308">
        <v>6420</v>
      </c>
      <c r="R15" s="280" t="s">
        <v>74</v>
      </c>
    </row>
    <row r="16" spans="1:22" s="139" customFormat="1" ht="16.2" thickBot="1" x14ac:dyDescent="0.35">
      <c r="A16" s="130" t="s">
        <v>30</v>
      </c>
      <c r="B16" s="297" t="s">
        <v>74</v>
      </c>
      <c r="C16" s="124" t="s">
        <v>74</v>
      </c>
      <c r="D16" s="124" t="s">
        <v>74</v>
      </c>
      <c r="E16" s="124" t="s">
        <v>74</v>
      </c>
      <c r="F16" s="124" t="s">
        <v>74</v>
      </c>
      <c r="G16" s="124" t="s">
        <v>74</v>
      </c>
      <c r="H16" s="124" t="s">
        <v>74</v>
      </c>
      <c r="I16" s="124" t="s">
        <v>74</v>
      </c>
      <c r="J16" s="124" t="s">
        <v>74</v>
      </c>
      <c r="K16" s="124" t="s">
        <v>74</v>
      </c>
      <c r="L16" s="124" t="s">
        <v>74</v>
      </c>
      <c r="M16" s="124" t="s">
        <v>74</v>
      </c>
      <c r="N16" s="124" t="s">
        <v>74</v>
      </c>
      <c r="O16" s="124" t="s">
        <v>74</v>
      </c>
      <c r="P16" s="124" t="s">
        <v>74</v>
      </c>
      <c r="Q16" s="227">
        <v>6860</v>
      </c>
      <c r="R16" s="281" t="s">
        <v>74</v>
      </c>
    </row>
    <row r="17" spans="1:21" s="139" customFormat="1" ht="16.2" thickTop="1" x14ac:dyDescent="0.25">
      <c r="A17" s="127" t="s">
        <v>8</v>
      </c>
      <c r="B17" s="296">
        <f>SUM(B5:B16)</f>
        <v>0</v>
      </c>
      <c r="C17" s="151">
        <f t="shared" ref="C17:R17" si="0">SUM(C5:C16)</f>
        <v>0</v>
      </c>
      <c r="D17" s="151">
        <f t="shared" si="0"/>
        <v>0</v>
      </c>
      <c r="E17" s="151">
        <f t="shared" si="0"/>
        <v>0</v>
      </c>
      <c r="F17" s="151">
        <f t="shared" si="0"/>
        <v>0</v>
      </c>
      <c r="G17" s="151">
        <f t="shared" si="0"/>
        <v>0</v>
      </c>
      <c r="H17" s="151">
        <f t="shared" si="0"/>
        <v>0</v>
      </c>
      <c r="I17" s="151">
        <f t="shared" si="0"/>
        <v>0</v>
      </c>
      <c r="J17" s="151">
        <f t="shared" si="0"/>
        <v>0</v>
      </c>
      <c r="K17" s="151">
        <f t="shared" si="0"/>
        <v>0</v>
      </c>
      <c r="L17" s="151">
        <f t="shared" si="0"/>
        <v>0</v>
      </c>
      <c r="M17" s="151">
        <f t="shared" si="0"/>
        <v>0</v>
      </c>
      <c r="N17" s="151">
        <f t="shared" si="0"/>
        <v>0</v>
      </c>
      <c r="O17" s="151">
        <f t="shared" si="0"/>
        <v>0</v>
      </c>
      <c r="P17" s="151">
        <f t="shared" si="0"/>
        <v>0</v>
      </c>
      <c r="Q17" s="151">
        <f t="shared" si="0"/>
        <v>13280</v>
      </c>
      <c r="R17" s="270">
        <f t="shared" si="0"/>
        <v>34820</v>
      </c>
    </row>
    <row r="18" spans="1:21" s="140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21" s="104" customFormat="1" ht="13.8" x14ac:dyDescent="0.25">
      <c r="A19" s="329" t="s">
        <v>163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  <c r="S19" s="329"/>
      <c r="T19" s="194"/>
      <c r="U19" s="194"/>
    </row>
    <row r="20" spans="1:21" s="141" customFormat="1" ht="13.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</row>
    <row r="21" spans="1:21" s="141" customFormat="1" ht="13.8" x14ac:dyDescent="0.25">
      <c r="A21" s="330" t="s">
        <v>73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</row>
  </sheetData>
  <mergeCells count="7">
    <mergeCell ref="A21:R21"/>
    <mergeCell ref="A1:V1"/>
    <mergeCell ref="A2:R2"/>
    <mergeCell ref="A3:R3"/>
    <mergeCell ref="A18:R18"/>
    <mergeCell ref="A19:S19"/>
    <mergeCell ref="A20:U20"/>
  </mergeCells>
  <pageMargins left="0" right="0" top="0.75" bottom="0.75" header="0.3" footer="0.3"/>
  <pageSetup scale="65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1625F-66A3-42FC-AC0A-46A0CB9E9973}">
  <sheetPr codeName="Sheet29">
    <pageSetUpPr fitToPage="1"/>
  </sheetPr>
  <dimension ref="A1:Y21"/>
  <sheetViews>
    <sheetView showGridLines="0" workbookViewId="0">
      <pane ySplit="1" topLeftCell="A2" activePane="bottomLeft" state="frozen"/>
      <selection pane="bottomLeft" sqref="A1:Y1"/>
    </sheetView>
  </sheetViews>
  <sheetFormatPr defaultRowHeight="13.2" x14ac:dyDescent="0.25"/>
  <cols>
    <col min="1" max="1" width="12.5546875" style="132" customWidth="1"/>
    <col min="2" max="17" width="13.5546875" style="131" hidden="1" customWidth="1"/>
    <col min="18" max="18" width="13.5546875" style="131" customWidth="1"/>
    <col min="19" max="16384" width="8.88671875" style="131"/>
  </cols>
  <sheetData>
    <row r="1" spans="1:25" s="137" customFormat="1" ht="21" x14ac:dyDescent="0.25">
      <c r="A1" s="325" t="s">
        <v>168</v>
      </c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  <c r="U1" s="325"/>
      <c r="V1" s="325"/>
      <c r="W1" s="325"/>
      <c r="X1" s="325"/>
      <c r="Y1" s="325"/>
    </row>
    <row r="2" spans="1:25" s="138" customFormat="1" ht="18" x14ac:dyDescent="0.25">
      <c r="A2" s="327" t="str">
        <f>'Lod&amp;Liq'!A2</f>
        <v>CY 2004-2020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  <c r="R2" s="327"/>
    </row>
    <row r="3" spans="1:25" s="138" customFormat="1" ht="18" x14ac:dyDescent="0.25">
      <c r="A3" s="326" t="s">
        <v>169</v>
      </c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</row>
    <row r="4" spans="1:25" s="139" customFormat="1" ht="15.6" x14ac:dyDescent="0.25">
      <c r="A4" s="126" t="s">
        <v>18</v>
      </c>
      <c r="B4" s="121">
        <v>2004</v>
      </c>
      <c r="C4" s="115">
        <v>2005</v>
      </c>
      <c r="D4" s="115">
        <v>2006</v>
      </c>
      <c r="E4" s="115">
        <v>2007</v>
      </c>
      <c r="F4" s="115">
        <v>2008</v>
      </c>
      <c r="G4" s="115">
        <v>2009</v>
      </c>
      <c r="H4" s="115">
        <v>2010</v>
      </c>
      <c r="I4" s="115">
        <v>2011</v>
      </c>
      <c r="J4" s="116">
        <v>2012</v>
      </c>
      <c r="K4" s="116">
        <v>2013</v>
      </c>
      <c r="L4" s="116">
        <v>2014</v>
      </c>
      <c r="M4" s="116">
        <v>2015</v>
      </c>
      <c r="N4" s="116">
        <v>2016</v>
      </c>
      <c r="O4" s="116">
        <v>2017</v>
      </c>
      <c r="P4" s="116">
        <v>2018</v>
      </c>
      <c r="Q4" s="116">
        <v>2019</v>
      </c>
      <c r="R4" s="265">
        <v>2020</v>
      </c>
    </row>
    <row r="5" spans="1:25" s="139" customFormat="1" ht="15.6" x14ac:dyDescent="0.25">
      <c r="A5" s="128" t="s">
        <v>19</v>
      </c>
      <c r="B5" s="145" t="s">
        <v>74</v>
      </c>
      <c r="C5" s="145" t="s">
        <v>74</v>
      </c>
      <c r="D5" s="145" t="s">
        <v>74</v>
      </c>
      <c r="E5" s="145" t="s">
        <v>74</v>
      </c>
      <c r="F5" s="145" t="s">
        <v>74</v>
      </c>
      <c r="G5" s="145" t="s">
        <v>74</v>
      </c>
      <c r="H5" s="145" t="s">
        <v>74</v>
      </c>
      <c r="I5" s="145" t="s">
        <v>74</v>
      </c>
      <c r="J5" s="145" t="s">
        <v>74</v>
      </c>
      <c r="K5" s="145" t="s">
        <v>74</v>
      </c>
      <c r="L5" s="145" t="s">
        <v>74</v>
      </c>
      <c r="M5" s="145" t="s">
        <v>74</v>
      </c>
      <c r="N5" s="145" t="s">
        <v>74</v>
      </c>
      <c r="O5" s="145" t="s">
        <v>74</v>
      </c>
      <c r="P5" s="145" t="s">
        <v>74</v>
      </c>
      <c r="Q5" s="145" t="s">
        <v>74</v>
      </c>
      <c r="R5" s="266">
        <v>0</v>
      </c>
    </row>
    <row r="6" spans="1:25" s="139" customFormat="1" ht="15.6" x14ac:dyDescent="0.25">
      <c r="A6" s="129" t="s">
        <v>20</v>
      </c>
      <c r="B6" s="145" t="s">
        <v>74</v>
      </c>
      <c r="C6" s="145" t="s">
        <v>74</v>
      </c>
      <c r="D6" s="145" t="s">
        <v>74</v>
      </c>
      <c r="E6" s="145" t="s">
        <v>74</v>
      </c>
      <c r="F6" s="145" t="s">
        <v>74</v>
      </c>
      <c r="G6" s="145" t="s">
        <v>74</v>
      </c>
      <c r="H6" s="145" t="s">
        <v>74</v>
      </c>
      <c r="I6" s="145" t="s">
        <v>74</v>
      </c>
      <c r="J6" s="145" t="s">
        <v>74</v>
      </c>
      <c r="K6" s="145" t="s">
        <v>74</v>
      </c>
      <c r="L6" s="145" t="s">
        <v>74</v>
      </c>
      <c r="M6" s="145" t="s">
        <v>74</v>
      </c>
      <c r="N6" s="145" t="s">
        <v>74</v>
      </c>
      <c r="O6" s="145" t="s">
        <v>74</v>
      </c>
      <c r="P6" s="145" t="s">
        <v>74</v>
      </c>
      <c r="Q6" s="145" t="s">
        <v>74</v>
      </c>
      <c r="R6" s="267">
        <v>2080</v>
      </c>
    </row>
    <row r="7" spans="1:25" s="139" customFormat="1" ht="15.6" x14ac:dyDescent="0.25">
      <c r="A7" s="129" t="s">
        <v>21</v>
      </c>
      <c r="B7" s="145" t="s">
        <v>74</v>
      </c>
      <c r="C7" s="145" t="s">
        <v>74</v>
      </c>
      <c r="D7" s="145" t="s">
        <v>74</v>
      </c>
      <c r="E7" s="145" t="s">
        <v>74</v>
      </c>
      <c r="F7" s="145" t="s">
        <v>74</v>
      </c>
      <c r="G7" s="145" t="s">
        <v>74</v>
      </c>
      <c r="H7" s="145" t="s">
        <v>74</v>
      </c>
      <c r="I7" s="145" t="s">
        <v>74</v>
      </c>
      <c r="J7" s="145" t="s">
        <v>74</v>
      </c>
      <c r="K7" s="145" t="s">
        <v>74</v>
      </c>
      <c r="L7" s="145" t="s">
        <v>74</v>
      </c>
      <c r="M7" s="145" t="s">
        <v>74</v>
      </c>
      <c r="N7" s="145" t="s">
        <v>74</v>
      </c>
      <c r="O7" s="145" t="s">
        <v>74</v>
      </c>
      <c r="P7" s="145" t="s">
        <v>74</v>
      </c>
      <c r="Q7" s="145" t="s">
        <v>74</v>
      </c>
      <c r="R7" s="267">
        <v>2660</v>
      </c>
    </row>
    <row r="8" spans="1:25" s="139" customFormat="1" ht="15.6" x14ac:dyDescent="0.25">
      <c r="A8" s="129" t="s">
        <v>22</v>
      </c>
      <c r="B8" s="145" t="s">
        <v>74</v>
      </c>
      <c r="C8" s="145" t="s">
        <v>74</v>
      </c>
      <c r="D8" s="145" t="s">
        <v>74</v>
      </c>
      <c r="E8" s="145" t="s">
        <v>74</v>
      </c>
      <c r="F8" s="145" t="s">
        <v>74</v>
      </c>
      <c r="G8" s="145" t="s">
        <v>74</v>
      </c>
      <c r="H8" s="145" t="s">
        <v>74</v>
      </c>
      <c r="I8" s="145" t="s">
        <v>74</v>
      </c>
      <c r="J8" s="145" t="s">
        <v>74</v>
      </c>
      <c r="K8" s="145" t="s">
        <v>74</v>
      </c>
      <c r="L8" s="145" t="s">
        <v>74</v>
      </c>
      <c r="M8" s="145" t="s">
        <v>74</v>
      </c>
      <c r="N8" s="145" t="s">
        <v>74</v>
      </c>
      <c r="O8" s="145" t="s">
        <v>74</v>
      </c>
      <c r="P8" s="145" t="s">
        <v>74</v>
      </c>
      <c r="Q8" s="145" t="s">
        <v>74</v>
      </c>
      <c r="R8" s="267">
        <v>2300</v>
      </c>
    </row>
    <row r="9" spans="1:25" s="139" customFormat="1" ht="15.6" x14ac:dyDescent="0.25">
      <c r="A9" s="129" t="s">
        <v>23</v>
      </c>
      <c r="B9" s="145" t="s">
        <v>74</v>
      </c>
      <c r="C9" s="145" t="s">
        <v>74</v>
      </c>
      <c r="D9" s="145" t="s">
        <v>74</v>
      </c>
      <c r="E9" s="145" t="s">
        <v>74</v>
      </c>
      <c r="F9" s="145" t="s">
        <v>74</v>
      </c>
      <c r="G9" s="145" t="s">
        <v>74</v>
      </c>
      <c r="H9" s="145" t="s">
        <v>74</v>
      </c>
      <c r="I9" s="145" t="s">
        <v>74</v>
      </c>
      <c r="J9" s="145" t="s">
        <v>74</v>
      </c>
      <c r="K9" s="145" t="s">
        <v>74</v>
      </c>
      <c r="L9" s="145" t="s">
        <v>74</v>
      </c>
      <c r="M9" s="145" t="s">
        <v>74</v>
      </c>
      <c r="N9" s="145" t="s">
        <v>74</v>
      </c>
      <c r="O9" s="145" t="s">
        <v>74</v>
      </c>
      <c r="P9" s="145" t="s">
        <v>74</v>
      </c>
      <c r="Q9" s="145" t="s">
        <v>74</v>
      </c>
      <c r="R9" s="267">
        <v>2360</v>
      </c>
    </row>
    <row r="10" spans="1:25" s="139" customFormat="1" ht="15.6" x14ac:dyDescent="0.25">
      <c r="A10" s="129" t="s">
        <v>24</v>
      </c>
      <c r="B10" s="145" t="s">
        <v>74</v>
      </c>
      <c r="C10" s="145" t="s">
        <v>74</v>
      </c>
      <c r="D10" s="145" t="s">
        <v>74</v>
      </c>
      <c r="E10" s="145" t="s">
        <v>74</v>
      </c>
      <c r="F10" s="145" t="s">
        <v>74</v>
      </c>
      <c r="G10" s="145" t="s">
        <v>74</v>
      </c>
      <c r="H10" s="145" t="s">
        <v>74</v>
      </c>
      <c r="I10" s="145" t="s">
        <v>74</v>
      </c>
      <c r="J10" s="145" t="s">
        <v>74</v>
      </c>
      <c r="K10" s="145" t="s">
        <v>74</v>
      </c>
      <c r="L10" s="145" t="s">
        <v>74</v>
      </c>
      <c r="M10" s="145" t="s">
        <v>74</v>
      </c>
      <c r="N10" s="145" t="s">
        <v>74</v>
      </c>
      <c r="O10" s="145" t="s">
        <v>74</v>
      </c>
      <c r="P10" s="145" t="s">
        <v>74</v>
      </c>
      <c r="Q10" s="145" t="s">
        <v>74</v>
      </c>
      <c r="R10" s="267">
        <v>2640</v>
      </c>
    </row>
    <row r="11" spans="1:25" s="139" customFormat="1" ht="15.6" x14ac:dyDescent="0.3">
      <c r="A11" s="129" t="s">
        <v>25</v>
      </c>
      <c r="B11" s="145" t="s">
        <v>74</v>
      </c>
      <c r="C11" s="145" t="s">
        <v>74</v>
      </c>
      <c r="D11" s="145" t="s">
        <v>74</v>
      </c>
      <c r="E11" s="145" t="s">
        <v>74</v>
      </c>
      <c r="F11" s="145" t="s">
        <v>74</v>
      </c>
      <c r="G11" s="145" t="s">
        <v>74</v>
      </c>
      <c r="H11" s="145" t="s">
        <v>74</v>
      </c>
      <c r="I11" s="145" t="s">
        <v>74</v>
      </c>
      <c r="J11" s="145" t="s">
        <v>74</v>
      </c>
      <c r="K11" s="145" t="s">
        <v>74</v>
      </c>
      <c r="L11" s="145" t="s">
        <v>74</v>
      </c>
      <c r="M11" s="145" t="s">
        <v>74</v>
      </c>
      <c r="N11" s="145" t="s">
        <v>74</v>
      </c>
      <c r="O11" s="145" t="s">
        <v>74</v>
      </c>
      <c r="P11" s="145" t="s">
        <v>74</v>
      </c>
      <c r="Q11" s="145" t="s">
        <v>74</v>
      </c>
      <c r="R11" s="279" t="s">
        <v>74</v>
      </c>
    </row>
    <row r="12" spans="1:25" s="139" customFormat="1" ht="15.6" x14ac:dyDescent="0.3">
      <c r="A12" s="129" t="s">
        <v>26</v>
      </c>
      <c r="B12" s="145" t="s">
        <v>74</v>
      </c>
      <c r="C12" s="145" t="s">
        <v>74</v>
      </c>
      <c r="D12" s="145" t="s">
        <v>74</v>
      </c>
      <c r="E12" s="145" t="s">
        <v>74</v>
      </c>
      <c r="F12" s="145" t="s">
        <v>74</v>
      </c>
      <c r="G12" s="145" t="s">
        <v>74</v>
      </c>
      <c r="H12" s="145" t="s">
        <v>74</v>
      </c>
      <c r="I12" s="145" t="s">
        <v>74</v>
      </c>
      <c r="J12" s="145" t="s">
        <v>74</v>
      </c>
      <c r="K12" s="145" t="s">
        <v>74</v>
      </c>
      <c r="L12" s="145" t="s">
        <v>74</v>
      </c>
      <c r="M12" s="145" t="s">
        <v>74</v>
      </c>
      <c r="N12" s="145" t="s">
        <v>74</v>
      </c>
      <c r="O12" s="145" t="s">
        <v>74</v>
      </c>
      <c r="P12" s="145" t="s">
        <v>74</v>
      </c>
      <c r="Q12" s="145" t="s">
        <v>74</v>
      </c>
      <c r="R12" s="280" t="s">
        <v>74</v>
      </c>
    </row>
    <row r="13" spans="1:25" s="139" customFormat="1" ht="15.6" x14ac:dyDescent="0.3">
      <c r="A13" s="129" t="s">
        <v>27</v>
      </c>
      <c r="B13" s="145" t="s">
        <v>74</v>
      </c>
      <c r="C13" s="145" t="s">
        <v>74</v>
      </c>
      <c r="D13" s="145" t="s">
        <v>74</v>
      </c>
      <c r="E13" s="145" t="s">
        <v>74</v>
      </c>
      <c r="F13" s="145" t="s">
        <v>74</v>
      </c>
      <c r="G13" s="145" t="s">
        <v>74</v>
      </c>
      <c r="H13" s="145" t="s">
        <v>74</v>
      </c>
      <c r="I13" s="145" t="s">
        <v>74</v>
      </c>
      <c r="J13" s="145" t="s">
        <v>74</v>
      </c>
      <c r="K13" s="145" t="s">
        <v>74</v>
      </c>
      <c r="L13" s="145" t="s">
        <v>74</v>
      </c>
      <c r="M13" s="145" t="s">
        <v>74</v>
      </c>
      <c r="N13" s="145" t="s">
        <v>74</v>
      </c>
      <c r="O13" s="145" t="s">
        <v>74</v>
      </c>
      <c r="P13" s="145" t="s">
        <v>74</v>
      </c>
      <c r="Q13" s="145" t="s">
        <v>74</v>
      </c>
      <c r="R13" s="280" t="s">
        <v>74</v>
      </c>
    </row>
    <row r="14" spans="1:25" s="139" customFormat="1" ht="15.6" x14ac:dyDescent="0.3">
      <c r="A14" s="129" t="s">
        <v>28</v>
      </c>
      <c r="B14" s="145" t="s">
        <v>74</v>
      </c>
      <c r="C14" s="145" t="s">
        <v>74</v>
      </c>
      <c r="D14" s="145" t="s">
        <v>74</v>
      </c>
      <c r="E14" s="145" t="s">
        <v>74</v>
      </c>
      <c r="F14" s="145" t="s">
        <v>74</v>
      </c>
      <c r="G14" s="145" t="s">
        <v>74</v>
      </c>
      <c r="H14" s="145" t="s">
        <v>74</v>
      </c>
      <c r="I14" s="145" t="s">
        <v>74</v>
      </c>
      <c r="J14" s="145" t="s">
        <v>74</v>
      </c>
      <c r="K14" s="145" t="s">
        <v>74</v>
      </c>
      <c r="L14" s="145" t="s">
        <v>74</v>
      </c>
      <c r="M14" s="145" t="s">
        <v>74</v>
      </c>
      <c r="N14" s="145" t="s">
        <v>74</v>
      </c>
      <c r="O14" s="145" t="s">
        <v>74</v>
      </c>
      <c r="P14" s="145" t="s">
        <v>74</v>
      </c>
      <c r="Q14" s="145" t="s">
        <v>74</v>
      </c>
      <c r="R14" s="280" t="s">
        <v>74</v>
      </c>
    </row>
    <row r="15" spans="1:25" s="139" customFormat="1" ht="15.6" x14ac:dyDescent="0.3">
      <c r="A15" s="129" t="s">
        <v>29</v>
      </c>
      <c r="B15" s="145" t="s">
        <v>74</v>
      </c>
      <c r="C15" s="145" t="s">
        <v>74</v>
      </c>
      <c r="D15" s="145" t="s">
        <v>74</v>
      </c>
      <c r="E15" s="145" t="s">
        <v>74</v>
      </c>
      <c r="F15" s="145" t="s">
        <v>74</v>
      </c>
      <c r="G15" s="145" t="s">
        <v>74</v>
      </c>
      <c r="H15" s="145" t="s">
        <v>74</v>
      </c>
      <c r="I15" s="145" t="s">
        <v>74</v>
      </c>
      <c r="J15" s="145" t="s">
        <v>74</v>
      </c>
      <c r="K15" s="145" t="s">
        <v>74</v>
      </c>
      <c r="L15" s="145" t="s">
        <v>74</v>
      </c>
      <c r="M15" s="145" t="s">
        <v>74</v>
      </c>
      <c r="N15" s="145" t="s">
        <v>74</v>
      </c>
      <c r="O15" s="145" t="s">
        <v>74</v>
      </c>
      <c r="P15" s="145" t="s">
        <v>74</v>
      </c>
      <c r="Q15" s="145" t="s">
        <v>74</v>
      </c>
      <c r="R15" s="280" t="s">
        <v>74</v>
      </c>
    </row>
    <row r="16" spans="1:25" s="139" customFormat="1" ht="16.2" thickBot="1" x14ac:dyDescent="0.35">
      <c r="A16" s="130" t="s">
        <v>30</v>
      </c>
      <c r="B16" s="297" t="s">
        <v>74</v>
      </c>
      <c r="C16" s="124" t="s">
        <v>74</v>
      </c>
      <c r="D16" s="124" t="s">
        <v>74</v>
      </c>
      <c r="E16" s="124" t="s">
        <v>74</v>
      </c>
      <c r="F16" s="124" t="s">
        <v>74</v>
      </c>
      <c r="G16" s="124" t="s">
        <v>74</v>
      </c>
      <c r="H16" s="124" t="s">
        <v>74</v>
      </c>
      <c r="I16" s="124" t="s">
        <v>74</v>
      </c>
      <c r="J16" s="124" t="s">
        <v>74</v>
      </c>
      <c r="K16" s="124" t="s">
        <v>74</v>
      </c>
      <c r="L16" s="124" t="s">
        <v>74</v>
      </c>
      <c r="M16" s="124" t="s">
        <v>74</v>
      </c>
      <c r="N16" s="124" t="s">
        <v>74</v>
      </c>
      <c r="O16" s="124" t="s">
        <v>74</v>
      </c>
      <c r="P16" s="124" t="s">
        <v>74</v>
      </c>
      <c r="Q16" s="309" t="s">
        <v>74</v>
      </c>
      <c r="R16" s="281" t="s">
        <v>74</v>
      </c>
    </row>
    <row r="17" spans="1:23" s="139" customFormat="1" ht="16.2" thickTop="1" x14ac:dyDescent="0.25">
      <c r="A17" s="127" t="s">
        <v>8</v>
      </c>
      <c r="B17" s="296">
        <f>SUM(B5:B16)</f>
        <v>0</v>
      </c>
      <c r="C17" s="151">
        <f t="shared" ref="C17:R17" si="0">SUM(C5:C16)</f>
        <v>0</v>
      </c>
      <c r="D17" s="151">
        <f t="shared" si="0"/>
        <v>0</v>
      </c>
      <c r="E17" s="151">
        <f t="shared" si="0"/>
        <v>0</v>
      </c>
      <c r="F17" s="151">
        <f t="shared" si="0"/>
        <v>0</v>
      </c>
      <c r="G17" s="151">
        <f t="shared" si="0"/>
        <v>0</v>
      </c>
      <c r="H17" s="151">
        <f t="shared" si="0"/>
        <v>0</v>
      </c>
      <c r="I17" s="151">
        <f t="shared" si="0"/>
        <v>0</v>
      </c>
      <c r="J17" s="151">
        <f t="shared" si="0"/>
        <v>0</v>
      </c>
      <c r="K17" s="151">
        <f t="shared" si="0"/>
        <v>0</v>
      </c>
      <c r="L17" s="151">
        <f t="shared" si="0"/>
        <v>0</v>
      </c>
      <c r="M17" s="151">
        <f t="shared" si="0"/>
        <v>0</v>
      </c>
      <c r="N17" s="151">
        <f t="shared" si="0"/>
        <v>0</v>
      </c>
      <c r="O17" s="151">
        <f t="shared" si="0"/>
        <v>0</v>
      </c>
      <c r="P17" s="151">
        <f t="shared" si="0"/>
        <v>0</v>
      </c>
      <c r="Q17" s="310">
        <f t="shared" si="0"/>
        <v>0</v>
      </c>
      <c r="R17" s="270">
        <f t="shared" si="0"/>
        <v>12040</v>
      </c>
    </row>
    <row r="18" spans="1:23" s="140" customFormat="1" ht="6.6" x14ac:dyDescent="0.25">
      <c r="A18" s="328" t="s">
        <v>84</v>
      </c>
      <c r="B18" s="328"/>
      <c r="C18" s="328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</row>
    <row r="19" spans="1:23" s="104" customFormat="1" ht="13.8" x14ac:dyDescent="0.25">
      <c r="A19" s="329" t="s">
        <v>163</v>
      </c>
      <c r="B19" s="329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  <c r="S19" s="329"/>
      <c r="T19" s="329"/>
      <c r="U19" s="329"/>
    </row>
    <row r="20" spans="1:23" s="141" customFormat="1" ht="13.8" x14ac:dyDescent="0.25">
      <c r="A20" s="323" t="str">
        <f>'Lod&amp;Liq'!A64:F64</f>
        <v>Source:  Minnesota Department of Revenue, Tax Research Division, February 2021</v>
      </c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</row>
    <row r="21" spans="1:23" s="141" customFormat="1" ht="13.8" x14ac:dyDescent="0.25">
      <c r="A21" s="330" t="s">
        <v>73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</row>
  </sheetData>
  <mergeCells count="7">
    <mergeCell ref="A21:R21"/>
    <mergeCell ref="A1:Y1"/>
    <mergeCell ref="A3:T3"/>
    <mergeCell ref="A19:U19"/>
    <mergeCell ref="A20:W20"/>
    <mergeCell ref="A2:R2"/>
    <mergeCell ref="A18:R18"/>
  </mergeCells>
  <pageMargins left="0" right="0" top="0.75" bottom="0.75" header="0.3" footer="0.3"/>
  <pageSetup scale="6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ption0 xmlns="211dd078-3235-44cf-a109-48483326b644">updated for all the entities</Description0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9984EA796BA24EA9AA4FECFFC2E6E4" ma:contentTypeVersion="1" ma:contentTypeDescription="Create a new document." ma:contentTypeScope="" ma:versionID="3ae0548c45599630c3e8153d7a41aebb">
  <xsd:schema xmlns:xsd="http://www.w3.org/2001/XMLSchema" xmlns:xs="http://www.w3.org/2001/XMLSchema" xmlns:p="http://schemas.microsoft.com/office/2006/metadata/properties" xmlns:ns2="9130277e-1076-48d8-8826-9168779647ca" xmlns:ns3="211dd078-3235-44cf-a109-48483326b644" targetNamespace="http://schemas.microsoft.com/office/2006/metadata/properties" ma:root="true" ma:fieldsID="d2869cca4aef90b173db35f1901a7eb0" ns2:_="" ns3:_="">
    <xsd:import namespace="9130277e-1076-48d8-8826-9168779647ca"/>
    <xsd:import namespace="211dd078-3235-44cf-a109-48483326b64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Description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0277e-1076-48d8-8826-9168779647ca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1dd078-3235-44cf-a109-48483326b644" elementFormDefault="qualified">
    <xsd:import namespace="http://schemas.microsoft.com/office/2006/documentManagement/types"/>
    <xsd:import namespace="http://schemas.microsoft.com/office/infopath/2007/PartnerControls"/>
    <xsd:element name="Description0" ma:index="11" nillable="true" ma:displayName="Description" ma:internalName="Description0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00ECD973-E4D5-4AE1-975C-6094669D56AD}">
  <ds:schemaRefs>
    <ds:schemaRef ds:uri="http://schemas.microsoft.com/office/infopath/2007/PartnerControls"/>
    <ds:schemaRef ds:uri="211dd078-3235-44cf-a109-48483326b644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9130277e-1076-48d8-8826-9168779647ca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4D36F19-6E2E-46B7-8636-166DA9B558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30277e-1076-48d8-8826-9168779647ca"/>
    <ds:schemaRef ds:uri="211dd078-3235-44cf-a109-48483326b6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4018422-FF57-4BBA-8FDE-1323CD058C56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93758AA4-FF4D-4125-A825-C561779279A7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F67E6080-4822-482B-83BC-25F763B6F8AD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</vt:i4>
      </vt:variant>
    </vt:vector>
  </HeadingPairs>
  <TitlesOfParts>
    <vt:vector size="35" baseType="lpstr">
      <vt:lpstr>Lod&amp;Liq</vt:lpstr>
      <vt:lpstr>Goodhue</vt:lpstr>
      <vt:lpstr>Locally Administered</vt:lpstr>
      <vt:lpstr>Anoka</vt:lpstr>
      <vt:lpstr>Carver</vt:lpstr>
      <vt:lpstr>Dakota</vt:lpstr>
      <vt:lpstr>Hennepin</vt:lpstr>
      <vt:lpstr>Proctor</vt:lpstr>
      <vt:lpstr>Kandiyohi</vt:lpstr>
      <vt:lpstr>Ramsey</vt:lpstr>
      <vt:lpstr>Scott</vt:lpstr>
      <vt:lpstr>St. Louis</vt:lpstr>
      <vt:lpstr>Washington</vt:lpstr>
      <vt:lpstr>Otter Tail</vt:lpstr>
      <vt:lpstr>Carlton</vt:lpstr>
      <vt:lpstr>Beltrami</vt:lpstr>
      <vt:lpstr>Detroit Lakes</vt:lpstr>
      <vt:lpstr>Giants Ridge</vt:lpstr>
      <vt:lpstr>Mankato</vt:lpstr>
      <vt:lpstr>Minneapolis</vt:lpstr>
      <vt:lpstr>Marshall</vt:lpstr>
      <vt:lpstr>Rochester</vt:lpstr>
      <vt:lpstr>North Mankato</vt:lpstr>
      <vt:lpstr>St. Cloud</vt:lpstr>
      <vt:lpstr>St. Paul</vt:lpstr>
      <vt:lpstr>Metro Area Transit</vt:lpstr>
      <vt:lpstr>Willmar</vt:lpstr>
      <vt:lpstr>Rogers</vt:lpstr>
      <vt:lpstr>Sauk Centre</vt:lpstr>
      <vt:lpstr>'Lod&amp;Liq'!Print_Area</vt:lpstr>
      <vt:lpstr>Marshall!Print_Area</vt:lpstr>
      <vt:lpstr>'North Mankato'!Print_Area</vt:lpstr>
      <vt:lpstr>Proctor!Print_Area</vt:lpstr>
      <vt:lpstr>'Lod&amp;Liq'!Print_Titles</vt:lpstr>
      <vt:lpstr>Minneapolis!Print_Titles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Minnesota Local Special Sales and Use Tax</dc:title>
  <dc:creator>Randy Sanford</dc:creator>
  <cp:lastModifiedBy>Mitchell Schroeder</cp:lastModifiedBy>
  <cp:lastPrinted>2019-11-04T17:07:55Z</cp:lastPrinted>
  <dcterms:created xsi:type="dcterms:W3CDTF">2006-06-12T20:45:08Z</dcterms:created>
  <dcterms:modified xsi:type="dcterms:W3CDTF">2021-02-04T22:27:12Z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">
    <vt:lpwstr>EHMXPVJQYS55-268-36</vt:lpwstr>
  </property>
  <property fmtid="{D5CDD505-2E9C-101B-9397-08002B2CF9AE}" pid="3" name="_dlc_DocIdItemGuid">
    <vt:lpwstr>3540e690-ca93-4212-a0d2-d159e8979abd</vt:lpwstr>
  </property>
  <property fmtid="{D5CDD505-2E9C-101B-9397-08002B2CF9AE}" pid="4" name="_dlc_DocIdUrl">
    <vt:lpwstr>http://extprod/research_stats/_layouts/DocIdRedir.aspx?ID=EHMXPVJQYS55-268-36, EHMXPVJQYS55-268-36</vt:lpwstr>
  </property>
</Properties>
</file>