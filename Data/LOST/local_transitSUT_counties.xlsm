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2" codeName="{D272C609-87CA-5A14-B04D-65DF03BDDA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uralmn-my.sharepoint.com/personal/kasche_ruralmn_org/Documents/Research Projects/Research 2022/Amazon effect on LST/Data/Sales Tax/"/>
    </mc:Choice>
  </mc:AlternateContent>
  <xr:revisionPtr revIDLastSave="4" documentId="13_ncr:1_{FF1EA92C-113C-4CB8-A300-78CE3A2E23DA}" xr6:coauthVersionLast="47" xr6:coauthVersionMax="47" xr10:uidLastSave="{BBCFE22A-F994-004C-9895-095DA0B3FD6C}"/>
  <bookViews>
    <workbookView xWindow="0" yWindow="500" windowWidth="38400" windowHeight="21100" xr2:uid="{00000000-000D-0000-FFFF-FFFF00000000}"/>
  </bookViews>
  <sheets>
    <sheet name="Local SUT" sheetId="1" r:id="rId1"/>
    <sheet name="Dodge Co" sheetId="54" state="hidden" r:id="rId2"/>
    <sheet name="Goodhue Co" sheetId="55" state="hidden" r:id="rId3"/>
    <sheet name="Sherburne Co" sheetId="56" state="hidden" r:id="rId4"/>
    <sheet name="Waseca Co" sheetId="57" state="hidden" r:id="rId5"/>
    <sheet name="Redwood Co" sheetId="58" state="hidden" r:id="rId6"/>
    <sheet name="Winona Co" sheetId="36" state="hidden" r:id="rId7"/>
    <sheet name="Pine Co" sheetId="35" state="hidden" r:id="rId8"/>
    <sheet name="Polk Co" sheetId="52" state="hidden" r:id="rId9"/>
    <sheet name="Mille Lacs Co" sheetId="34" state="hidden" r:id="rId10"/>
    <sheet name="Lake Co" sheetId="33" state="hidden" r:id="rId11"/>
    <sheet name="Anoka Co" sheetId="39" state="hidden" r:id="rId12"/>
    <sheet name="Becker Co" sheetId="2" state="hidden" r:id="rId13"/>
    <sheet name="Beltrami Co" sheetId="3" state="hidden" r:id="rId14"/>
    <sheet name="Carlton Co" sheetId="8" state="hidden" r:id="rId15"/>
    <sheet name="Carver Co" sheetId="40" state="hidden" r:id="rId16"/>
    <sheet name="Clay Cty" sheetId="41" state="hidden" r:id="rId17"/>
    <sheet name="Dakota Co" sheetId="42" state="hidden" r:id="rId18"/>
    <sheet name="Douglas Co" sheetId="7" state="hidden" r:id="rId19"/>
    <sheet name="Fillmore Co" sheetId="6" state="hidden" r:id="rId20"/>
    <sheet name="GKWMLL Sanitary" sheetId="47" state="veryHidden" r:id="rId21"/>
    <sheet name="Hubbard Co" sheetId="5" state="hidden" r:id="rId22"/>
    <sheet name="Cook Cty" sheetId="15" state="hidden" r:id="rId23"/>
    <sheet name="Cook Co" sheetId="37" state="hidden" r:id="rId24"/>
    <sheet name="Kandiyohi Co" sheetId="48" state="hidden" r:id="rId25"/>
    <sheet name="Lyon Co" sheetId="30" state="hidden" r:id="rId26"/>
    <sheet name="Morrison Co" sheetId="49" state="hidden" r:id="rId27"/>
    <sheet name="Mower Co" sheetId="50" state="hidden" r:id="rId28"/>
    <sheet name="Nicollet Co" sheetId="51" state="hidden" r:id="rId29"/>
    <sheet name="Olmsted Co" sheetId="13" state="hidden" r:id="rId30"/>
    <sheet name="Ramsey Co" sheetId="43" state="hidden" r:id="rId31"/>
    <sheet name="Rice Co" sheetId="12" state="hidden" r:id="rId32"/>
    <sheet name="Hennepin Co" sheetId="44" state="hidden" r:id="rId33"/>
    <sheet name="Hennepin Cty" sheetId="11" state="hidden" r:id="rId34"/>
    <sheet name="Scott Co" sheetId="10" state="hidden" r:id="rId35"/>
    <sheet name="St. Louis Co" sheetId="9" state="hidden" r:id="rId36"/>
    <sheet name="Stearns Co" sheetId="53" state="hidden" r:id="rId37"/>
    <sheet name="Steele Co" sheetId="22" state="hidden" r:id="rId38"/>
    <sheet name="Todd Co" sheetId="21" state="hidden" r:id="rId39"/>
    <sheet name="Wadena Co" sheetId="31" state="hidden" r:id="rId40"/>
    <sheet name="Washington Co" sheetId="45" state="hidden" r:id="rId41"/>
    <sheet name="Wright Co" sheetId="46" state="hidden" r:id="rId42"/>
    <sheet name="Freeborn Co" sheetId="32" state="hidden" r:id="rId43"/>
    <sheet name="Metro Area Transit" sheetId="20" state="hidden" r:id="rId44"/>
    <sheet name="Blue Earth Co" sheetId="19" state="hidden" r:id="rId45"/>
    <sheet name="Brown Co" sheetId="18" state="hidden" r:id="rId46"/>
    <sheet name="Cass Co" sheetId="17" state="hidden" r:id="rId47"/>
    <sheet name="Chisago Co" sheetId="16" state="hidden" r:id="rId48"/>
    <sheet name="Crow Wing Co" sheetId="28" state="hidden" r:id="rId49"/>
    <sheet name="Otter Tail Co" sheetId="27" state="hidden" r:id="rId50"/>
    <sheet name="Wabasha Co" sheetId="26" state="hidden" r:id="rId51"/>
    <sheet name="Isanti Co" sheetId="59" state="hidden" r:id="rId52"/>
    <sheet name="Benton Co" sheetId="60" state="hidden" r:id="rId53"/>
    <sheet name="Kanabec Co" sheetId="61" state="hidden" r:id="rId54"/>
    <sheet name="McLeod Co" sheetId="62" state="hidden" r:id="rId55"/>
  </sheets>
  <definedNames>
    <definedName name="Beltrami_County">'Beltrami Co'!$A$1</definedName>
    <definedName name="carlton_county">'Carlton Co'!$A$1</definedName>
    <definedName name="Clay_Cty">'Local SUT'!$A$7</definedName>
    <definedName name="metro_area_transit_improvement">'Metro Area Transit'!$A$1</definedName>
    <definedName name="MetroArea">'Metro Area Transit'!$A$1</definedName>
    <definedName name="_xlnm.Print_Area" localSheetId="14">'Carlton Co'!$A$1:$P$68</definedName>
    <definedName name="_xlnm.Print_Titles" localSheetId="44">'Blue Earth Co'!$1:$2</definedName>
    <definedName name="_xlnm.Print_Titles" localSheetId="42">'Freeborn Co'!$1:$2</definedName>
    <definedName name="_xlnm.Print_Titles" localSheetId="49">'Otter Tail Co'!$1:$2</definedName>
    <definedName name="_xlnm.Print_Titles" localSheetId="38">'Todd Co'!$1:$2</definedName>
    <definedName name="_xlnm.Print_Titles" localSheetId="39">'Wadena Co'!$1:$2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2" i="62" l="1"/>
  <c r="R49" i="62"/>
  <c r="Q49" i="62"/>
  <c r="P49" i="62"/>
  <c r="O49" i="62"/>
  <c r="N49" i="62"/>
  <c r="R33" i="62"/>
  <c r="Q33" i="62"/>
  <c r="P33" i="62"/>
  <c r="O33" i="62"/>
  <c r="N33" i="62"/>
  <c r="R17" i="62"/>
  <c r="Q17" i="62"/>
  <c r="P17" i="62"/>
  <c r="O17" i="62"/>
  <c r="N17" i="62"/>
  <c r="A2" i="62"/>
  <c r="A52" i="61"/>
  <c r="R49" i="61"/>
  <c r="Q49" i="61"/>
  <c r="P49" i="61"/>
  <c r="O49" i="61"/>
  <c r="N49" i="61"/>
  <c r="R33" i="61"/>
  <c r="Q33" i="61"/>
  <c r="P33" i="61"/>
  <c r="O33" i="61"/>
  <c r="N33" i="61"/>
  <c r="R17" i="61"/>
  <c r="Q17" i="61"/>
  <c r="P17" i="61"/>
  <c r="O17" i="61"/>
  <c r="N17" i="61"/>
  <c r="A2" i="61"/>
  <c r="T35" i="1" l="1"/>
  <c r="T31" i="1"/>
  <c r="S62" i="1"/>
  <c r="S11" i="1"/>
  <c r="A52" i="60"/>
  <c r="R49" i="60"/>
  <c r="Q49" i="60"/>
  <c r="P49" i="60"/>
  <c r="O49" i="60"/>
  <c r="N49" i="60"/>
  <c r="R33" i="60"/>
  <c r="Q33" i="60"/>
  <c r="P33" i="60"/>
  <c r="O33" i="60"/>
  <c r="N33" i="60"/>
  <c r="R17" i="60"/>
  <c r="Q17" i="60"/>
  <c r="P17" i="60"/>
  <c r="O17" i="60"/>
  <c r="N17" i="60"/>
  <c r="A2" i="60"/>
  <c r="S30" i="1"/>
  <c r="A52" i="59"/>
  <c r="R49" i="59"/>
  <c r="Q49" i="59"/>
  <c r="P49" i="59"/>
  <c r="O49" i="59"/>
  <c r="N49" i="59"/>
  <c r="R33" i="59"/>
  <c r="Q33" i="59"/>
  <c r="P33" i="59"/>
  <c r="O33" i="59"/>
  <c r="N33" i="59"/>
  <c r="R17" i="59"/>
  <c r="Q17" i="59"/>
  <c r="P17" i="59"/>
  <c r="O17" i="59"/>
  <c r="N17" i="59"/>
  <c r="A2" i="59"/>
  <c r="T30" i="1" l="1"/>
  <c r="T11" i="1"/>
  <c r="R49" i="20"/>
  <c r="R33" i="20"/>
  <c r="R17" i="20"/>
  <c r="R49" i="46"/>
  <c r="R33" i="46"/>
  <c r="R17" i="46"/>
  <c r="R49" i="36"/>
  <c r="R33" i="36"/>
  <c r="R17" i="36"/>
  <c r="R49" i="45"/>
  <c r="R33" i="45"/>
  <c r="R17" i="45"/>
  <c r="R49" i="57"/>
  <c r="R33" i="57"/>
  <c r="R17" i="57"/>
  <c r="R49" i="31"/>
  <c r="R33" i="31"/>
  <c r="R17" i="31"/>
  <c r="R49" i="26"/>
  <c r="R33" i="26"/>
  <c r="R17" i="26"/>
  <c r="R49" i="21"/>
  <c r="R33" i="21"/>
  <c r="R17" i="21"/>
  <c r="R49" i="22"/>
  <c r="R33" i="22"/>
  <c r="R17" i="22"/>
  <c r="R49" i="53"/>
  <c r="R33" i="53"/>
  <c r="R17" i="53"/>
  <c r="R49" i="9"/>
  <c r="R33" i="9"/>
  <c r="R17" i="9"/>
  <c r="R49" i="56"/>
  <c r="R33" i="56"/>
  <c r="R17" i="56"/>
  <c r="R49" i="10"/>
  <c r="R33" i="10"/>
  <c r="R17" i="10"/>
  <c r="R49" i="12"/>
  <c r="R33" i="12"/>
  <c r="R17" i="12"/>
  <c r="R49" i="58"/>
  <c r="R33" i="58"/>
  <c r="R17" i="58"/>
  <c r="R49" i="43"/>
  <c r="R33" i="43"/>
  <c r="R17" i="43"/>
  <c r="R49" i="52"/>
  <c r="R33" i="52"/>
  <c r="R17" i="52"/>
  <c r="R49" i="35"/>
  <c r="R33" i="35"/>
  <c r="R17" i="35"/>
  <c r="R49" i="27"/>
  <c r="R33" i="27"/>
  <c r="R17" i="27"/>
  <c r="R49" i="13"/>
  <c r="R33" i="13"/>
  <c r="R17" i="13"/>
  <c r="R49" i="51"/>
  <c r="R33" i="51"/>
  <c r="R17" i="51"/>
  <c r="R49" i="50"/>
  <c r="R33" i="50"/>
  <c r="R17" i="50"/>
  <c r="R49" i="49"/>
  <c r="R33" i="49"/>
  <c r="R17" i="49"/>
  <c r="R49" i="34"/>
  <c r="R33" i="34"/>
  <c r="R17" i="34"/>
  <c r="R49" i="30"/>
  <c r="R33" i="30"/>
  <c r="R17" i="30"/>
  <c r="R49" i="33"/>
  <c r="R33" i="33"/>
  <c r="R17" i="33"/>
  <c r="R49" i="48"/>
  <c r="R33" i="48"/>
  <c r="R17" i="48"/>
  <c r="R49" i="5"/>
  <c r="R33" i="5"/>
  <c r="R17" i="5"/>
  <c r="R49" i="44"/>
  <c r="R33" i="44"/>
  <c r="R17" i="44"/>
  <c r="R49" i="55"/>
  <c r="R33" i="55"/>
  <c r="R17" i="55"/>
  <c r="R49" i="32"/>
  <c r="R33" i="32"/>
  <c r="R17" i="32"/>
  <c r="R49" i="6"/>
  <c r="R33" i="6"/>
  <c r="R17" i="6"/>
  <c r="R49" i="7"/>
  <c r="R33" i="7"/>
  <c r="R17" i="7"/>
  <c r="R49" i="54"/>
  <c r="R33" i="54"/>
  <c r="R17" i="54"/>
  <c r="R49" i="42"/>
  <c r="R33" i="42"/>
  <c r="R17" i="42"/>
  <c r="R49" i="28"/>
  <c r="R33" i="28"/>
  <c r="R17" i="28"/>
  <c r="R49" i="37"/>
  <c r="R33" i="37"/>
  <c r="R17" i="37"/>
  <c r="R49" i="16"/>
  <c r="R33" i="16"/>
  <c r="R17" i="16"/>
  <c r="R49" i="17"/>
  <c r="R33" i="17"/>
  <c r="R17" i="17"/>
  <c r="R49" i="40"/>
  <c r="R33" i="40"/>
  <c r="R17" i="40"/>
  <c r="R49" i="8"/>
  <c r="R33" i="8"/>
  <c r="R17" i="8"/>
  <c r="R49" i="18"/>
  <c r="R33" i="18"/>
  <c r="R17" i="18"/>
  <c r="R49" i="19"/>
  <c r="R33" i="19"/>
  <c r="R17" i="19"/>
  <c r="R49" i="3"/>
  <c r="R33" i="3"/>
  <c r="R17" i="3"/>
  <c r="R49" i="2"/>
  <c r="R33" i="2"/>
  <c r="R17" i="2"/>
  <c r="R49" i="39"/>
  <c r="R33" i="39"/>
  <c r="R17" i="39"/>
  <c r="R49" i="11"/>
  <c r="R33" i="11"/>
  <c r="R17" i="11"/>
  <c r="R49" i="41"/>
  <c r="R33" i="41"/>
  <c r="R17" i="41"/>
  <c r="R49" i="15" l="1"/>
  <c r="T62" i="1" s="1"/>
  <c r="R33" i="15"/>
  <c r="R17" i="15"/>
  <c r="T23" i="1" l="1"/>
  <c r="T27" i="1"/>
  <c r="T60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4" i="1"/>
  <c r="T33" i="1"/>
  <c r="T32" i="1"/>
  <c r="T29" i="1"/>
  <c r="T28" i="1"/>
  <c r="T26" i="1"/>
  <c r="T25" i="1"/>
  <c r="T24" i="1"/>
  <c r="T22" i="1"/>
  <c r="T21" i="1"/>
  <c r="T20" i="1"/>
  <c r="T19" i="1"/>
  <c r="T18" i="1"/>
  <c r="T17" i="1"/>
  <c r="T16" i="1"/>
  <c r="T15" i="1"/>
  <c r="T14" i="1"/>
  <c r="T13" i="1"/>
  <c r="T12" i="1"/>
  <c r="T10" i="1"/>
  <c r="T8" i="1"/>
  <c r="T7" i="1"/>
  <c r="T6" i="1"/>
  <c r="T59" i="1" l="1"/>
  <c r="T61" i="1" s="1"/>
  <c r="O33" i="41"/>
  <c r="P33" i="41"/>
  <c r="Q33" i="41"/>
  <c r="Q49" i="54" l="1"/>
  <c r="Q33" i="54"/>
  <c r="Q17" i="54"/>
  <c r="S23" i="1" s="1"/>
  <c r="Q49" i="55"/>
  <c r="Q33" i="55"/>
  <c r="Q17" i="55"/>
  <c r="Q49" i="56"/>
  <c r="Q33" i="56"/>
  <c r="Q17" i="56"/>
  <c r="Q49" i="57"/>
  <c r="Q33" i="57"/>
  <c r="Q17" i="57"/>
  <c r="Q49" i="58"/>
  <c r="Q33" i="58"/>
  <c r="Q17" i="58"/>
  <c r="A52" i="54"/>
  <c r="A2" i="54"/>
  <c r="A52" i="55"/>
  <c r="A2" i="55"/>
  <c r="A52" i="56"/>
  <c r="A2" i="56"/>
  <c r="A52" i="57"/>
  <c r="A2" i="57"/>
  <c r="S48" i="1" l="1"/>
  <c r="S45" i="1"/>
  <c r="S27" i="1"/>
  <c r="S55" i="1"/>
  <c r="A52" i="58"/>
  <c r="A2" i="58"/>
  <c r="A2" i="20" l="1"/>
  <c r="Q49" i="20"/>
  <c r="Q33" i="20"/>
  <c r="Q17" i="20"/>
  <c r="A2" i="46"/>
  <c r="Q49" i="46"/>
  <c r="Q33" i="46"/>
  <c r="Q17" i="46"/>
  <c r="Q49" i="36"/>
  <c r="Q33" i="36"/>
  <c r="Q17" i="36"/>
  <c r="A2" i="36"/>
  <c r="A2" i="45"/>
  <c r="Q49" i="45"/>
  <c r="Q33" i="45"/>
  <c r="Q17" i="45"/>
  <c r="Q49" i="31"/>
  <c r="Q33" i="31"/>
  <c r="Q17" i="31"/>
  <c r="A2" i="31"/>
  <c r="A2" i="26"/>
  <c r="Q49" i="26"/>
  <c r="Q33" i="26"/>
  <c r="Q17" i="26"/>
  <c r="Q49" i="21"/>
  <c r="Q33" i="21"/>
  <c r="Q17" i="21"/>
  <c r="A2" i="21"/>
  <c r="A2" i="22"/>
  <c r="Q49" i="22"/>
  <c r="Q33" i="22"/>
  <c r="Q17" i="22"/>
  <c r="A2" i="53"/>
  <c r="Q49" i="53"/>
  <c r="Q33" i="53"/>
  <c r="Q17" i="53"/>
  <c r="A2" i="9"/>
  <c r="Q49" i="9"/>
  <c r="Q33" i="9"/>
  <c r="Q17" i="9"/>
  <c r="Q49" i="10"/>
  <c r="Q33" i="10"/>
  <c r="Q17" i="10"/>
  <c r="A2" i="10"/>
  <c r="Q49" i="12"/>
  <c r="Q33" i="12"/>
  <c r="Q17" i="12"/>
  <c r="A2" i="12"/>
  <c r="Q49" i="43"/>
  <c r="Q33" i="43"/>
  <c r="Q17" i="43"/>
  <c r="A2" i="43"/>
  <c r="Q49" i="52"/>
  <c r="Q33" i="52"/>
  <c r="Q17" i="52"/>
  <c r="A2" i="52"/>
  <c r="Q33" i="35"/>
  <c r="Q17" i="35"/>
  <c r="A2" i="35"/>
  <c r="A2" i="27"/>
  <c r="Q49" i="27"/>
  <c r="Q33" i="27"/>
  <c r="Q17" i="27"/>
  <c r="A2" i="13" l="1"/>
  <c r="Q49" i="13"/>
  <c r="Q33" i="13"/>
  <c r="Q17" i="13"/>
  <c r="A2" i="51"/>
  <c r="Q49" i="51"/>
  <c r="Q33" i="51"/>
  <c r="Q17" i="51"/>
  <c r="Q49" i="50"/>
  <c r="Q33" i="50"/>
  <c r="Q17" i="50"/>
  <c r="A2" i="50"/>
  <c r="Q49" i="49"/>
  <c r="Q33" i="49"/>
  <c r="Q17" i="49"/>
  <c r="A2" i="49"/>
  <c r="Q49" i="34"/>
  <c r="Q33" i="34"/>
  <c r="Q17" i="34"/>
  <c r="A2" i="34"/>
  <c r="A2" i="30"/>
  <c r="Q49" i="30"/>
  <c r="Q33" i="30"/>
  <c r="Q17" i="30"/>
  <c r="A2" i="33" l="1"/>
  <c r="Q49" i="33"/>
  <c r="Q33" i="33"/>
  <c r="Q17" i="33"/>
  <c r="A2" i="48"/>
  <c r="Q49" i="48"/>
  <c r="Q33" i="48"/>
  <c r="Q17" i="48"/>
  <c r="A2" i="5"/>
  <c r="Q49" i="5"/>
  <c r="Q33" i="5"/>
  <c r="Q17" i="5"/>
  <c r="Q49" i="44" l="1"/>
  <c r="Q33" i="44"/>
  <c r="Q17" i="44"/>
  <c r="A2" i="44"/>
  <c r="A2" i="32"/>
  <c r="Q49" i="32"/>
  <c r="Q33" i="32"/>
  <c r="Q17" i="32"/>
  <c r="Q49" i="6"/>
  <c r="Q33" i="6"/>
  <c r="Q17" i="6"/>
  <c r="A2" i="6"/>
  <c r="A2" i="7"/>
  <c r="Q49" i="7"/>
  <c r="Q33" i="7"/>
  <c r="Q17" i="7"/>
  <c r="A2" i="42"/>
  <c r="Q49" i="42"/>
  <c r="Q33" i="42"/>
  <c r="Q17" i="42"/>
  <c r="A2" i="28"/>
  <c r="Q49" i="28"/>
  <c r="Q33" i="28"/>
  <c r="Q17" i="28"/>
  <c r="A2" i="37"/>
  <c r="Q49" i="37"/>
  <c r="Q33" i="37"/>
  <c r="Q17" i="37"/>
  <c r="A2" i="41"/>
  <c r="Q49" i="41"/>
  <c r="Q17" i="41"/>
  <c r="A2" i="16"/>
  <c r="Q49" i="16"/>
  <c r="Q33" i="16"/>
  <c r="Q17" i="16"/>
  <c r="A2" i="17"/>
  <c r="Q49" i="17"/>
  <c r="Q33" i="17"/>
  <c r="Q17" i="17"/>
  <c r="A2" i="40"/>
  <c r="Q49" i="40"/>
  <c r="Q33" i="40"/>
  <c r="Q17" i="40"/>
  <c r="A2" i="8"/>
  <c r="Q49" i="8"/>
  <c r="Q33" i="8"/>
  <c r="Q17" i="8"/>
  <c r="A2" i="18"/>
  <c r="Q49" i="18"/>
  <c r="Q33" i="18"/>
  <c r="Q17" i="18"/>
  <c r="A2" i="19"/>
  <c r="Q49" i="19"/>
  <c r="Q33" i="19"/>
  <c r="Q17" i="19"/>
  <c r="Q49" i="3"/>
  <c r="Q33" i="3"/>
  <c r="Q17" i="3"/>
  <c r="A2" i="3"/>
  <c r="Q49" i="2"/>
  <c r="Q33" i="2"/>
  <c r="Q17" i="2"/>
  <c r="A2" i="2"/>
  <c r="Q49" i="39"/>
  <c r="Q33" i="39"/>
  <c r="Q17" i="39"/>
  <c r="A2" i="39"/>
  <c r="Q49" i="11"/>
  <c r="Q33" i="11"/>
  <c r="Q17" i="11"/>
  <c r="A2" i="11"/>
  <c r="Q49" i="15"/>
  <c r="Q33" i="15"/>
  <c r="Q17" i="15"/>
  <c r="A2" i="15"/>
  <c r="S8" i="1" l="1"/>
  <c r="S60" i="1"/>
  <c r="S58" i="1"/>
  <c r="S57" i="1"/>
  <c r="S56" i="1"/>
  <c r="S54" i="1"/>
  <c r="S53" i="1"/>
  <c r="S52" i="1"/>
  <c r="S51" i="1"/>
  <c r="S50" i="1"/>
  <c r="S49" i="1"/>
  <c r="S47" i="1"/>
  <c r="S46" i="1"/>
  <c r="S44" i="1"/>
  <c r="S43" i="1"/>
  <c r="S42" i="1"/>
  <c r="S41" i="1"/>
  <c r="S40" i="1"/>
  <c r="S39" i="1"/>
  <c r="S38" i="1"/>
  <c r="S37" i="1"/>
  <c r="S36" i="1"/>
  <c r="S34" i="1"/>
  <c r="S33" i="1"/>
  <c r="S32" i="1"/>
  <c r="S29" i="1"/>
  <c r="S28" i="1"/>
  <c r="S26" i="1"/>
  <c r="S25" i="1"/>
  <c r="S24" i="1"/>
  <c r="S22" i="1"/>
  <c r="S21" i="1"/>
  <c r="S20" i="1"/>
  <c r="S7" i="1"/>
  <c r="S19" i="1"/>
  <c r="S18" i="1"/>
  <c r="S17" i="1"/>
  <c r="S16" i="1"/>
  <c r="S15" i="1"/>
  <c r="S14" i="1"/>
  <c r="S13" i="1"/>
  <c r="S12" i="1"/>
  <c r="S10" i="1"/>
  <c r="S6" i="1"/>
  <c r="S59" i="1" l="1"/>
  <c r="S61" i="1" s="1"/>
  <c r="P49" i="20"/>
  <c r="P33" i="20"/>
  <c r="P17" i="20"/>
  <c r="P49" i="46"/>
  <c r="P33" i="46"/>
  <c r="P17" i="46"/>
  <c r="R60" i="1" l="1"/>
  <c r="R58" i="1"/>
  <c r="P49" i="36"/>
  <c r="P33" i="36"/>
  <c r="P17" i="36"/>
  <c r="P49" i="45"/>
  <c r="P33" i="45"/>
  <c r="P17" i="45"/>
  <c r="R56" i="1" s="1"/>
  <c r="P49" i="31"/>
  <c r="P33" i="31"/>
  <c r="P17" i="31"/>
  <c r="R54" i="1" s="1"/>
  <c r="P49" i="26"/>
  <c r="P33" i="26"/>
  <c r="P17" i="26"/>
  <c r="R53" i="1" s="1"/>
  <c r="R57" i="1" l="1"/>
  <c r="P49" i="21"/>
  <c r="P33" i="21"/>
  <c r="P17" i="21"/>
  <c r="P49" i="22"/>
  <c r="P33" i="22"/>
  <c r="P17" i="22"/>
  <c r="P49" i="9"/>
  <c r="P33" i="9"/>
  <c r="P17" i="9"/>
  <c r="P49" i="10"/>
  <c r="P33" i="10"/>
  <c r="P17" i="10"/>
  <c r="R47" i="1" s="1"/>
  <c r="P49" i="12"/>
  <c r="P33" i="12"/>
  <c r="P17" i="12"/>
  <c r="R46" i="1" s="1"/>
  <c r="P49" i="43"/>
  <c r="P33" i="43"/>
  <c r="P17" i="43"/>
  <c r="P33" i="35"/>
  <c r="P17" i="35"/>
  <c r="P49" i="27"/>
  <c r="P33" i="27"/>
  <c r="P17" i="27"/>
  <c r="R41" i="1" s="1"/>
  <c r="P49" i="13"/>
  <c r="P33" i="13"/>
  <c r="P17" i="13"/>
  <c r="R40" i="1" s="1"/>
  <c r="P49" i="34"/>
  <c r="P33" i="34"/>
  <c r="P17" i="34"/>
  <c r="R36" i="1" s="1"/>
  <c r="P49" i="30"/>
  <c r="P33" i="30"/>
  <c r="P17" i="30"/>
  <c r="P49" i="33"/>
  <c r="P33" i="33"/>
  <c r="P17" i="33"/>
  <c r="R49" i="1" l="1"/>
  <c r="R52" i="1"/>
  <c r="R42" i="1"/>
  <c r="R51" i="1"/>
  <c r="R44" i="1"/>
  <c r="R34" i="1"/>
  <c r="R33" i="1"/>
  <c r="P49" i="5"/>
  <c r="P33" i="5"/>
  <c r="P17" i="5"/>
  <c r="P49" i="44"/>
  <c r="P33" i="44"/>
  <c r="P17" i="44"/>
  <c r="P49" i="32"/>
  <c r="P33" i="32"/>
  <c r="P17" i="32"/>
  <c r="P49" i="6"/>
  <c r="P33" i="6"/>
  <c r="P17" i="6"/>
  <c r="R25" i="1" s="1"/>
  <c r="R29" i="1" l="1"/>
  <c r="R28" i="1"/>
  <c r="R26" i="1"/>
  <c r="P49" i="7"/>
  <c r="P33" i="7"/>
  <c r="P17" i="7"/>
  <c r="R24" i="1" s="1"/>
  <c r="P49" i="42"/>
  <c r="P33" i="42"/>
  <c r="P17" i="42"/>
  <c r="R22" i="1" l="1"/>
  <c r="P49" i="28"/>
  <c r="P33" i="28"/>
  <c r="P17" i="28"/>
  <c r="R21" i="1" s="1"/>
  <c r="P49" i="37"/>
  <c r="P33" i="37"/>
  <c r="P17" i="37"/>
  <c r="R20" i="1" s="1"/>
  <c r="P49" i="41"/>
  <c r="P17" i="41" l="1"/>
  <c r="R7" i="1" s="1"/>
  <c r="P49" i="16" l="1"/>
  <c r="P33" i="16"/>
  <c r="P17" i="16"/>
  <c r="P49" i="17"/>
  <c r="P33" i="17"/>
  <c r="P17" i="17"/>
  <c r="R18" i="1" s="1"/>
  <c r="R19" i="1" l="1"/>
  <c r="P49" i="40"/>
  <c r="P33" i="40"/>
  <c r="P17" i="40"/>
  <c r="R17" i="1" s="1"/>
  <c r="P49" i="8" l="1"/>
  <c r="P33" i="8"/>
  <c r="P17" i="8"/>
  <c r="P49" i="18"/>
  <c r="P33" i="18"/>
  <c r="P17" i="18"/>
  <c r="R15" i="1" s="1"/>
  <c r="P49" i="19"/>
  <c r="P33" i="19"/>
  <c r="P17" i="19"/>
  <c r="R16" i="1" l="1"/>
  <c r="R14" i="1"/>
  <c r="P49" i="3"/>
  <c r="P33" i="3"/>
  <c r="P17" i="3"/>
  <c r="R13" i="1" s="1"/>
  <c r="P49" i="2"/>
  <c r="P33" i="2"/>
  <c r="P17" i="2"/>
  <c r="P49" i="39"/>
  <c r="P33" i="39"/>
  <c r="P17" i="39"/>
  <c r="P49" i="11"/>
  <c r="P33" i="11"/>
  <c r="P17" i="11"/>
  <c r="R8" i="1" s="1"/>
  <c r="P49" i="15"/>
  <c r="P33" i="15"/>
  <c r="R6" i="1" s="1"/>
  <c r="P17" i="15"/>
  <c r="R12" i="1" l="1"/>
  <c r="R10" i="1"/>
  <c r="A52" i="53" l="1"/>
  <c r="P49" i="53"/>
  <c r="P33" i="53"/>
  <c r="P17" i="53"/>
  <c r="R50" i="1" l="1"/>
  <c r="A52" i="52"/>
  <c r="P49" i="52"/>
  <c r="P33" i="52"/>
  <c r="P17" i="52"/>
  <c r="R43" i="1" s="1"/>
  <c r="A52" i="51" l="1"/>
  <c r="P49" i="51"/>
  <c r="P33" i="51"/>
  <c r="P17" i="51"/>
  <c r="R39" i="1" s="1"/>
  <c r="A52" i="50" l="1"/>
  <c r="P49" i="50"/>
  <c r="P33" i="50"/>
  <c r="P17" i="50"/>
  <c r="R38" i="1" s="1"/>
  <c r="A52" i="49" l="1"/>
  <c r="P49" i="49"/>
  <c r="P33" i="49"/>
  <c r="P17" i="49"/>
  <c r="R37" i="1" l="1"/>
  <c r="A52" i="48"/>
  <c r="P49" i="48"/>
  <c r="R62" i="1" s="1"/>
  <c r="P33" i="48"/>
  <c r="P17" i="48"/>
  <c r="R32" i="1" l="1"/>
  <c r="R59" i="1" s="1"/>
  <c r="R61" i="1" s="1"/>
  <c r="P47" i="47"/>
  <c r="P32" i="47" l="1"/>
  <c r="P17" i="47"/>
  <c r="A49" i="47" l="1"/>
  <c r="A2" i="47"/>
  <c r="A52" i="46" l="1"/>
  <c r="O49" i="46"/>
  <c r="O33" i="46"/>
  <c r="O17" i="46"/>
  <c r="A52" i="45"/>
  <c r="O49" i="45"/>
  <c r="O33" i="45"/>
  <c r="O17" i="45"/>
  <c r="Q56" i="1" s="1"/>
  <c r="A52" i="44"/>
  <c r="O49" i="44"/>
  <c r="O33" i="44"/>
  <c r="O17" i="44"/>
  <c r="Q28" i="1" s="1"/>
  <c r="A52" i="43"/>
  <c r="O49" i="43"/>
  <c r="O33" i="43"/>
  <c r="O17" i="43"/>
  <c r="A52" i="42"/>
  <c r="O49" i="42"/>
  <c r="O33" i="42"/>
  <c r="O17" i="42"/>
  <c r="A52" i="41"/>
  <c r="O49" i="41"/>
  <c r="O17" i="41"/>
  <c r="A52" i="40"/>
  <c r="O49" i="40"/>
  <c r="O33" i="40"/>
  <c r="O17" i="40"/>
  <c r="Q17" i="1" s="1"/>
  <c r="A52" i="39"/>
  <c r="O49" i="39"/>
  <c r="O33" i="39"/>
  <c r="O17" i="39"/>
  <c r="Q10" i="1" s="1"/>
  <c r="Q58" i="1" l="1"/>
  <c r="Q44" i="1"/>
  <c r="Q22" i="1"/>
  <c r="Q7" i="1"/>
  <c r="O49" i="20"/>
  <c r="O33" i="20"/>
  <c r="O17" i="20"/>
  <c r="Q60" i="1" s="1"/>
  <c r="O49" i="31"/>
  <c r="O33" i="31"/>
  <c r="O17" i="31"/>
  <c r="Q54" i="1" l="1"/>
  <c r="O49" i="26"/>
  <c r="O33" i="26"/>
  <c r="O17" i="26"/>
  <c r="Q53" i="1" s="1"/>
  <c r="O49" i="21"/>
  <c r="O33" i="21"/>
  <c r="O17" i="21"/>
  <c r="O49" i="22"/>
  <c r="O33" i="22"/>
  <c r="O17" i="22"/>
  <c r="O49" i="9"/>
  <c r="O33" i="9"/>
  <c r="O17" i="9"/>
  <c r="Q49" i="1" s="1"/>
  <c r="O49" i="10"/>
  <c r="O33" i="10"/>
  <c r="O17" i="10"/>
  <c r="O49" i="12"/>
  <c r="O33" i="12"/>
  <c r="O17" i="12"/>
  <c r="Q52" i="1" l="1"/>
  <c r="Q46" i="1"/>
  <c r="Q51" i="1"/>
  <c r="Q47" i="1"/>
  <c r="O49" i="27"/>
  <c r="O33" i="27"/>
  <c r="O17" i="27"/>
  <c r="O49" i="13"/>
  <c r="O33" i="13"/>
  <c r="O17" i="13"/>
  <c r="O49" i="30"/>
  <c r="O33" i="30"/>
  <c r="O17" i="30"/>
  <c r="O49" i="5"/>
  <c r="O33" i="5"/>
  <c r="O17" i="5"/>
  <c r="O49" i="32"/>
  <c r="O33" i="32"/>
  <c r="O17" i="32"/>
  <c r="O49" i="6"/>
  <c r="O33" i="6"/>
  <c r="O17" i="6"/>
  <c r="O49" i="7"/>
  <c r="O33" i="7"/>
  <c r="O17" i="7"/>
  <c r="O49" i="28"/>
  <c r="O33" i="28"/>
  <c r="O17" i="28"/>
  <c r="Q41" i="1" l="1"/>
  <c r="Q25" i="1"/>
  <c r="Q26" i="1"/>
  <c r="Q40" i="1"/>
  <c r="Q34" i="1"/>
  <c r="Q29" i="1"/>
  <c r="Q24" i="1"/>
  <c r="Q21" i="1"/>
  <c r="O49" i="16"/>
  <c r="O33" i="16"/>
  <c r="O17" i="16"/>
  <c r="Q19" i="1" l="1"/>
  <c r="O49" i="17"/>
  <c r="O33" i="17"/>
  <c r="O17" i="17"/>
  <c r="Q18" i="1" s="1"/>
  <c r="O49" i="8"/>
  <c r="O33" i="8"/>
  <c r="O17" i="8"/>
  <c r="Q16" i="1" s="1"/>
  <c r="O17" i="3" l="1"/>
  <c r="O33" i="18"/>
  <c r="O49" i="18"/>
  <c r="O17" i="18"/>
  <c r="Q15" i="1" l="1"/>
  <c r="O49" i="19"/>
  <c r="O33" i="19"/>
  <c r="O17" i="19"/>
  <c r="O49" i="3"/>
  <c r="O33" i="3"/>
  <c r="Q13" i="1" s="1"/>
  <c r="O49" i="2"/>
  <c r="O33" i="2"/>
  <c r="O17" i="2"/>
  <c r="O49" i="15"/>
  <c r="O33" i="15"/>
  <c r="O17" i="15"/>
  <c r="Q14" i="1" l="1"/>
  <c r="Q12" i="1"/>
  <c r="Q6" i="1"/>
  <c r="O49" i="11"/>
  <c r="O33" i="11"/>
  <c r="O17" i="11"/>
  <c r="Q8" i="1" s="1"/>
  <c r="A52" i="37" l="1"/>
  <c r="O49" i="37"/>
  <c r="O33" i="37"/>
  <c r="O17" i="37"/>
  <c r="A52" i="36"/>
  <c r="O49" i="36"/>
  <c r="O33" i="36"/>
  <c r="O17" i="36"/>
  <c r="A52" i="35"/>
  <c r="O49" i="35"/>
  <c r="O33" i="35"/>
  <c r="O17" i="35"/>
  <c r="A52" i="33"/>
  <c r="O49" i="33"/>
  <c r="O33" i="33"/>
  <c r="O17" i="33"/>
  <c r="A52" i="34"/>
  <c r="O49" i="34"/>
  <c r="O33" i="34"/>
  <c r="O17" i="34"/>
  <c r="Q62" i="1" l="1"/>
  <c r="Q42" i="1"/>
  <c r="Q20" i="1"/>
  <c r="Q57" i="1"/>
  <c r="Q36" i="1"/>
  <c r="Q33" i="1"/>
  <c r="N49" i="15"/>
  <c r="M49" i="15"/>
  <c r="O62" i="1" s="1"/>
  <c r="L49" i="15"/>
  <c r="K49" i="15"/>
  <c r="J49" i="15"/>
  <c r="I49" i="15"/>
  <c r="H49" i="15"/>
  <c r="G49" i="15"/>
  <c r="N49" i="26"/>
  <c r="N49" i="32"/>
  <c r="N49" i="28"/>
  <c r="N49" i="16"/>
  <c r="N49" i="17"/>
  <c r="N49" i="18"/>
  <c r="N49" i="19"/>
  <c r="A52" i="9"/>
  <c r="A52" i="10"/>
  <c r="A52" i="27"/>
  <c r="A52" i="8"/>
  <c r="A54" i="20"/>
  <c r="A52" i="3"/>
  <c r="B33" i="15"/>
  <c r="B17" i="15"/>
  <c r="D6" i="1" s="1"/>
  <c r="N49" i="31"/>
  <c r="M49" i="31"/>
  <c r="L49" i="31"/>
  <c r="N49" i="21"/>
  <c r="M49" i="21"/>
  <c r="N49" i="22"/>
  <c r="M49" i="22"/>
  <c r="N49" i="9"/>
  <c r="M49" i="9"/>
  <c r="N49" i="10"/>
  <c r="M49" i="10"/>
  <c r="N49" i="12"/>
  <c r="M49" i="12"/>
  <c r="L49" i="12"/>
  <c r="N49" i="27"/>
  <c r="N49" i="13"/>
  <c r="M49" i="13"/>
  <c r="L49" i="13"/>
  <c r="N49" i="30"/>
  <c r="M49" i="30"/>
  <c r="N49" i="5"/>
  <c r="M49" i="5"/>
  <c r="N49" i="6"/>
  <c r="N49" i="7"/>
  <c r="M49" i="7"/>
  <c r="L49" i="7"/>
  <c r="N49" i="8"/>
  <c r="M49" i="8"/>
  <c r="N49" i="3"/>
  <c r="M49" i="3"/>
  <c r="L49" i="3"/>
  <c r="N49" i="2"/>
  <c r="M49" i="2"/>
  <c r="L49" i="2"/>
  <c r="N33" i="11"/>
  <c r="N17" i="11"/>
  <c r="N49" i="11"/>
  <c r="M49" i="11"/>
  <c r="N33" i="15"/>
  <c r="N17" i="15"/>
  <c r="P6" i="1" s="1"/>
  <c r="N49" i="20"/>
  <c r="N33" i="20"/>
  <c r="N17" i="20"/>
  <c r="N33" i="31"/>
  <c r="N17" i="31"/>
  <c r="N33" i="26"/>
  <c r="N17" i="26"/>
  <c r="N33" i="21"/>
  <c r="N17" i="21"/>
  <c r="N33" i="22"/>
  <c r="N17" i="22"/>
  <c r="N33" i="9"/>
  <c r="N17" i="9"/>
  <c r="N33" i="10"/>
  <c r="N17" i="10"/>
  <c r="N33" i="12"/>
  <c r="N17" i="12"/>
  <c r="N33" i="27"/>
  <c r="N17" i="27"/>
  <c r="P41" i="1" s="1"/>
  <c r="N33" i="13"/>
  <c r="N17" i="13"/>
  <c r="N33" i="30"/>
  <c r="N17" i="30"/>
  <c r="N33" i="5"/>
  <c r="N17" i="5"/>
  <c r="N33" i="6"/>
  <c r="N17" i="6"/>
  <c r="P25" i="1" s="1"/>
  <c r="N33" i="7"/>
  <c r="N17" i="7"/>
  <c r="N33" i="28"/>
  <c r="N17" i="28"/>
  <c r="N33" i="16"/>
  <c r="N17" i="16"/>
  <c r="N33" i="17"/>
  <c r="N17" i="17"/>
  <c r="N33" i="8"/>
  <c r="N17" i="8"/>
  <c r="N33" i="18"/>
  <c r="N17" i="18"/>
  <c r="N33" i="19"/>
  <c r="N17" i="19"/>
  <c r="N33" i="3"/>
  <c r="N17" i="3"/>
  <c r="P13" i="1" s="1"/>
  <c r="N33" i="32"/>
  <c r="N17" i="32"/>
  <c r="N33" i="2"/>
  <c r="N17" i="2"/>
  <c r="M49" i="20"/>
  <c r="A52" i="16"/>
  <c r="A53" i="15"/>
  <c r="M33" i="20"/>
  <c r="M17" i="20"/>
  <c r="M33" i="31"/>
  <c r="M17" i="31"/>
  <c r="M33" i="21"/>
  <c r="M17" i="21"/>
  <c r="M33" i="22"/>
  <c r="M17" i="22"/>
  <c r="M33" i="9"/>
  <c r="M17" i="9"/>
  <c r="M33" i="11"/>
  <c r="M17" i="11"/>
  <c r="M33" i="10"/>
  <c r="M17" i="10"/>
  <c r="M33" i="12"/>
  <c r="M17" i="12"/>
  <c r="O46" i="1" s="1"/>
  <c r="M33" i="13"/>
  <c r="O40" i="1" s="1"/>
  <c r="M17" i="13"/>
  <c r="M33" i="30"/>
  <c r="M17" i="30"/>
  <c r="M33" i="15"/>
  <c r="M17" i="15"/>
  <c r="M33" i="5"/>
  <c r="M17" i="5"/>
  <c r="M33" i="6"/>
  <c r="O25" i="1" s="1"/>
  <c r="M17" i="6"/>
  <c r="M33" i="7"/>
  <c r="M17" i="7"/>
  <c r="M33" i="8"/>
  <c r="M17" i="8"/>
  <c r="M33" i="2"/>
  <c r="M33" i="3"/>
  <c r="M17" i="3"/>
  <c r="L17" i="3"/>
  <c r="M17" i="2"/>
  <c r="F49" i="20"/>
  <c r="L49" i="20"/>
  <c r="J49" i="20"/>
  <c r="K49" i="20"/>
  <c r="I49" i="20"/>
  <c r="H49" i="20"/>
  <c r="G49" i="20"/>
  <c r="L49" i="11"/>
  <c r="K49" i="11"/>
  <c r="J49" i="11"/>
  <c r="I49" i="11"/>
  <c r="H49" i="11"/>
  <c r="G49" i="11"/>
  <c r="L33" i="20"/>
  <c r="L17" i="20"/>
  <c r="L33" i="11"/>
  <c r="L17" i="11"/>
  <c r="N8" i="1" s="1"/>
  <c r="L33" i="15"/>
  <c r="L17" i="15"/>
  <c r="L33" i="31"/>
  <c r="L17" i="31"/>
  <c r="L33" i="12"/>
  <c r="L17" i="12"/>
  <c r="L33" i="13"/>
  <c r="L17" i="13"/>
  <c r="L33" i="7"/>
  <c r="L17" i="7"/>
  <c r="L33" i="3"/>
  <c r="L33" i="2"/>
  <c r="L17" i="2"/>
  <c r="I33" i="20"/>
  <c r="H33" i="20"/>
  <c r="G33" i="20"/>
  <c r="F33" i="20"/>
  <c r="J33" i="20"/>
  <c r="K33" i="20"/>
  <c r="I17" i="20"/>
  <c r="H17" i="20"/>
  <c r="G17" i="20"/>
  <c r="F17" i="20"/>
  <c r="J17" i="20"/>
  <c r="K17" i="20"/>
  <c r="I33" i="11"/>
  <c r="H33" i="11"/>
  <c r="G33" i="11"/>
  <c r="F33" i="11"/>
  <c r="E33" i="11"/>
  <c r="J33" i="11"/>
  <c r="K33" i="11"/>
  <c r="I17" i="11"/>
  <c r="H17" i="11"/>
  <c r="J8" i="1" s="1"/>
  <c r="G17" i="11"/>
  <c r="F17" i="11"/>
  <c r="E17" i="11"/>
  <c r="G8" i="1" s="1"/>
  <c r="J17" i="11"/>
  <c r="L8" i="1" s="1"/>
  <c r="K17" i="11"/>
  <c r="I33" i="15"/>
  <c r="H33" i="15"/>
  <c r="G33" i="15"/>
  <c r="F33" i="15"/>
  <c r="E33" i="15"/>
  <c r="D33" i="15"/>
  <c r="C33" i="15"/>
  <c r="J33" i="15"/>
  <c r="K33" i="15"/>
  <c r="I17" i="15"/>
  <c r="H17" i="15"/>
  <c r="G17" i="15"/>
  <c r="F17" i="15"/>
  <c r="E17" i="15"/>
  <c r="D17" i="15"/>
  <c r="C17" i="15"/>
  <c r="J17" i="15"/>
  <c r="K17" i="15"/>
  <c r="A52" i="5"/>
  <c r="A52" i="32"/>
  <c r="A52" i="19"/>
  <c r="A52" i="13"/>
  <c r="A52" i="7"/>
  <c r="A52" i="26"/>
  <c r="A52" i="28"/>
  <c r="A52" i="18"/>
  <c r="A52" i="6"/>
  <c r="A53" i="11"/>
  <c r="A52" i="17"/>
  <c r="A52" i="31"/>
  <c r="A52" i="22"/>
  <c r="A52" i="30"/>
  <c r="A52" i="21"/>
  <c r="A52" i="12"/>
  <c r="A52" i="2"/>
  <c r="I60" i="1"/>
  <c r="N6" i="1"/>
  <c r="K60" i="1" l="1"/>
  <c r="K6" i="1"/>
  <c r="M8" i="1"/>
  <c r="N40" i="1"/>
  <c r="P62" i="1"/>
  <c r="I8" i="1"/>
  <c r="P46" i="1"/>
  <c r="H8" i="1"/>
  <c r="O6" i="1"/>
  <c r="K62" i="1"/>
  <c r="J62" i="1"/>
  <c r="K8" i="1"/>
  <c r="K59" i="1" s="1"/>
  <c r="O8" i="1"/>
  <c r="L62" i="1"/>
  <c r="M62" i="1"/>
  <c r="N60" i="1"/>
  <c r="P8" i="1"/>
  <c r="N62" i="1"/>
  <c r="L60" i="1"/>
  <c r="O60" i="1"/>
  <c r="O54" i="1"/>
  <c r="P53" i="1"/>
  <c r="N24" i="1"/>
  <c r="O24" i="1"/>
  <c r="O12" i="1"/>
  <c r="M60" i="1"/>
  <c r="J60" i="1"/>
  <c r="H60" i="1"/>
  <c r="P60" i="1"/>
  <c r="N54" i="1"/>
  <c r="O52" i="1"/>
  <c r="P52" i="1"/>
  <c r="O51" i="1"/>
  <c r="P51" i="1"/>
  <c r="O49" i="1"/>
  <c r="O47" i="1"/>
  <c r="P47" i="1"/>
  <c r="N46" i="1"/>
  <c r="O34" i="1"/>
  <c r="O29" i="1"/>
  <c r="P21" i="1"/>
  <c r="P19" i="1"/>
  <c r="O16" i="1"/>
  <c r="P16" i="1"/>
  <c r="P14" i="1"/>
  <c r="N13" i="1"/>
  <c r="O13" i="1"/>
  <c r="N12" i="1"/>
  <c r="P12" i="1"/>
  <c r="E6" i="1"/>
  <c r="E59" i="1" s="1"/>
  <c r="E61" i="1" s="1"/>
  <c r="I6" i="1"/>
  <c r="L6" i="1"/>
  <c r="M6" i="1"/>
  <c r="M59" i="1" s="1"/>
  <c r="F6" i="1"/>
  <c r="F59" i="1" s="1"/>
  <c r="F61" i="1" s="1"/>
  <c r="J6" i="1"/>
  <c r="D59" i="1"/>
  <c r="D61" i="1" s="1"/>
  <c r="H6" i="1"/>
  <c r="G6" i="1"/>
  <c r="Q59" i="1"/>
  <c r="Q61" i="1" s="1"/>
  <c r="P54" i="1"/>
  <c r="P49" i="1"/>
  <c r="P40" i="1"/>
  <c r="P34" i="1"/>
  <c r="P29" i="1"/>
  <c r="P26" i="1"/>
  <c r="P24" i="1"/>
  <c r="P18" i="1"/>
  <c r="P15" i="1"/>
  <c r="K61" i="1" l="1"/>
  <c r="I59" i="1"/>
  <c r="I61" i="1" s="1"/>
  <c r="H59" i="1"/>
  <c r="P59" i="1"/>
  <c r="P61" i="1" s="1"/>
  <c r="H61" i="1"/>
  <c r="M61" i="1"/>
  <c r="O59" i="1"/>
  <c r="O61" i="1" s="1"/>
  <c r="N59" i="1"/>
  <c r="N61" i="1" s="1"/>
  <c r="J59" i="1"/>
  <c r="J61" i="1" s="1"/>
  <c r="L59" i="1"/>
  <c r="L61" i="1" s="1"/>
  <c r="G59" i="1"/>
  <c r="G61" i="1" s="1"/>
</calcChain>
</file>

<file path=xl/sharedStrings.xml><?xml version="1.0" encoding="utf-8"?>
<sst xmlns="http://schemas.openxmlformats.org/spreadsheetml/2006/main" count="30181" uniqueCount="318">
  <si>
    <t>Month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</si>
  <si>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</si>
  <si>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</si>
  <si>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</si>
  <si>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</si>
  <si>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</si>
  <si>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</si>
  <si>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</si>
  <si>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</si>
  <si>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</si>
  <si>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</si>
  <si>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 xml:space="preserve">November </t>
  </si>
  <si>
    <t xml:space="preserve">*  </t>
  </si>
  <si>
    <t>December</t>
  </si>
  <si>
    <t>Total</t>
  </si>
  <si>
    <t>*Collections for November 2008 are included in December totals due to a new processing system.</t>
  </si>
  <si>
    <t>Hennepin County Local Sales Tax (0.15%)</t>
  </si>
  <si>
    <t>Hennepin County Local Use Tax (0.15%)</t>
  </si>
  <si>
    <t>Cook County Local Sales Tax (1.0%)</t>
  </si>
  <si>
    <t>Cook County Local Use Tax (1.0%)</t>
  </si>
  <si>
    <t>Cook Co</t>
  </si>
  <si>
    <t>Metro Area Transit</t>
  </si>
  <si>
    <t xml:space="preserve">2014
</t>
  </si>
  <si>
    <t>Hennepin County Refunds</t>
  </si>
  <si>
    <t>Metro Area Transit Improvement Refunds</t>
  </si>
  <si>
    <t>Year Imposed</t>
  </si>
  <si>
    <t>Becker County Transit Sales Tax (0.5%)</t>
  </si>
  <si>
    <t>Becker County Transit Use Tax (0.5%)</t>
  </si>
  <si>
    <t>Becker Co</t>
  </si>
  <si>
    <t>Beltrami County Transit Sales Tax (0.5%)</t>
  </si>
  <si>
    <t>Beltrami County Transit Use Tax (0.5%)</t>
  </si>
  <si>
    <t>Beltrami Co</t>
  </si>
  <si>
    <t>Carlton County Transit Sales Tax (0.5%)</t>
  </si>
  <si>
    <t>Carlton County Transit Use Tax (0.5%)</t>
  </si>
  <si>
    <t>Carlton Co</t>
  </si>
  <si>
    <t>Douglas County Transit Sales Tax (0.5%)</t>
  </si>
  <si>
    <t>Douglas County Transit Use Tax (0.5%)</t>
  </si>
  <si>
    <t>Fillmore County Transit Sales Tax (0.5%)</t>
  </si>
  <si>
    <t>Fillmore County Transit Use Tax (0.5%)</t>
  </si>
  <si>
    <t>Hubbard County Transit Sales Tax (0.5%)</t>
  </si>
  <si>
    <t>Hubbard County Transit Use Tax (0.5%)</t>
  </si>
  <si>
    <t>Lyon County Transit Sales Tax (0.5%)</t>
  </si>
  <si>
    <t>Lyon County Transit Use Tax (0.5%)</t>
  </si>
  <si>
    <t>Lyon Co</t>
  </si>
  <si>
    <t>Olmsted Co</t>
  </si>
  <si>
    <t>Douglas Co</t>
  </si>
  <si>
    <t>Fillmore Co</t>
  </si>
  <si>
    <t>Hubbard Co</t>
  </si>
  <si>
    <t>Rice County Transit Sales Tax (0.5%)</t>
  </si>
  <si>
    <t>Rice County Transit Use Tax (0.5%)</t>
  </si>
  <si>
    <t>Scott County Transit Sales Tax (0.5%)</t>
  </si>
  <si>
    <t>Scott County Transit Use Tax (0.5%)</t>
  </si>
  <si>
    <t>St. Louis County Transit Sales Tax (0.5%)</t>
  </si>
  <si>
    <t>St. Louis County Transit Use Tax (0.5%)</t>
  </si>
  <si>
    <t>Steele County Transit Use Tax (0.5%)</t>
  </si>
  <si>
    <t>Todd County Transit Sales Tax (0.5%)</t>
  </si>
  <si>
    <t>Todd County Transit Use Tax (0.5%)</t>
  </si>
  <si>
    <t>Wadena County Transit Sales Tax (0.5%)</t>
  </si>
  <si>
    <t>Wadena County Transit  Use Tax (0.5%)</t>
  </si>
  <si>
    <t>Rice Co</t>
  </si>
  <si>
    <t>Scott Co</t>
  </si>
  <si>
    <t>St. Louis Co</t>
  </si>
  <si>
    <t>Steele Co</t>
  </si>
  <si>
    <t>Todd Co</t>
  </si>
  <si>
    <t>Wadena Co</t>
  </si>
  <si>
    <t>Freeborn Co</t>
  </si>
  <si>
    <t>Blue Earth Co</t>
  </si>
  <si>
    <t>Brown Co</t>
  </si>
  <si>
    <t>Cass Co</t>
  </si>
  <si>
    <t>Chisago Co</t>
  </si>
  <si>
    <t>Crow Wing Co</t>
  </si>
  <si>
    <t>Otter Tail Co</t>
  </si>
  <si>
    <t>Wabasha Co</t>
  </si>
  <si>
    <t>County</t>
  </si>
  <si>
    <t>Tax Rate</t>
  </si>
  <si>
    <t>Blue Earth County Transit Sales Tax (0.5%)</t>
  </si>
  <si>
    <t>Blue Earth County Transit Use Tax (0.5%)</t>
  </si>
  <si>
    <t>Brown County Transit Sales Tax (0.5%)</t>
  </si>
  <si>
    <t>Brown County Transit Use Tax (0.5%)</t>
  </si>
  <si>
    <t>Cass County Transit Sales Tax (0.5%)</t>
  </si>
  <si>
    <t>Cass County Transit Use Tax (0.5%)</t>
  </si>
  <si>
    <t>Chisago County Transit Sales Tax (0.5%)</t>
  </si>
  <si>
    <t>Chisago County Transit Use Tax (0.5%)</t>
  </si>
  <si>
    <t>Crow Wing County Transit Sales Tax (0.5%)</t>
  </si>
  <si>
    <t>Crow Wing County Transit Use Tax (0.5%)</t>
  </si>
  <si>
    <t>Freeborn County Transit Use Tax (0.5%)</t>
  </si>
  <si>
    <t>Otter Tail County Transit Sales Tax (0.5%)</t>
  </si>
  <si>
    <t>Otter Tail County Transit Use Tax (0.5%)</t>
  </si>
  <si>
    <t>Steele County Transit Sales Tax (0.5%)</t>
  </si>
  <si>
    <t>Wabasha County Transit Sales Tax (0.5%)</t>
  </si>
  <si>
    <t>Wabasha County Transit Use Tax (0.5%)</t>
  </si>
  <si>
    <t xml:space="preserve"> 2010*</t>
  </si>
  <si>
    <t>County  Total</t>
  </si>
  <si>
    <t xml:space="preserve">Becker County Transit Refunds </t>
  </si>
  <si>
    <t>Beltrami County Transit Refunds</t>
  </si>
  <si>
    <t>Blue Earth County Transit Refunds</t>
  </si>
  <si>
    <t>Brown County Transit Refunds</t>
  </si>
  <si>
    <t xml:space="preserve">Carlton County Transit Refunds </t>
  </si>
  <si>
    <t>Cass County Transit Refunds</t>
  </si>
  <si>
    <t>Chisago County Transit Refunds</t>
  </si>
  <si>
    <t>Crow Wing County Transit Refunds</t>
  </si>
  <si>
    <t>Douglas County Transit Refunds</t>
  </si>
  <si>
    <t>Fillmore County Transit Refunds</t>
  </si>
  <si>
    <t>Freeborn County Transit Refunds</t>
  </si>
  <si>
    <t>Hubbard County Transit Refunds</t>
  </si>
  <si>
    <t>Lyon County Transit Refunds</t>
  </si>
  <si>
    <t>Olmsted County Transit Refunds</t>
  </si>
  <si>
    <t xml:space="preserve">Otter Tail County Transit Refunds </t>
  </si>
  <si>
    <t>Rice County Transit Refunds</t>
  </si>
  <si>
    <t>Scott County Transit Refunds</t>
  </si>
  <si>
    <t xml:space="preserve">St. Louis County Transit Refunds </t>
  </si>
  <si>
    <t>Steele County Transit Refunds</t>
  </si>
  <si>
    <t>Todd County Transit Refunds</t>
  </si>
  <si>
    <t>Wabasha County Transit Refunds</t>
  </si>
  <si>
    <t>Wadena County Transit  Refunds</t>
  </si>
  <si>
    <t>Cook County Refunds</t>
  </si>
  <si>
    <t>Mille Lacs County Transit Sales Tax (0.5%)</t>
  </si>
  <si>
    <t>Mille Lacs County Transit Use (0.5%)</t>
  </si>
  <si>
    <t>Mille Lacs County Transit Refunds</t>
  </si>
  <si>
    <t>Lake County Transit Sales Tax (0.5%)</t>
  </si>
  <si>
    <t>Lake County Transit Use Tax (0.5%)</t>
  </si>
  <si>
    <t>Lake County Transit Refunds</t>
  </si>
  <si>
    <t>Pine County Transit Sales Tax (0.5%)</t>
  </si>
  <si>
    <t>Pine County Transit Use Tax (0.5%)</t>
  </si>
  <si>
    <t>Pine County Transit Refunds</t>
  </si>
  <si>
    <t>Winona County Transit Sales Tax (0.5%)</t>
  </si>
  <si>
    <t>Winona County Transit Use Tax (0.5%)</t>
  </si>
  <si>
    <t>Winona County Transit Refunds</t>
  </si>
  <si>
    <t>Cook County Transit Sales Tax (0.5%)</t>
  </si>
  <si>
    <t>Cook County Transit Use Tax (0.5%)</t>
  </si>
  <si>
    <t>Cook County Transit Refunds</t>
  </si>
  <si>
    <t>Lake Co</t>
  </si>
  <si>
    <t>Mille Lacs Co</t>
  </si>
  <si>
    <t>Pine Co</t>
  </si>
  <si>
    <t>Winona Co</t>
  </si>
  <si>
    <t>Cook Cty</t>
  </si>
  <si>
    <t>Hennepin Cty</t>
  </si>
  <si>
    <t>Anoka Co</t>
  </si>
  <si>
    <t>Carver Co</t>
  </si>
  <si>
    <t>Dakota Co</t>
  </si>
  <si>
    <t>Hennepin Co</t>
  </si>
  <si>
    <t>Ramsey Co</t>
  </si>
  <si>
    <t>Washington Co</t>
  </si>
  <si>
    <t>Wright Co</t>
  </si>
  <si>
    <t>Anoka County Transit Refunds</t>
  </si>
  <si>
    <t>Carver County Transit Sales Tax (0.5%)</t>
  </si>
  <si>
    <t>Carver County Transit Use (0.5%)</t>
  </si>
  <si>
    <t>Carver County Transit Refunds</t>
  </si>
  <si>
    <t>Clay County Transit Sales Tax (0.5%)</t>
  </si>
  <si>
    <t>Clay County Transit Use Tax (0.5%)</t>
  </si>
  <si>
    <t>Clay County Transit Refunds</t>
  </si>
  <si>
    <t>Dakota County Transit Sales Tax (0.25%)</t>
  </si>
  <si>
    <t>Dakota County Transit Use (0.25%)</t>
  </si>
  <si>
    <t>Dakota County Transit Refunds</t>
  </si>
  <si>
    <t>Anoka County Transit Sales Tax (0.25%)</t>
  </si>
  <si>
    <t>Anoka County Transit Use Tax (0.25%)</t>
  </si>
  <si>
    <t>Hennepin County Transit Sales Tax (0.5%)</t>
  </si>
  <si>
    <t>Hennepin County Transit Use (0.5%)</t>
  </si>
  <si>
    <t>Hennepin County Transit Refunds</t>
  </si>
  <si>
    <t>0.25%/0.50%</t>
  </si>
  <si>
    <t>2014/2017</t>
  </si>
  <si>
    <t>Olmsted County Transit Sales Tax (0.25% starting 2014; 0.5% since 7/1/2017)</t>
  </si>
  <si>
    <t>Olmsted County Transit Use Tax (0.25% starting 2014; 0.5% since 7/1/2017)</t>
  </si>
  <si>
    <t>Ramsey County Transit Sales Tax (0.5%)</t>
  </si>
  <si>
    <t>Ramsey County Transit Use Tax (0.5%)</t>
  </si>
  <si>
    <t>Ramsey County Transit Refunds</t>
  </si>
  <si>
    <t>Washington County Transit Sales Tax (0.25%)</t>
  </si>
  <si>
    <t>Washington County Transit Use Tax (0.25%)</t>
  </si>
  <si>
    <t>Washington County Transit Refunds</t>
  </si>
  <si>
    <t>Wright County Transit Sales Tax (0.5%)</t>
  </si>
  <si>
    <t>Wright County Transit Use (0.5%)</t>
  </si>
  <si>
    <t>Wright County Transit Refunds</t>
  </si>
  <si>
    <t>Metro Area Transit Improvement Local Sales Tax (0.25% effective 7/1/2008 to 9/30/2017 )</t>
  </si>
  <si>
    <t>Metro Area Transit Improvement Local Use Tax (0.25% effective 7/1/2008 to 9/30/2017)</t>
  </si>
  <si>
    <t>end of worksheet</t>
  </si>
  <si>
    <t>Table 3. County General Sales &amp; Use Taxes Total Collections</t>
  </si>
  <si>
    <t>-</t>
  </si>
  <si>
    <t>Hidden columns B-D do not contain any data for CY 2004-2006</t>
  </si>
  <si>
    <t>Hidden columns B-I do not contain any data for CY 2004-2011</t>
  </si>
  <si>
    <t>Hidden columns B-E do not contain any data for CY 2004-2007</t>
  </si>
  <si>
    <t>GKWMLL Sanitary Historical Minnesota Local Sales and Use Tax</t>
  </si>
  <si>
    <t>Garrison, Kathio, West Mille Lacs Sanitary District Sales Tax (1.0%)</t>
  </si>
  <si>
    <t>Garrison, Kathio, West Mille Lacs Sanitary District Refunds</t>
  </si>
  <si>
    <t>Garrison, Kathio, West Mille Lacs Sanitary District Use Tax (1.0%)</t>
  </si>
  <si>
    <t>Kandiyohi Co</t>
  </si>
  <si>
    <t>Kandiyohi County Transit Sales Tax (0.5%)</t>
  </si>
  <si>
    <t>Kandiyohi County Transit Use Tax (0.5%)</t>
  </si>
  <si>
    <t>Kandiyohi County Transit Refunds</t>
  </si>
  <si>
    <t>Morrison Co</t>
  </si>
  <si>
    <t>Morrison County Transit Sales Tax (0.5%)</t>
  </si>
  <si>
    <t>Morrison County Transit Use Tax (0.5%)</t>
  </si>
  <si>
    <t>Morrison County Transit Refunds</t>
  </si>
  <si>
    <t>Mower Co</t>
  </si>
  <si>
    <t>Mower County Transit Sales Tax (0.5%)</t>
  </si>
  <si>
    <t>Mower County Transit Use Tax (0.5%)</t>
  </si>
  <si>
    <t>Mower County Transit Refunds</t>
  </si>
  <si>
    <t>Nicollet Co</t>
  </si>
  <si>
    <t>Nicollet County Transit Sales Tax (0.5%)</t>
  </si>
  <si>
    <t>Nicollet County Transit Use Tax (0.5%)</t>
  </si>
  <si>
    <t>Nicollet County Transit Refunds</t>
  </si>
  <si>
    <t>Polk Co</t>
  </si>
  <si>
    <t>Polk County Transit Sales Tax (0.25%)</t>
  </si>
  <si>
    <t>Polk County Transit Use Tax (0.25%)</t>
  </si>
  <si>
    <t>Polk County Transit Refunds</t>
  </si>
  <si>
    <t>Stearns Co</t>
  </si>
  <si>
    <t>Stearns County Transit Sales Tax (0.25%)</t>
  </si>
  <si>
    <t>Stearns County Transit Use Tax (0.25%)</t>
  </si>
  <si>
    <t>Stearns County Transit Refunds</t>
  </si>
  <si>
    <t>Non-Transit Taxes:</t>
  </si>
  <si>
    <t>Transit Taxes:</t>
  </si>
  <si>
    <t>*Also 1994-2008.  Shaded cells show collections received net of refunds paid in months after the local tax in Cook County expired (3/31/08) &amp; before it resumed (4/1/10).</t>
  </si>
  <si>
    <t>Hidden columns D-I contain data for CY 2004-2009.</t>
  </si>
  <si>
    <t>This cell intentionally left blank</t>
  </si>
  <si>
    <t>Hidden columns B-N do not contain any data for CY 2004-2016</t>
  </si>
  <si>
    <t>Hidden columns B-K do not contain any data for CY 2004-2013</t>
  </si>
  <si>
    <t>Hidden columns B-M do not contain any data for CY 2004-2015</t>
  </si>
  <si>
    <t>Hidden columns B-L do not contain any data for CY 2004-2014</t>
  </si>
  <si>
    <t>Freeborn County Transit Sales Tax (0.5%)</t>
  </si>
  <si>
    <t>Kandiyohi County Historical Minnesota Local Sales &amp; Use Tax</t>
  </si>
  <si>
    <t>Hidden columns B-O do not contain any data for CY 2004-2017</t>
  </si>
  <si>
    <t>Hidden columns B-N do not contatin any data for CY 2004-2016</t>
  </si>
  <si>
    <t>Morrison County Historical Minnesota Local Sales &amp; Use Tax</t>
  </si>
  <si>
    <t>Mower County Historical Minnesota Local Sales &amp; Use Tax</t>
  </si>
  <si>
    <t>Nicollet County Historical Minnesota Local Sales &amp; Use Tax</t>
  </si>
  <si>
    <t>Clay Cty</t>
  </si>
  <si>
    <t>Dakota County Monthly Detail for Minnesota Local Sales &amp; Use Tax</t>
  </si>
  <si>
    <t>Winona County Monthly Detail for Minnesota Local Sales &amp; Use Tax</t>
  </si>
  <si>
    <t>Pine County Monthly Detail for Minnesota Local Sales &amp; Use Tax</t>
  </si>
  <si>
    <t>Polk County Monthly Detail for Minnesota Local Sales &amp; Use Tax</t>
  </si>
  <si>
    <t>Mille Lacs County Monthly Detail for Minnesota Local Sales &amp; Use Tax</t>
  </si>
  <si>
    <t>Lake County Monthly Detail for Minnesota Local Sales &amp; Use Tax</t>
  </si>
  <si>
    <t>Anoka County Monthly Detail for Minnesota Local Sales &amp; Use Tax</t>
  </si>
  <si>
    <t>Becker County Monthly Detail for Minnesota Local Sales &amp; Use Tax</t>
  </si>
  <si>
    <t>Beltrami County Monthly Detail for Minnesota Local Sales &amp; Use Tax</t>
  </si>
  <si>
    <t>Carlton County Monthly Detail for Minnesota Local Sales &amp; Use Tax</t>
  </si>
  <si>
    <t>Carver County Monthly Detail for Minnesota Local Sales &amp; Use Tax</t>
  </si>
  <si>
    <t>Clay County Monthly Detail for Minnesota Local Sales &amp; Use Tax</t>
  </si>
  <si>
    <t>Douglas County Monthly Detail for Minnesota Local Sales &amp; Use Tax</t>
  </si>
  <si>
    <t>Fillmore County Monthly Detail for Minnesota Local Sales &amp; Use Tax</t>
  </si>
  <si>
    <t>Hubbard County Monthly Detail for Minnesota Local Sales &amp; Use Tax</t>
  </si>
  <si>
    <t>Cook County Monthly Detail for Minnesota Local Sales &amp; Use Tax</t>
  </si>
  <si>
    <t>Lyon County Monthly Detail for Minnesota Local Sales &amp; Use Tax</t>
  </si>
  <si>
    <t>Olmsted County Monthly Detail for Minnesota Local Sales &amp; Use Tax</t>
  </si>
  <si>
    <t>Ramsey County Monthly Detail for Minnesota Local Sales &amp; Use Tax</t>
  </si>
  <si>
    <t>Rice County Monthly Detail for Minnesota Local Sales &amp; Use Tax</t>
  </si>
  <si>
    <t>Hennepin County Monthly Detail for Minnesota Local Sales &amp; Use Tax</t>
  </si>
  <si>
    <t>Scott County Monthly Detail for Minnesota Local Sales &amp; Use Tax</t>
  </si>
  <si>
    <t>St. Louis County Monthly Detail for Minnesota Local Sales &amp; Use Tax</t>
  </si>
  <si>
    <t>Stearns County Monthly Detail for Minnesota Local Sales &amp; Use Tax</t>
  </si>
  <si>
    <t>Steele County Monthly Detail for Minnesota Local Sales &amp; Use Tax</t>
  </si>
  <si>
    <t>Todd County Monthly Detail for Minnesota Local Sales &amp; Use Tax</t>
  </si>
  <si>
    <t>Wadena County Monthly Detail for Minnesota Local Sales &amp; Use Tax</t>
  </si>
  <si>
    <t xml:space="preserve">Washington County Monthly Detail for Minnesota Local Sales &amp; Use Tax </t>
  </si>
  <si>
    <t>Wright County Monthly Detail for Minnesota Local Sales &amp; Use Tax</t>
  </si>
  <si>
    <t>Freeborn County Monthly Detail for Minnesota Local Sales &amp; Use Tax</t>
  </si>
  <si>
    <t>Metro Area Transit Monthly Detail for Minnesota Local Sales &amp; Use Tax</t>
  </si>
  <si>
    <t>Blue Earth County Monthly Detail for Minnesota Local Sales &amp; Use Tax</t>
  </si>
  <si>
    <t>Brown County Monthly Detail for Minnesota Local Sales &amp; Use Tax</t>
  </si>
  <si>
    <t>Cass County Monthly Detail for Minnesota Local Sales &amp; Use Tax</t>
  </si>
  <si>
    <t>Chisago County Monthly Detail for Minnesota Local Sales &amp; Use Tax</t>
  </si>
  <si>
    <t>Crow Wing County Monthly Detail for Minnesota Local Sales &amp; Use Tax</t>
  </si>
  <si>
    <t>Otter Tail County Monthly Detail for Minnesota Local Sales &amp; Use Tax</t>
  </si>
  <si>
    <t>Wabasha County Monthly Detail for Minnesota Local Sales &amp; Use Tax</t>
  </si>
  <si>
    <t>Redwood County Monthly Detail for Minnesota Local Sales &amp; Use Tax</t>
  </si>
  <si>
    <t>Waseca County Monthly Detail for Minnesota Local Sales &amp; Use Tax</t>
  </si>
  <si>
    <t>Sherburne County Monthly Detail for Minnesota Local Sales &amp; Use Tax</t>
  </si>
  <si>
    <t>Goodhue County Monthly Detail for Minnesota Local Sales &amp; Use Tax</t>
  </si>
  <si>
    <t>Dodge County Monthly Detail for Minnesota Local Sales &amp; Use Tax</t>
  </si>
  <si>
    <t>Redwood County Transit Refunds</t>
  </si>
  <si>
    <t>Waseca County Transit Refunds</t>
  </si>
  <si>
    <t>Sherburne County Transit Refunds</t>
  </si>
  <si>
    <t>Dodge County Transit Refunds</t>
  </si>
  <si>
    <t>Redwood County Transit Sales Tax (0.5%)</t>
  </si>
  <si>
    <t>Redwood County Transit Use Tax (0.5%)</t>
  </si>
  <si>
    <t>Dodge County Transit Sales Tax (0.5%)</t>
  </si>
  <si>
    <t>Dodge County Transit Use Tax (0.5%)</t>
  </si>
  <si>
    <t>Goodhue County Transit Sales Tax (0.5%)</t>
  </si>
  <si>
    <t>Goodhue County Transit Use Tax (0.5%)</t>
  </si>
  <si>
    <t>Sherburne County Transit Sales Tax (0.5%)</t>
  </si>
  <si>
    <t>Sherburne County Transit Use Tax (0.5%)</t>
  </si>
  <si>
    <t>Waseca County Transit Sales Tax (0.5%)</t>
  </si>
  <si>
    <t>Waseca County Transit Use Tax (0.5%)</t>
  </si>
  <si>
    <t>Waseca Co</t>
  </si>
  <si>
    <t>Sherburne Co</t>
  </si>
  <si>
    <t>Redwood Co</t>
  </si>
  <si>
    <t>Goodhue Co</t>
  </si>
  <si>
    <t>Dodge Co</t>
  </si>
  <si>
    <t>Note: Cook County 1% sales &amp; use taxes originally began 1994 &amp; 2001 respectively, &amp; ended 3/31/2008. The taxes resumed 4/1/2010.</t>
  </si>
  <si>
    <t>Hidden columns B-P do not contain any data for CY 2004-2018</t>
  </si>
  <si>
    <t>Note: Local Sales &amp; Use Tax ended September 30, 2017. Collections in later months are late tax payments or refunds.</t>
  </si>
  <si>
    <t>N/A</t>
  </si>
  <si>
    <t>County &amp; Metro Area Total (excl. Refunds)</t>
  </si>
  <si>
    <t>County &amp; Metro Area Refunds</t>
  </si>
  <si>
    <r>
      <t xml:space="preserve">For detail by month through June 2020, </t>
    </r>
    <r>
      <rPr>
        <b/>
        <i/>
        <u/>
        <sz val="12"/>
        <rFont val="Calibri"/>
        <family val="2"/>
        <scheme val="minor"/>
      </rPr>
      <t>double</t>
    </r>
    <r>
      <rPr>
        <b/>
        <sz val="12"/>
        <rFont val="Calibri"/>
        <family val="2"/>
        <scheme val="minor"/>
      </rPr>
      <t xml:space="preserve"> click on links.</t>
    </r>
  </si>
  <si>
    <t>CY 2004-2020</t>
  </si>
  <si>
    <t>Note: Metro Area Transit Counties are Anoka, Dakota, Hennepin, Ramsey, &amp; Washington.</t>
  </si>
  <si>
    <t>Isanti Co</t>
  </si>
  <si>
    <t>Isanti County Monthly Detail for Minnesota Local Sales &amp; Use Tax</t>
  </si>
  <si>
    <t>Isanti County Transit Sales Tax (0.5%)</t>
  </si>
  <si>
    <t>Isanti County Transit Use Tax (0.5%)</t>
  </si>
  <si>
    <t>Isanti County Transit Refunds</t>
  </si>
  <si>
    <t>Benton Co</t>
  </si>
  <si>
    <t>Benton County Monthly Detail for Minnesota Local Sales &amp; Use Tax</t>
  </si>
  <si>
    <t>Benton County Transit Sales Tax (0.5%)</t>
  </si>
  <si>
    <t>Benton County Transit Use Tax (0.5%)</t>
  </si>
  <si>
    <t>Benton County Transit Refunds</t>
  </si>
  <si>
    <t>Kanabec Co</t>
  </si>
  <si>
    <t>McLeod Co</t>
  </si>
  <si>
    <t>Kanabec County Monthly Detail for Minnesota Local Sales &amp; Use Tax</t>
  </si>
  <si>
    <t>Kanabec County Transit Sales Tax (0.5%)</t>
  </si>
  <si>
    <t>Kanabec County Transit Use Tax (0.5%)</t>
  </si>
  <si>
    <t>Kanabec County Transit Refunds</t>
  </si>
  <si>
    <t>Hidden columns B-Q do not contain any data for CY 2004-2019</t>
  </si>
  <si>
    <t>McLeod County Monthly Detail for Minnesota Local Sales &amp; Use Tax</t>
  </si>
  <si>
    <t>McLeod County Transit Sales Tax (0.5%)</t>
  </si>
  <si>
    <t>McLeod County Transit Use Tax (0.5%)</t>
  </si>
  <si>
    <t>McLeod County Transit Refunds</t>
  </si>
  <si>
    <t>Source:  Minnesota Department of Revenue, Tax Research Division, February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</si>
</sst>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* #,##0_);_(* \(#,##0\);_(* &quot;-&quot;??_);_(@_)"/>
    <numFmt numFmtId="166" formatCode="m/yyyy"/>
    <numFmt numFmtId="167" formatCode="_(&quot;$&quot;* #,##0_);_(&quot;$&quot;* \(#,##0\);_(&quot;$&quot;* &quot;-&quot;??_);_(@_)"/>
    <numFmt numFmtId="168" formatCode="_(&quot;$&quot;* #,##0_);_(&quot;$&quot;* \(#,##0\);_(&quot;$&quot;* 0_);_(@_)"/>
  </numFmts>
  <fonts count="34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i/>
      <u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9BCBEB"/>
        <bgColor indexed="64"/>
      </patternFill>
    </fill>
    <fill>
      <patternFill patternType="solid">
        <fgColor rgb="FFD9D9D6"/>
        <bgColor indexed="64"/>
      </patternFill>
    </fill>
    <fill>
      <patternFill patternType="solid">
        <fgColor rgb="FF78BE21"/>
        <bgColor indexed="64"/>
      </patternFill>
    </fill>
    <fill>
      <patternFill patternType="solid">
        <fgColor rgb="FF78BE21"/>
        <bgColor rgb="FF000000"/>
      </patternFill>
    </fill>
    <fill>
      <patternFill patternType="solid">
        <fgColor rgb="FFFFC000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slantDashDot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slantDashDot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thin">
        <color indexed="64"/>
      </left>
      <right style="dashed">
        <color indexed="64"/>
      </right>
      <top style="slantDashDot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slantDashDot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slantDashDot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/>
      <bottom/>
      <diagonal/>
    </border>
    <border>
      <left style="thin">
        <color indexed="64"/>
      </left>
      <right style="mediumDashDot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DashDot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/>
      <diagonal/>
    </border>
    <border>
      <left style="slantDashDot">
        <color indexed="64"/>
      </left>
      <right style="mediumDashDotDot">
        <color indexed="64"/>
      </right>
      <top style="thin">
        <color indexed="64"/>
      </top>
      <bottom style="double">
        <color indexed="64"/>
      </bottom>
      <diagonal/>
    </border>
    <border>
      <left style="mediumDashDot">
        <color indexed="64"/>
      </left>
      <right style="mediumDashDotDot">
        <color indexed="64"/>
      </right>
      <top style="dashed">
        <color indexed="64"/>
      </top>
      <bottom style="slantDashDot">
        <color indexed="64"/>
      </bottom>
      <diagonal/>
    </border>
    <border>
      <left style="mediumDashDot">
        <color indexed="64"/>
      </left>
      <right style="mediumDashDotDot">
        <color indexed="64"/>
      </right>
      <top style="dashed">
        <color indexed="64"/>
      </top>
      <bottom style="dashed">
        <color indexed="64"/>
      </bottom>
      <diagonal/>
    </border>
    <border>
      <left style="mediumDashDot">
        <color indexed="64"/>
      </left>
      <right style="mediumDashDotDot">
        <color indexed="64"/>
      </right>
      <top style="thin">
        <color indexed="64"/>
      </top>
      <bottom style="dashed">
        <color indexed="64"/>
      </bottom>
      <diagonal/>
    </border>
    <border>
      <left style="mediumDashDot">
        <color indexed="64"/>
      </left>
      <right style="mediumDashDotDot">
        <color indexed="64"/>
      </right>
      <top style="dashed">
        <color indexed="64"/>
      </top>
      <bottom style="thin">
        <color indexed="64"/>
      </bottom>
      <diagonal/>
    </border>
    <border>
      <left style="mediumDashDotDot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DashDotDot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DashDot">
        <color indexed="64"/>
      </left>
      <right style="mediumDashDot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medium">
        <color indexed="64"/>
      </right>
      <top style="double">
        <color indexed="64"/>
      </top>
      <bottom/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mediumDashed">
        <color indexed="64"/>
      </bottom>
      <diagonal/>
    </border>
    <border>
      <left style="dashed">
        <color indexed="64"/>
      </left>
      <right style="dashed">
        <color indexed="64"/>
      </right>
      <top style="mediumDashed">
        <color indexed="64"/>
      </top>
      <bottom style="thin">
        <color indexed="64"/>
      </bottom>
      <diagonal/>
    </border>
    <border>
      <left/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slantDashDot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DashDot">
        <color indexed="64"/>
      </left>
      <right style="mediumDashDotDot">
        <color indexed="64"/>
      </right>
      <top/>
      <bottom style="dashed">
        <color indexed="64"/>
      </bottom>
      <diagonal/>
    </border>
  </borders>
  <cellStyleXfs count="8">
    <xf numFmtId="0" fontId="0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59">
    <xf numFmtId="0" fontId="0" fillId="0" borderId="0" xfId="0"/>
    <xf numFmtId="0" fontId="8" fillId="0" borderId="0" xfId="0" applyFont="1"/>
    <xf numFmtId="0" fontId="11" fillId="2" borderId="3" xfId="0" applyNumberFormat="1" applyFont="1" applyFill="1" applyBorder="1" applyAlignment="1">
      <alignment horizontal="center"/>
    </xf>
    <xf numFmtId="37" fontId="10" fillId="0" borderId="4" xfId="0" applyNumberFormat="1" applyFont="1" applyBorder="1"/>
    <xf numFmtId="5" fontId="10" fillId="0" borderId="5" xfId="0" applyNumberFormat="1" applyFont="1" applyBorder="1"/>
    <xf numFmtId="0" fontId="11" fillId="3" borderId="3" xfId="0" applyFont="1" applyFill="1" applyBorder="1" applyAlignment="1">
      <alignment horizontal="center"/>
    </xf>
    <xf numFmtId="0" fontId="10" fillId="0" borderId="8" xfId="0" applyFont="1" applyFill="1" applyBorder="1" applyAlignment="1">
      <alignment horizontal="left"/>
    </xf>
    <xf numFmtId="0" fontId="7" fillId="0" borderId="0" xfId="0" applyFont="1"/>
    <xf numFmtId="37" fontId="10" fillId="0" borderId="4" xfId="0" applyNumberFormat="1" applyFont="1" applyBorder="1" applyAlignment="1">
      <alignment horizontal="right"/>
    </xf>
    <xf numFmtId="0" fontId="0" fillId="0" borderId="0" xfId="0" applyFont="1"/>
    <xf numFmtId="5" fontId="10" fillId="0" borderId="5" xfId="0" applyNumberFormat="1" applyFont="1" applyBorder="1" applyAlignment="1">
      <alignment horizontal="right"/>
    </xf>
    <xf numFmtId="0" fontId="11" fillId="2" borderId="6" xfId="0" applyFont="1" applyFill="1" applyBorder="1" applyAlignment="1">
      <alignment horizontal="center"/>
    </xf>
    <xf numFmtId="0" fontId="11" fillId="2" borderId="6" xfId="0" applyNumberFormat="1" applyFont="1" applyFill="1" applyBorder="1" applyAlignment="1">
      <alignment horizontal="center"/>
    </xf>
    <xf numFmtId="0" fontId="10" fillId="0" borderId="6" xfId="0" applyFont="1" applyBorder="1" applyAlignment="1">
      <alignment horizontal="left"/>
    </xf>
    <xf numFmtId="5" fontId="10" fillId="0" borderId="6" xfId="1" applyNumberFormat="1" applyFont="1" applyBorder="1"/>
    <xf numFmtId="5" fontId="10" fillId="0" borderId="6" xfId="0" applyNumberFormat="1" applyFont="1" applyBorder="1"/>
    <xf numFmtId="5" fontId="10" fillId="0" borderId="6" xfId="0" applyNumberFormat="1" applyFont="1" applyBorder="1" applyAlignment="1">
      <alignment horizontal="right"/>
    </xf>
    <xf numFmtId="37" fontId="10" fillId="0" borderId="6" xfId="1" applyNumberFormat="1" applyFont="1" applyBorder="1"/>
    <xf numFmtId="37" fontId="10" fillId="0" borderId="6" xfId="0" applyNumberFormat="1" applyFont="1" applyBorder="1"/>
    <xf numFmtId="37" fontId="10" fillId="0" borderId="6" xfId="0" applyNumberFormat="1" applyFont="1" applyBorder="1" applyAlignment="1">
      <alignment horizontal="right"/>
    </xf>
    <xf numFmtId="0" fontId="10" fillId="0" borderId="9" xfId="0" applyFont="1" applyBorder="1" applyAlignment="1">
      <alignment horizontal="left"/>
    </xf>
    <xf numFmtId="37" fontId="10" fillId="0" borderId="9" xfId="1" applyNumberFormat="1" applyFont="1" applyBorder="1"/>
    <xf numFmtId="37" fontId="10" fillId="0" borderId="9" xfId="0" applyNumberFormat="1" applyFont="1" applyBorder="1"/>
    <xf numFmtId="37" fontId="10" fillId="0" borderId="9" xfId="0" applyNumberFormat="1" applyFont="1" applyBorder="1" applyAlignment="1">
      <alignment horizontal="right"/>
    </xf>
    <xf numFmtId="0" fontId="10" fillId="0" borderId="10" xfId="0" applyFont="1" applyBorder="1" applyAlignment="1">
      <alignment horizontal="center"/>
    </xf>
    <xf numFmtId="5" fontId="10" fillId="0" borderId="10" xfId="0" applyNumberFormat="1" applyFont="1" applyBorder="1"/>
    <xf numFmtId="5" fontId="10" fillId="0" borderId="10" xfId="0" applyNumberFormat="1" applyFont="1" applyBorder="1" applyAlignment="1">
      <alignment horizontal="right"/>
    </xf>
    <xf numFmtId="0" fontId="11" fillId="3" borderId="6" xfId="0" applyFont="1" applyFill="1" applyBorder="1" applyAlignment="1">
      <alignment horizontal="center"/>
    </xf>
    <xf numFmtId="6" fontId="16" fillId="5" borderId="33" xfId="4" applyNumberFormat="1" applyFont="1" applyFill="1" applyBorder="1" applyAlignment="1">
      <alignment vertical="center"/>
    </xf>
    <xf numFmtId="6" fontId="16" fillId="5" borderId="28" xfId="4" applyNumberFormat="1" applyFont="1" applyFill="1" applyBorder="1" applyAlignment="1">
      <alignment vertical="center"/>
    </xf>
    <xf numFmtId="6" fontId="16" fillId="5" borderId="31" xfId="4" applyNumberFormat="1" applyFont="1" applyFill="1" applyBorder="1" applyAlignment="1">
      <alignment vertical="center"/>
    </xf>
    <xf numFmtId="6" fontId="16" fillId="5" borderId="26" xfId="4" applyNumberFormat="1" applyFont="1" applyFill="1" applyBorder="1" applyAlignment="1">
      <alignment vertical="center"/>
    </xf>
    <xf numFmtId="0" fontId="18" fillId="6" borderId="35" xfId="0" applyFont="1" applyFill="1" applyBorder="1" applyAlignment="1">
      <alignment horizontal="center" vertical="center"/>
    </xf>
    <xf numFmtId="0" fontId="18" fillId="6" borderId="40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/>
    </xf>
    <xf numFmtId="0" fontId="18" fillId="6" borderId="15" xfId="0" applyFont="1" applyFill="1" applyBorder="1" applyAlignment="1">
      <alignment horizontal="center" vertical="center"/>
    </xf>
    <xf numFmtId="0" fontId="18" fillId="6" borderId="15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left" vertical="center"/>
    </xf>
    <xf numFmtId="0" fontId="22" fillId="0" borderId="19" xfId="0" applyFont="1" applyFill="1" applyBorder="1" applyAlignment="1">
      <alignment horizontal="right" vertical="center"/>
    </xf>
    <xf numFmtId="0" fontId="22" fillId="0" borderId="13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 wrapText="1"/>
    </xf>
    <xf numFmtId="0" fontId="20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38" fontId="22" fillId="0" borderId="7" xfId="0" applyNumberFormat="1" applyFont="1" applyBorder="1" applyAlignment="1">
      <alignment vertical="center"/>
    </xf>
    <xf numFmtId="6" fontId="22" fillId="0" borderId="18" xfId="0" applyNumberFormat="1" applyFont="1" applyBorder="1" applyAlignment="1">
      <alignment vertical="center"/>
    </xf>
    <xf numFmtId="6" fontId="22" fillId="0" borderId="14" xfId="0" applyNumberFormat="1" applyFont="1" applyBorder="1" applyAlignment="1">
      <alignment vertical="center"/>
    </xf>
    <xf numFmtId="0" fontId="16" fillId="0" borderId="43" xfId="4" quotePrefix="1" applyFont="1" applyBorder="1" applyAlignment="1">
      <alignment horizontal="center" vertical="center"/>
    </xf>
    <xf numFmtId="38" fontId="22" fillId="0" borderId="13" xfId="0" applyNumberFormat="1" applyFont="1" applyBorder="1" applyAlignment="1">
      <alignment vertical="center"/>
    </xf>
    <xf numFmtId="38" fontId="22" fillId="0" borderId="49" xfId="0" applyNumberFormat="1" applyFont="1" applyBorder="1" applyAlignment="1">
      <alignment vertical="center"/>
    </xf>
    <xf numFmtId="10" fontId="22" fillId="0" borderId="41" xfId="0" applyNumberFormat="1" applyFont="1" applyBorder="1" applyAlignment="1">
      <alignment horizontal="center" vertical="center"/>
    </xf>
    <xf numFmtId="6" fontId="22" fillId="0" borderId="18" xfId="0" applyNumberFormat="1" applyFont="1" applyBorder="1" applyAlignment="1">
      <alignment horizontal="right" vertical="center"/>
    </xf>
    <xf numFmtId="6" fontId="22" fillId="0" borderId="14" xfId="0" applyNumberFormat="1" applyFont="1" applyBorder="1" applyAlignment="1">
      <alignment horizontal="right" vertical="center"/>
    </xf>
    <xf numFmtId="38" fontId="22" fillId="0" borderId="14" xfId="0" applyNumberFormat="1" applyFont="1" applyBorder="1" applyAlignment="1">
      <alignment vertical="center"/>
    </xf>
    <xf numFmtId="0" fontId="16" fillId="0" borderId="38" xfId="4" quotePrefix="1" applyFont="1" applyBorder="1" applyAlignment="1">
      <alignment horizontal="center" vertical="center"/>
    </xf>
    <xf numFmtId="38" fontId="22" fillId="0" borderId="16" xfId="0" applyNumberFormat="1" applyFont="1" applyBorder="1" applyAlignment="1">
      <alignment horizontal="right" vertical="center"/>
    </xf>
    <xf numFmtId="38" fontId="22" fillId="0" borderId="11" xfId="0" applyNumberFormat="1" applyFont="1" applyBorder="1" applyAlignment="1">
      <alignment horizontal="right" vertical="center"/>
    </xf>
    <xf numFmtId="38" fontId="22" fillId="0" borderId="11" xfId="0" applyNumberFormat="1" applyFont="1" applyBorder="1" applyAlignment="1">
      <alignment vertical="center"/>
    </xf>
    <xf numFmtId="166" fontId="22" fillId="0" borderId="16" xfId="4" applyNumberFormat="1" applyFont="1" applyBorder="1" applyAlignment="1">
      <alignment horizontal="right" vertical="center"/>
    </xf>
    <xf numFmtId="166" fontId="22" fillId="0" borderId="11" xfId="4" applyNumberFormat="1" applyFont="1" applyBorder="1" applyAlignment="1">
      <alignment horizontal="right" vertical="center"/>
    </xf>
    <xf numFmtId="6" fontId="22" fillId="0" borderId="16" xfId="0" applyNumberFormat="1" applyFont="1" applyBorder="1" applyAlignment="1">
      <alignment horizontal="right" vertical="center"/>
    </xf>
    <xf numFmtId="6" fontId="22" fillId="0" borderId="11" xfId="0" applyNumberFormat="1" applyFont="1" applyBorder="1" applyAlignment="1">
      <alignment horizontal="right" vertical="center"/>
    </xf>
    <xf numFmtId="0" fontId="16" fillId="0" borderId="39" xfId="4" quotePrefix="1" applyFont="1" applyBorder="1" applyAlignment="1">
      <alignment horizontal="center" vertical="center"/>
    </xf>
    <xf numFmtId="38" fontId="22" fillId="0" borderId="23" xfId="0" applyNumberFormat="1" applyFont="1" applyBorder="1" applyAlignment="1">
      <alignment horizontal="right" vertical="center"/>
    </xf>
    <xf numFmtId="38" fontId="22" fillId="0" borderId="20" xfId="0" applyNumberFormat="1" applyFont="1" applyBorder="1" applyAlignment="1">
      <alignment horizontal="right" vertical="center"/>
    </xf>
    <xf numFmtId="38" fontId="22" fillId="0" borderId="25" xfId="0" applyNumberFormat="1" applyFont="1" applyBorder="1" applyAlignment="1">
      <alignment horizontal="right" vertical="center"/>
    </xf>
    <xf numFmtId="38" fontId="22" fillId="0" borderId="20" xfId="0" applyNumberFormat="1" applyFont="1" applyBorder="1" applyAlignment="1">
      <alignment vertical="center"/>
    </xf>
    <xf numFmtId="0" fontId="22" fillId="0" borderId="27" xfId="0" applyFont="1" applyBorder="1" applyAlignment="1">
      <alignment horizontal="right" vertical="center"/>
    </xf>
    <xf numFmtId="0" fontId="22" fillId="0" borderId="34" xfId="0" applyFont="1" applyBorder="1" applyAlignment="1">
      <alignment horizontal="right" vertical="center"/>
    </xf>
    <xf numFmtId="0" fontId="22" fillId="0" borderId="29" xfId="0" applyFont="1" applyBorder="1" applyAlignment="1">
      <alignment horizontal="right" vertical="center"/>
    </xf>
    <xf numFmtId="5" fontId="22" fillId="0" borderId="34" xfId="0" applyNumberFormat="1" applyFont="1" applyBorder="1" applyAlignment="1">
      <alignment vertical="center"/>
    </xf>
    <xf numFmtId="6" fontId="16" fillId="4" borderId="22" xfId="0" applyNumberFormat="1" applyFont="1" applyFill="1" applyBorder="1" applyAlignment="1">
      <alignment vertical="center"/>
    </xf>
    <xf numFmtId="6" fontId="22" fillId="4" borderId="21" xfId="0" applyNumberFormat="1" applyFont="1" applyFill="1" applyBorder="1" applyAlignment="1">
      <alignment vertical="center"/>
    </xf>
    <xf numFmtId="164" fontId="22" fillId="4" borderId="21" xfId="0" applyNumberFormat="1" applyFont="1" applyFill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5" fontId="16" fillId="0" borderId="11" xfId="0" applyNumberFormat="1" applyFont="1" applyBorder="1" applyAlignment="1">
      <alignment horizontal="right" vertical="center"/>
    </xf>
    <xf numFmtId="37" fontId="16" fillId="0" borderId="11" xfId="0" applyNumberFormat="1" applyFont="1" applyBorder="1" applyAlignment="1">
      <alignment horizontal="right" vertical="center"/>
    </xf>
    <xf numFmtId="37" fontId="16" fillId="0" borderId="11" xfId="1" applyNumberFormat="1" applyFont="1" applyBorder="1" applyAlignment="1">
      <alignment horizontal="right" vertical="center"/>
    </xf>
    <xf numFmtId="165" fontId="16" fillId="0" borderId="11" xfId="0" applyNumberFormat="1" applyFont="1" applyBorder="1" applyAlignment="1">
      <alignment horizontal="right" vertical="center"/>
    </xf>
    <xf numFmtId="37" fontId="16" fillId="0" borderId="16" xfId="0" applyNumberFormat="1" applyFont="1" applyBorder="1" applyAlignment="1">
      <alignment horizontal="right" vertical="center"/>
    </xf>
    <xf numFmtId="37" fontId="16" fillId="0" borderId="16" xfId="1" applyNumberFormat="1" applyFont="1" applyBorder="1" applyAlignment="1">
      <alignment horizontal="right" vertical="center"/>
    </xf>
    <xf numFmtId="165" fontId="16" fillId="0" borderId="16" xfId="0" applyNumberFormat="1" applyFont="1" applyBorder="1" applyAlignment="1">
      <alignment horizontal="right" vertical="center"/>
    </xf>
    <xf numFmtId="165" fontId="16" fillId="0" borderId="55" xfId="1" applyNumberFormat="1" applyFont="1" applyBorder="1" applyAlignment="1">
      <alignment horizontal="right" vertical="center"/>
    </xf>
    <xf numFmtId="165" fontId="16" fillId="0" borderId="56" xfId="1" applyNumberFormat="1" applyFont="1" applyBorder="1" applyAlignment="1">
      <alignment horizontal="right" vertical="center"/>
    </xf>
    <xf numFmtId="37" fontId="16" fillId="0" borderId="56" xfId="0" applyNumberFormat="1" applyFont="1" applyBorder="1" applyAlignment="1">
      <alignment horizontal="right" vertical="center"/>
    </xf>
    <xf numFmtId="165" fontId="16" fillId="0" borderId="56" xfId="0" applyNumberFormat="1" applyFont="1" applyBorder="1" applyAlignment="1">
      <alignment horizontal="right" vertical="center"/>
    </xf>
    <xf numFmtId="37" fontId="16" fillId="0" borderId="55" xfId="1" applyNumberFormat="1" applyFont="1" applyBorder="1" applyAlignment="1">
      <alignment horizontal="right" vertical="center"/>
    </xf>
    <xf numFmtId="37" fontId="16" fillId="0" borderId="56" xfId="1" applyNumberFormat="1" applyFont="1" applyBorder="1" applyAlignment="1">
      <alignment horizontal="right" vertical="center"/>
    </xf>
    <xf numFmtId="5" fontId="16" fillId="0" borderId="18" xfId="0" applyNumberFormat="1" applyFont="1" applyBorder="1" applyAlignment="1">
      <alignment horizontal="right" vertical="center"/>
    </xf>
    <xf numFmtId="5" fontId="16" fillId="0" borderId="14" xfId="0" applyNumberFormat="1" applyFont="1" applyBorder="1" applyAlignment="1">
      <alignment horizontal="right" vertical="center"/>
    </xf>
    <xf numFmtId="0" fontId="15" fillId="6" borderId="42" xfId="0" applyFont="1" applyFill="1" applyBorder="1" applyAlignment="1">
      <alignment horizontal="left" vertical="center"/>
    </xf>
    <xf numFmtId="0" fontId="15" fillId="6" borderId="17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5" xfId="0" applyNumberFormat="1" applyFont="1" applyFill="1" applyBorder="1" applyAlignment="1">
      <alignment horizontal="center" vertical="center"/>
    </xf>
    <xf numFmtId="0" fontId="16" fillId="4" borderId="52" xfId="0" applyFont="1" applyFill="1" applyBorder="1" applyAlignment="1">
      <alignment horizontal="left" vertical="center"/>
    </xf>
    <xf numFmtId="5" fontId="16" fillId="4" borderId="53" xfId="0" applyNumberFormat="1" applyFont="1" applyFill="1" applyBorder="1" applyAlignment="1">
      <alignment horizontal="right" vertical="center"/>
    </xf>
    <xf numFmtId="5" fontId="16" fillId="4" borderId="24" xfId="0" applyNumberFormat="1" applyFont="1" applyFill="1" applyBorder="1" applyAlignment="1">
      <alignment horizontal="right" vertical="center"/>
    </xf>
    <xf numFmtId="0" fontId="16" fillId="0" borderId="57" xfId="0" applyFont="1" applyBorder="1" applyAlignment="1">
      <alignment horizontal="left" vertical="center" indent="1"/>
    </xf>
    <xf numFmtId="0" fontId="16" fillId="0" borderId="51" xfId="0" applyFont="1" applyBorder="1" applyAlignment="1">
      <alignment horizontal="left" vertical="center" indent="1"/>
    </xf>
    <xf numFmtId="0" fontId="16" fillId="0" borderId="54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right" vertical="center"/>
    </xf>
    <xf numFmtId="0" fontId="0" fillId="0" borderId="59" xfId="0" applyFont="1" applyBorder="1" applyAlignment="1">
      <alignment horizontal="right" vertical="center"/>
    </xf>
    <xf numFmtId="0" fontId="0" fillId="0" borderId="16" xfId="0" applyFont="1" applyBorder="1" applyAlignment="1">
      <alignment horizontal="right" vertical="center"/>
    </xf>
    <xf numFmtId="0" fontId="0" fillId="0" borderId="61" xfId="0" applyFont="1" applyBorder="1" applyAlignment="1">
      <alignment horizontal="right" vertical="center"/>
    </xf>
    <xf numFmtId="0" fontId="0" fillId="0" borderId="27" xfId="0" applyFont="1" applyBorder="1" applyAlignment="1">
      <alignment horizontal="right" vertical="center"/>
    </xf>
    <xf numFmtId="0" fontId="0" fillId="0" borderId="11" xfId="0" applyFont="1" applyBorder="1" applyAlignment="1">
      <alignment horizontal="right" vertical="center"/>
    </xf>
    <xf numFmtId="0" fontId="0" fillId="0" borderId="58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26" xfId="0" applyFont="1" applyBorder="1" applyAlignment="1">
      <alignment horizontal="right" vertical="center"/>
    </xf>
    <xf numFmtId="0" fontId="0" fillId="0" borderId="29" xfId="0" applyFont="1" applyBorder="1" applyAlignment="1">
      <alignment horizontal="right" vertical="center"/>
    </xf>
    <xf numFmtId="37" fontId="16" fillId="0" borderId="60" xfId="0" applyNumberFormat="1" applyFont="1" applyBorder="1" applyAlignment="1">
      <alignment horizontal="right" vertical="center"/>
    </xf>
    <xf numFmtId="0" fontId="15" fillId="6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5" fontId="16" fillId="0" borderId="14" xfId="1" applyNumberFormat="1" applyFont="1" applyBorder="1" applyAlignment="1">
      <alignment horizontal="right" vertical="center"/>
    </xf>
    <xf numFmtId="5" fontId="16" fillId="0" borderId="18" xfId="1" applyNumberFormat="1" applyFont="1" applyBorder="1" applyAlignment="1">
      <alignment horizontal="right" vertical="center"/>
    </xf>
    <xf numFmtId="37" fontId="16" fillId="0" borderId="11" xfId="0" quotePrefix="1" applyNumberFormat="1" applyFont="1" applyBorder="1" applyAlignment="1">
      <alignment horizontal="right" vertical="center"/>
    </xf>
    <xf numFmtId="37" fontId="16" fillId="0" borderId="55" xfId="0" applyNumberFormat="1" applyFont="1" applyBorder="1" applyAlignment="1">
      <alignment horizontal="right" vertical="center"/>
    </xf>
    <xf numFmtId="0" fontId="15" fillId="7" borderId="42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15" fillId="6" borderId="66" xfId="0" applyFont="1" applyFill="1" applyBorder="1" applyAlignment="1">
      <alignment horizontal="center" vertical="center"/>
    </xf>
    <xf numFmtId="0" fontId="15" fillId="6" borderId="66" xfId="0" applyNumberFormat="1" applyFont="1" applyFill="1" applyBorder="1" applyAlignment="1">
      <alignment horizontal="center" vertical="center"/>
    </xf>
    <xf numFmtId="37" fontId="16" fillId="0" borderId="14" xfId="1" applyNumberFormat="1" applyFont="1" applyBorder="1" applyAlignment="1">
      <alignment horizontal="right" vertical="center"/>
    </xf>
    <xf numFmtId="37" fontId="16" fillId="0" borderId="14" xfId="0" applyNumberFormat="1" applyFont="1" applyBorder="1" applyAlignment="1">
      <alignment horizontal="right" vertical="center"/>
    </xf>
    <xf numFmtId="0" fontId="15" fillId="6" borderId="67" xfId="0" applyFont="1" applyFill="1" applyBorder="1" applyAlignment="1">
      <alignment horizontal="center" vertical="center"/>
    </xf>
    <xf numFmtId="37" fontId="16" fillId="0" borderId="18" xfId="1" applyNumberFormat="1" applyFont="1" applyBorder="1" applyAlignment="1">
      <alignment horizontal="right" vertical="center"/>
    </xf>
    <xf numFmtId="0" fontId="15" fillId="6" borderId="68" xfId="0" applyFont="1" applyFill="1" applyBorder="1" applyAlignment="1">
      <alignment horizontal="left" vertical="center"/>
    </xf>
    <xf numFmtId="5" fontId="16" fillId="0" borderId="56" xfId="1" applyNumberFormat="1" applyFont="1" applyBorder="1" applyAlignment="1">
      <alignment horizontal="right" vertical="center"/>
    </xf>
    <xf numFmtId="37" fontId="16" fillId="0" borderId="18" xfId="0" applyNumberFormat="1" applyFont="1" applyBorder="1" applyAlignment="1">
      <alignment horizontal="right" vertical="center"/>
    </xf>
    <xf numFmtId="0" fontId="15" fillId="7" borderId="68" xfId="0" applyFont="1" applyFill="1" applyBorder="1" applyAlignment="1">
      <alignment horizontal="left" vertical="center"/>
    </xf>
    <xf numFmtId="0" fontId="15" fillId="7" borderId="67" xfId="0" applyFont="1" applyFill="1" applyBorder="1" applyAlignment="1">
      <alignment horizontal="center" vertical="center"/>
    </xf>
    <xf numFmtId="0" fontId="15" fillId="7" borderId="66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0" fontId="16" fillId="0" borderId="69" xfId="0" applyFont="1" applyBorder="1" applyAlignment="1">
      <alignment horizontal="left" vertical="center" indent="1"/>
    </xf>
    <xf numFmtId="37" fontId="16" fillId="0" borderId="16" xfId="1" quotePrefix="1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167" fontId="22" fillId="0" borderId="50" xfId="7" applyNumberFormat="1" applyFont="1" applyBorder="1" applyAlignment="1">
      <alignment horizontal="right" vertical="center"/>
    </xf>
    <xf numFmtId="165" fontId="22" fillId="0" borderId="46" xfId="6" applyNumberFormat="1" applyFont="1" applyBorder="1" applyAlignment="1">
      <alignment horizontal="right" vertical="center"/>
    </xf>
    <xf numFmtId="165" fontId="22" fillId="0" borderId="4" xfId="6" applyNumberFormat="1" applyFont="1" applyBorder="1" applyAlignment="1">
      <alignment horizontal="right" vertical="center"/>
    </xf>
    <xf numFmtId="165" fontId="22" fillId="0" borderId="45" xfId="6" applyNumberFormat="1" applyFont="1" applyBorder="1" applyAlignment="1">
      <alignment horizontal="right" vertical="center"/>
    </xf>
    <xf numFmtId="167" fontId="16" fillId="5" borderId="28" xfId="7" applyNumberFormat="1" applyFont="1" applyFill="1" applyBorder="1" applyAlignment="1">
      <alignment vertical="center"/>
    </xf>
    <xf numFmtId="167" fontId="16" fillId="5" borderId="31" xfId="7" applyNumberFormat="1" applyFont="1" applyFill="1" applyBorder="1" applyAlignment="1">
      <alignment vertical="center"/>
    </xf>
    <xf numFmtId="167" fontId="22" fillId="0" borderId="34" xfId="7" applyNumberFormat="1" applyFont="1" applyBorder="1" applyAlignment="1">
      <alignment vertical="center"/>
    </xf>
    <xf numFmtId="167" fontId="22" fillId="0" borderId="29" xfId="7" applyNumberFormat="1" applyFont="1" applyBorder="1" applyAlignment="1">
      <alignment vertical="center"/>
    </xf>
    <xf numFmtId="167" fontId="22" fillId="0" borderId="26" xfId="7" applyNumberFormat="1" applyFont="1" applyBorder="1" applyAlignment="1">
      <alignment vertical="center"/>
    </xf>
    <xf numFmtId="167" fontId="22" fillId="0" borderId="14" xfId="7" applyNumberFormat="1" applyFont="1" applyFill="1" applyBorder="1" applyAlignment="1">
      <alignment vertical="center"/>
    </xf>
    <xf numFmtId="167" fontId="22" fillId="0" borderId="14" xfId="7" applyNumberFormat="1" applyFont="1" applyBorder="1" applyAlignment="1">
      <alignment vertical="center"/>
    </xf>
    <xf numFmtId="167" fontId="22" fillId="0" borderId="12" xfId="7" applyNumberFormat="1" applyFont="1" applyBorder="1" applyAlignment="1">
      <alignment vertical="center"/>
    </xf>
    <xf numFmtId="168" fontId="16" fillId="0" borderId="14" xfId="7" applyNumberFormat="1" applyFont="1" applyBorder="1" applyAlignment="1">
      <alignment horizontal="right" vertical="center"/>
    </xf>
    <xf numFmtId="168" fontId="16" fillId="0" borderId="62" xfId="7" applyNumberFormat="1" applyFont="1" applyBorder="1" applyAlignment="1">
      <alignment horizontal="right" vertical="center"/>
    </xf>
    <xf numFmtId="168" fontId="16" fillId="4" borderId="24" xfId="0" applyNumberFormat="1" applyFont="1" applyFill="1" applyBorder="1" applyAlignment="1">
      <alignment horizontal="right" vertical="center"/>
    </xf>
    <xf numFmtId="168" fontId="16" fillId="4" borderId="64" xfId="0" applyNumberFormat="1" applyFont="1" applyFill="1" applyBorder="1" applyAlignment="1">
      <alignment horizontal="right" vertical="center"/>
    </xf>
    <xf numFmtId="168" fontId="16" fillId="4" borderId="53" xfId="7" applyNumberFormat="1" applyFont="1" applyFill="1" applyBorder="1" applyAlignment="1">
      <alignment horizontal="right" vertical="center"/>
    </xf>
    <xf numFmtId="168" fontId="16" fillId="4" borderId="24" xfId="7" applyNumberFormat="1" applyFont="1" applyFill="1" applyBorder="1" applyAlignment="1">
      <alignment horizontal="right" vertical="center"/>
    </xf>
    <xf numFmtId="168" fontId="16" fillId="4" borderId="47" xfId="7" applyNumberFormat="1" applyFont="1" applyFill="1" applyBorder="1" applyAlignment="1">
      <alignment horizontal="right" vertical="center"/>
    </xf>
    <xf numFmtId="168" fontId="16" fillId="0" borderId="18" xfId="0" applyNumberFormat="1" applyFont="1" applyBorder="1" applyAlignment="1">
      <alignment horizontal="right" vertical="center"/>
    </xf>
    <xf numFmtId="168" fontId="16" fillId="0" borderId="14" xfId="0" applyNumberFormat="1" applyFont="1" applyBorder="1" applyAlignment="1">
      <alignment horizontal="right" vertical="center"/>
    </xf>
    <xf numFmtId="168" fontId="16" fillId="0" borderId="18" xfId="7" applyNumberFormat="1" applyFont="1" applyBorder="1" applyAlignment="1">
      <alignment horizontal="right" vertical="center"/>
    </xf>
    <xf numFmtId="168" fontId="16" fillId="0" borderId="11" xfId="0" applyNumberFormat="1" applyFont="1" applyBorder="1" applyAlignment="1">
      <alignment horizontal="right" vertical="center"/>
    </xf>
    <xf numFmtId="168" fontId="16" fillId="0" borderId="14" xfId="1" applyNumberFormat="1" applyFont="1" applyBorder="1" applyAlignment="1">
      <alignment horizontal="right" vertical="center"/>
    </xf>
    <xf numFmtId="168" fontId="16" fillId="4" borderId="47" xfId="0" applyNumberFormat="1" applyFont="1" applyFill="1" applyBorder="1" applyAlignment="1">
      <alignment horizontal="right" vertical="center"/>
    </xf>
    <xf numFmtId="168" fontId="16" fillId="0" borderId="11" xfId="1" applyNumberFormat="1" applyFont="1" applyBorder="1" applyAlignment="1">
      <alignment horizontal="right" vertical="center"/>
    </xf>
    <xf numFmtId="0" fontId="23" fillId="0" borderId="36" xfId="4" applyFont="1" applyFill="1" applyBorder="1" applyAlignment="1">
      <alignment horizontal="left" vertical="center" indent="1"/>
    </xf>
    <xf numFmtId="0" fontId="6" fillId="0" borderId="36" xfId="4" applyBorder="1" applyAlignment="1">
      <alignment horizontal="left" vertical="center" indent="1"/>
    </xf>
    <xf numFmtId="0" fontId="23" fillId="0" borderId="36" xfId="4" applyFont="1" applyBorder="1" applyAlignment="1">
      <alignment horizontal="left" vertical="center" indent="1"/>
    </xf>
    <xf numFmtId="0" fontId="23" fillId="0" borderId="37" xfId="4" applyFont="1" applyBorder="1" applyAlignment="1">
      <alignment horizontal="left" vertical="center" indent="1"/>
    </xf>
    <xf numFmtId="0" fontId="23" fillId="0" borderId="70" xfId="4" applyFont="1" applyFill="1" applyBorder="1" applyAlignment="1">
      <alignment horizontal="left" vertical="center" indent="1"/>
    </xf>
    <xf numFmtId="10" fontId="22" fillId="0" borderId="71" xfId="0" applyNumberFormat="1" applyFont="1" applyBorder="1" applyAlignment="1">
      <alignment horizontal="center" vertical="center"/>
    </xf>
    <xf numFmtId="0" fontId="16" fillId="0" borderId="72" xfId="4" quotePrefix="1" applyFont="1" applyBorder="1" applyAlignment="1">
      <alignment horizontal="center" vertical="center"/>
    </xf>
    <xf numFmtId="10" fontId="22" fillId="0" borderId="73" xfId="0" applyNumberFormat="1" applyFont="1" applyBorder="1" applyAlignment="1">
      <alignment horizontal="center" vertical="center"/>
    </xf>
    <xf numFmtId="10" fontId="22" fillId="0" borderId="75" xfId="0" applyNumberFormat="1" applyFont="1" applyBorder="1" applyAlignment="1">
      <alignment horizontal="center" vertical="center"/>
    </xf>
    <xf numFmtId="10" fontId="22" fillId="0" borderId="74" xfId="0" applyNumberFormat="1" applyFont="1" applyBorder="1" applyAlignment="1">
      <alignment horizontal="center" vertical="center"/>
    </xf>
    <xf numFmtId="10" fontId="22" fillId="0" borderId="76" xfId="0" applyNumberFormat="1" applyFont="1" applyBorder="1" applyAlignment="1">
      <alignment horizontal="center" vertical="center"/>
    </xf>
    <xf numFmtId="10" fontId="22" fillId="0" borderId="77" xfId="0" applyNumberFormat="1" applyFont="1" applyBorder="1" applyAlignment="1">
      <alignment horizontal="center" vertical="center"/>
    </xf>
    <xf numFmtId="0" fontId="16" fillId="0" borderId="78" xfId="4" quotePrefix="1" applyFont="1" applyBorder="1" applyAlignment="1">
      <alignment horizontal="center" vertical="center"/>
    </xf>
    <xf numFmtId="0" fontId="16" fillId="0" borderId="79" xfId="4" quotePrefix="1" applyFont="1" applyBorder="1" applyAlignment="1">
      <alignment horizontal="center" vertical="center"/>
    </xf>
    <xf numFmtId="0" fontId="18" fillId="6" borderId="80" xfId="0" applyFont="1" applyFill="1" applyBorder="1" applyAlignment="1">
      <alignment horizontal="center" vertical="center" wrapText="1"/>
    </xf>
    <xf numFmtId="37" fontId="16" fillId="0" borderId="61" xfId="0" applyNumberFormat="1" applyFont="1" applyBorder="1" applyAlignment="1">
      <alignment horizontal="right" vertical="center"/>
    </xf>
    <xf numFmtId="0" fontId="24" fillId="0" borderId="0" xfId="0" applyFont="1"/>
    <xf numFmtId="10" fontId="22" fillId="0" borderId="75" xfId="0" applyNumberFormat="1" applyFont="1" applyFill="1" applyBorder="1" applyAlignment="1">
      <alignment horizontal="center" vertical="center"/>
    </xf>
    <xf numFmtId="0" fontId="16" fillId="0" borderId="38" xfId="4" quotePrefix="1" applyFont="1" applyFill="1" applyBorder="1" applyAlignment="1">
      <alignment horizontal="center" vertical="center"/>
    </xf>
    <xf numFmtId="38" fontId="22" fillId="0" borderId="16" xfId="0" applyNumberFormat="1" applyFont="1" applyFill="1" applyBorder="1" applyAlignment="1">
      <alignment horizontal="right" vertical="center"/>
    </xf>
    <xf numFmtId="38" fontId="22" fillId="0" borderId="11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vertical="center"/>
    </xf>
    <xf numFmtId="6" fontId="22" fillId="0" borderId="16" xfId="0" applyNumberFormat="1" applyFont="1" applyFill="1" applyBorder="1" applyAlignment="1">
      <alignment horizontal="right" vertical="center"/>
    </xf>
    <xf numFmtId="6" fontId="22" fillId="0" borderId="11" xfId="0" applyNumberFormat="1" applyFont="1" applyFill="1" applyBorder="1" applyAlignment="1">
      <alignment horizontal="right" vertical="center"/>
    </xf>
    <xf numFmtId="0" fontId="6" fillId="0" borderId="36" xfId="4" applyFill="1" applyBorder="1" applyAlignment="1">
      <alignment horizontal="left" vertical="center" indent="1"/>
    </xf>
    <xf numFmtId="0" fontId="10" fillId="0" borderId="0" xfId="0" applyFont="1"/>
    <xf numFmtId="0" fontId="11" fillId="0" borderId="0" xfId="0" applyFont="1"/>
    <xf numFmtId="167" fontId="22" fillId="0" borderId="0" xfId="0" applyNumberFormat="1" applyFont="1" applyBorder="1" applyAlignment="1">
      <alignment vertical="center"/>
    </xf>
    <xf numFmtId="167" fontId="22" fillId="4" borderId="86" xfId="7" applyNumberFormat="1" applyFont="1" applyFill="1" applyBorder="1" applyAlignment="1">
      <alignment vertical="center"/>
    </xf>
    <xf numFmtId="167" fontId="22" fillId="8" borderId="24" xfId="7" applyNumberFormat="1" applyFont="1" applyFill="1" applyBorder="1" applyAlignment="1">
      <alignment horizontal="right" vertical="center"/>
    </xf>
    <xf numFmtId="167" fontId="16" fillId="4" borderId="86" xfId="7" applyNumberFormat="1" applyFont="1" applyFill="1" applyBorder="1" applyAlignment="1">
      <alignment vertical="center"/>
    </xf>
    <xf numFmtId="167" fontId="22" fillId="8" borderId="87" xfId="7" applyNumberFormat="1" applyFont="1" applyFill="1" applyBorder="1" applyAlignment="1">
      <alignment horizontal="right" vertical="center"/>
    </xf>
    <xf numFmtId="165" fontId="22" fillId="0" borderId="0" xfId="6" quotePrefix="1" applyNumberFormat="1" applyFont="1" applyBorder="1" applyAlignment="1">
      <alignment horizontal="right" vertical="center"/>
    </xf>
    <xf numFmtId="6" fontId="22" fillId="8" borderId="14" xfId="0" applyNumberFormat="1" applyFont="1" applyFill="1" applyBorder="1" applyAlignment="1">
      <alignment vertical="center"/>
    </xf>
    <xf numFmtId="41" fontId="16" fillId="0" borderId="11" xfId="0" applyNumberFormat="1" applyFont="1" applyBorder="1" applyAlignment="1">
      <alignment horizontal="right" vertical="center"/>
    </xf>
    <xf numFmtId="0" fontId="16" fillId="0" borderId="89" xfId="0" applyFont="1" applyBorder="1" applyAlignment="1">
      <alignment horizontal="left" vertical="center" indent="1"/>
    </xf>
    <xf numFmtId="5" fontId="16" fillId="0" borderId="90" xfId="1" applyNumberFormat="1" applyFont="1" applyBorder="1" applyAlignment="1">
      <alignment horizontal="right" vertical="center"/>
    </xf>
    <xf numFmtId="5" fontId="16" fillId="0" borderId="12" xfId="1" applyNumberFormat="1" applyFont="1" applyBorder="1" applyAlignment="1">
      <alignment horizontal="right" vertical="center"/>
    </xf>
    <xf numFmtId="168" fontId="16" fillId="0" borderId="12" xfId="1" applyNumberFormat="1" applyFont="1" applyBorder="1" applyAlignment="1">
      <alignment horizontal="right" vertical="center"/>
    </xf>
    <xf numFmtId="5" fontId="16" fillId="0" borderId="90" xfId="0" applyNumberFormat="1" applyFont="1" applyBorder="1" applyAlignment="1">
      <alignment horizontal="right" vertical="center"/>
    </xf>
    <xf numFmtId="5" fontId="16" fillId="0" borderId="12" xfId="0" applyNumberFormat="1" applyFont="1" applyBorder="1" applyAlignment="1">
      <alignment horizontal="right" vertical="center"/>
    </xf>
    <xf numFmtId="168" fontId="16" fillId="0" borderId="12" xfId="0" applyNumberFormat="1" applyFont="1" applyBorder="1" applyAlignment="1">
      <alignment horizontal="right" vertical="center"/>
    </xf>
    <xf numFmtId="165" fontId="22" fillId="0" borderId="0" xfId="0" applyNumberFormat="1" applyFont="1" applyBorder="1" applyAlignment="1">
      <alignment vertical="center"/>
    </xf>
    <xf numFmtId="0" fontId="16" fillId="0" borderId="91" xfId="4" quotePrefix="1" applyNumberFormat="1" applyFont="1" applyBorder="1" applyAlignment="1">
      <alignment horizontal="center" vertical="center"/>
    </xf>
    <xf numFmtId="165" fontId="22" fillId="0" borderId="65" xfId="6" applyNumberFormat="1" applyFont="1" applyBorder="1" applyAlignment="1">
      <alignment horizontal="right" vertical="center"/>
    </xf>
    <xf numFmtId="0" fontId="22" fillId="0" borderId="90" xfId="0" applyFont="1" applyFill="1" applyBorder="1" applyAlignment="1">
      <alignment horizontal="right" vertical="center"/>
    </xf>
    <xf numFmtId="0" fontId="22" fillId="0" borderId="12" xfId="0" applyFont="1" applyFill="1" applyBorder="1" applyAlignment="1">
      <alignment horizontal="right" vertical="center"/>
    </xf>
    <xf numFmtId="0" fontId="18" fillId="6" borderId="3" xfId="0" applyFont="1" applyFill="1" applyBorder="1" applyAlignment="1">
      <alignment horizontal="center" vertical="center"/>
    </xf>
    <xf numFmtId="165" fontId="22" fillId="0" borderId="92" xfId="6" applyNumberFormat="1" applyFont="1" applyBorder="1" applyAlignment="1">
      <alignment horizontal="right" vertical="center"/>
    </xf>
    <xf numFmtId="165" fontId="22" fillId="0" borderId="46" xfId="6" applyNumberFormat="1" applyFont="1" applyFill="1" applyBorder="1" applyAlignment="1">
      <alignment horizontal="right" vertical="center"/>
    </xf>
    <xf numFmtId="165" fontId="22" fillId="0" borderId="45" xfId="6" applyNumberFormat="1" applyFont="1" applyFill="1" applyBorder="1" applyAlignment="1">
      <alignment horizontal="right" vertical="center"/>
    </xf>
    <xf numFmtId="165" fontId="22" fillId="0" borderId="93" xfId="6" applyNumberFormat="1" applyFont="1" applyBorder="1" applyAlignment="1">
      <alignment horizontal="right" vertical="center"/>
    </xf>
    <xf numFmtId="167" fontId="22" fillId="5" borderId="4" xfId="7" applyNumberFormat="1" applyFont="1" applyFill="1" applyBorder="1" applyAlignment="1">
      <alignment horizontal="right" vertical="center"/>
    </xf>
    <xf numFmtId="167" fontId="22" fillId="0" borderId="94" xfId="7" applyNumberFormat="1" applyFont="1" applyBorder="1" applyAlignment="1">
      <alignment horizontal="right" vertical="center"/>
    </xf>
    <xf numFmtId="167" fontId="22" fillId="4" borderId="95" xfId="7" applyNumberFormat="1" applyFont="1" applyFill="1" applyBorder="1" applyAlignment="1">
      <alignment horizontal="right" vertical="center"/>
    </xf>
    <xf numFmtId="167" fontId="22" fillId="8" borderId="47" xfId="7" applyNumberFormat="1" applyFont="1" applyFill="1" applyBorder="1" applyAlignment="1">
      <alignment horizontal="right" vertical="center"/>
    </xf>
    <xf numFmtId="167" fontId="22" fillId="0" borderId="67" xfId="7" applyNumberFormat="1" applyFont="1" applyBorder="1" applyAlignment="1">
      <alignment horizontal="right" vertical="center"/>
    </xf>
    <xf numFmtId="165" fontId="22" fillId="0" borderId="16" xfId="6" applyNumberFormat="1" applyFont="1" applyBorder="1" applyAlignment="1">
      <alignment horizontal="right" vertical="center"/>
    </xf>
    <xf numFmtId="165" fontId="22" fillId="0" borderId="13" xfId="6" applyNumberFormat="1" applyFont="1" applyBorder="1" applyAlignment="1">
      <alignment horizontal="right" vertical="center"/>
    </xf>
    <xf numFmtId="165" fontId="22" fillId="0" borderId="18" xfId="6" applyNumberFormat="1" applyFont="1" applyBorder="1" applyAlignment="1">
      <alignment horizontal="right" vertical="center"/>
    </xf>
    <xf numFmtId="165" fontId="22" fillId="0" borderId="27" xfId="6" applyNumberFormat="1" applyFont="1" applyBorder="1" applyAlignment="1">
      <alignment horizontal="right" vertical="center"/>
    </xf>
    <xf numFmtId="165" fontId="22" fillId="0" borderId="23" xfId="6" applyNumberFormat="1" applyFont="1" applyBorder="1" applyAlignment="1">
      <alignment horizontal="right" vertical="center"/>
    </xf>
    <xf numFmtId="165" fontId="22" fillId="0" borderId="11" xfId="6" applyNumberFormat="1" applyFont="1" applyBorder="1" applyAlignment="1">
      <alignment horizontal="right" vertical="center"/>
    </xf>
    <xf numFmtId="165" fontId="22" fillId="0" borderId="26" xfId="6" applyNumberFormat="1" applyFont="1" applyBorder="1" applyAlignment="1">
      <alignment horizontal="right" vertical="center"/>
    </xf>
    <xf numFmtId="165" fontId="22" fillId="0" borderId="11" xfId="6" applyNumberFormat="1" applyFont="1" applyFill="1" applyBorder="1" applyAlignment="1">
      <alignment horizontal="right" vertical="center"/>
    </xf>
    <xf numFmtId="165" fontId="22" fillId="0" borderId="20" xfId="6" applyNumberFormat="1" applyFont="1" applyBorder="1" applyAlignment="1">
      <alignment horizontal="right" vertical="center"/>
    </xf>
    <xf numFmtId="165" fontId="22" fillId="0" borderId="20" xfId="6" applyNumberFormat="1" applyFont="1" applyFill="1" applyBorder="1" applyAlignment="1">
      <alignment horizontal="right" vertical="center"/>
    </xf>
    <xf numFmtId="165" fontId="22" fillId="0" borderId="25" xfId="6" applyNumberFormat="1" applyFont="1" applyBorder="1" applyAlignment="1">
      <alignment horizontal="right" vertical="center"/>
    </xf>
    <xf numFmtId="167" fontId="22" fillId="5" borderId="26" xfId="7" applyNumberFormat="1" applyFont="1" applyFill="1" applyBorder="1" applyAlignment="1">
      <alignment horizontal="right" vertical="center"/>
    </xf>
    <xf numFmtId="167" fontId="22" fillId="0" borderId="34" xfId="7" applyNumberFormat="1" applyFont="1" applyBorder="1" applyAlignment="1">
      <alignment horizontal="right" vertical="center"/>
    </xf>
    <xf numFmtId="167" fontId="22" fillId="4" borderId="86" xfId="7" applyNumberFormat="1" applyFont="1" applyFill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41" fontId="16" fillId="0" borderId="46" xfId="0" applyNumberFormat="1" applyFont="1" applyBorder="1" applyAlignment="1">
      <alignment horizontal="right"/>
    </xf>
    <xf numFmtId="41" fontId="16" fillId="0" borderId="65" xfId="0" applyNumberFormat="1" applyFont="1" applyBorder="1" applyAlignment="1">
      <alignment horizontal="right"/>
    </xf>
    <xf numFmtId="41" fontId="16" fillId="0" borderId="63" xfId="0" applyNumberFormat="1" applyFont="1" applyBorder="1" applyAlignment="1">
      <alignment horizontal="right"/>
    </xf>
    <xf numFmtId="168" fontId="16" fillId="0" borderId="48" xfId="7" applyNumberFormat="1" applyFont="1" applyBorder="1"/>
    <xf numFmtId="165" fontId="16" fillId="0" borderId="4" xfId="2" applyNumberFormat="1" applyFont="1" applyBorder="1"/>
    <xf numFmtId="165" fontId="16" fillId="0" borderId="45" xfId="2" applyNumberFormat="1" applyFont="1" applyFill="1" applyBorder="1"/>
    <xf numFmtId="165" fontId="16" fillId="0" borderId="46" xfId="2" applyNumberFormat="1" applyFont="1" applyFill="1" applyBorder="1"/>
    <xf numFmtId="165" fontId="16" fillId="0" borderId="4" xfId="2" applyNumberFormat="1" applyFont="1" applyFill="1" applyBorder="1"/>
    <xf numFmtId="168" fontId="16" fillId="0" borderId="12" xfId="7" applyNumberFormat="1" applyFont="1" applyBorder="1"/>
    <xf numFmtId="165" fontId="16" fillId="0" borderId="26" xfId="2" applyNumberFormat="1" applyFont="1" applyBorder="1"/>
    <xf numFmtId="165" fontId="16" fillId="0" borderId="20" xfId="2" applyNumberFormat="1" applyFont="1" applyFill="1" applyBorder="1"/>
    <xf numFmtId="165" fontId="16" fillId="0" borderId="11" xfId="2" applyNumberFormat="1" applyFont="1" applyFill="1" applyBorder="1"/>
    <xf numFmtId="165" fontId="16" fillId="0" borderId="26" xfId="2" applyNumberFormat="1" applyFont="1" applyFill="1" applyBorder="1"/>
    <xf numFmtId="168" fontId="16" fillId="0" borderId="48" xfId="0" applyNumberFormat="1" applyFont="1" applyBorder="1"/>
    <xf numFmtId="165" fontId="16" fillId="0" borderId="46" xfId="0" applyNumberFormat="1" applyFont="1" applyBorder="1"/>
    <xf numFmtId="165" fontId="16" fillId="0" borderId="46" xfId="0" applyNumberFormat="1" applyFont="1" applyFill="1" applyBorder="1"/>
    <xf numFmtId="165" fontId="16" fillId="0" borderId="4" xfId="0" applyNumberFormat="1" applyFont="1" applyFill="1" applyBorder="1"/>
    <xf numFmtId="165" fontId="16" fillId="0" borderId="65" xfId="0" applyNumberFormat="1" applyFont="1" applyFill="1" applyBorder="1"/>
    <xf numFmtId="168" fontId="16" fillId="0" borderId="12" xfId="0" applyNumberFormat="1" applyFont="1" applyBorder="1"/>
    <xf numFmtId="165" fontId="16" fillId="0" borderId="11" xfId="0" applyNumberFormat="1" applyFont="1" applyBorder="1"/>
    <xf numFmtId="165" fontId="16" fillId="0" borderId="11" xfId="0" applyNumberFormat="1" applyFont="1" applyFill="1" applyBorder="1"/>
    <xf numFmtId="165" fontId="16" fillId="0" borderId="26" xfId="0" applyNumberFormat="1" applyFont="1" applyFill="1" applyBorder="1"/>
    <xf numFmtId="165" fontId="16" fillId="0" borderId="14" xfId="0" applyNumberFormat="1" applyFont="1" applyFill="1" applyBorder="1"/>
    <xf numFmtId="168" fontId="16" fillId="0" borderId="48" xfId="7" applyNumberFormat="1" applyFont="1" applyBorder="1" applyAlignment="1">
      <alignment horizontal="right"/>
    </xf>
    <xf numFmtId="165" fontId="16" fillId="0" borderId="65" xfId="0" applyNumberFormat="1" applyFont="1" applyBorder="1"/>
    <xf numFmtId="37" fontId="16" fillId="0" borderId="46" xfId="0" applyNumberFormat="1" applyFont="1" applyBorder="1" applyAlignment="1">
      <alignment horizontal="right"/>
    </xf>
    <xf numFmtId="168" fontId="16" fillId="4" borderId="5" xfId="0" applyNumberFormat="1" applyFont="1" applyFill="1" applyBorder="1" applyAlignment="1">
      <alignment horizontal="right" vertical="center"/>
    </xf>
    <xf numFmtId="168" fontId="16" fillId="0" borderId="12" xfId="7" applyNumberFormat="1" applyFont="1" applyBorder="1" applyAlignment="1">
      <alignment horizontal="right"/>
    </xf>
    <xf numFmtId="165" fontId="16" fillId="0" borderId="14" xfId="0" applyNumberFormat="1" applyFont="1" applyBorder="1"/>
    <xf numFmtId="37" fontId="16" fillId="0" borderId="11" xfId="0" applyNumberFormat="1" applyFont="1" applyBorder="1" applyAlignment="1">
      <alignment horizontal="right"/>
    </xf>
    <xf numFmtId="168" fontId="16" fillId="4" borderId="21" xfId="0" applyNumberFormat="1" applyFont="1" applyFill="1" applyBorder="1" applyAlignment="1">
      <alignment horizontal="right" vertical="center"/>
    </xf>
    <xf numFmtId="37" fontId="16" fillId="0" borderId="12" xfId="0" applyNumberFormat="1" applyFont="1" applyBorder="1" applyAlignment="1">
      <alignment horizontal="right" vertical="center"/>
    </xf>
    <xf numFmtId="168" fontId="16" fillId="0" borderId="11" xfId="0" applyNumberFormat="1" applyFont="1" applyBorder="1" applyAlignment="1">
      <alignment horizontal="right"/>
    </xf>
    <xf numFmtId="37" fontId="16" fillId="0" borderId="20" xfId="0" applyNumberFormat="1" applyFont="1" applyBorder="1" applyAlignment="1">
      <alignment horizontal="right" vertical="center"/>
    </xf>
    <xf numFmtId="168" fontId="16" fillId="4" borderId="21" xfId="7" applyNumberFormat="1" applyFont="1" applyFill="1" applyBorder="1" applyAlignment="1">
      <alignment horizontal="right" vertical="center"/>
    </xf>
    <xf numFmtId="0" fontId="16" fillId="4" borderId="97" xfId="0" applyFont="1" applyFill="1" applyBorder="1" applyAlignment="1">
      <alignment horizontal="left" vertical="center"/>
    </xf>
    <xf numFmtId="0" fontId="16" fillId="0" borderId="96" xfId="0" applyFont="1" applyBorder="1" applyAlignment="1">
      <alignment horizontal="left" vertical="center" indent="1"/>
    </xf>
    <xf numFmtId="0" fontId="16" fillId="0" borderId="98" xfId="0" applyFont="1" applyBorder="1" applyAlignment="1">
      <alignment horizontal="left" vertical="center" indent="1"/>
    </xf>
    <xf numFmtId="168" fontId="16" fillId="0" borderId="65" xfId="7" applyNumberFormat="1" applyFont="1" applyBorder="1" applyAlignment="1">
      <alignment horizontal="right"/>
    </xf>
    <xf numFmtId="0" fontId="15" fillId="6" borderId="99" xfId="0" applyFont="1" applyFill="1" applyBorder="1" applyAlignment="1">
      <alignment horizontal="left" vertical="center"/>
    </xf>
    <xf numFmtId="168" fontId="16" fillId="0" borderId="65" xfId="0" applyNumberFormat="1" applyFont="1" applyBorder="1"/>
    <xf numFmtId="168" fontId="16" fillId="0" borderId="65" xfId="7" applyNumberFormat="1" applyFont="1" applyBorder="1"/>
    <xf numFmtId="0" fontId="15" fillId="6" borderId="44" xfId="0" applyNumberFormat="1" applyFont="1" applyFill="1" applyBorder="1" applyAlignment="1">
      <alignment horizontal="center" vertical="center"/>
    </xf>
    <xf numFmtId="5" fontId="16" fillId="0" borderId="62" xfId="0" applyNumberFormat="1" applyFont="1" applyBorder="1" applyAlignment="1">
      <alignment horizontal="right" vertical="center"/>
    </xf>
    <xf numFmtId="37" fontId="16" fillId="0" borderId="101" xfId="0" applyNumberFormat="1" applyFont="1" applyBorder="1" applyAlignment="1">
      <alignment horizontal="right" vertical="center"/>
    </xf>
    <xf numFmtId="5" fontId="16" fillId="4" borderId="64" xfId="0" applyNumberFormat="1" applyFont="1" applyFill="1" applyBorder="1" applyAlignment="1">
      <alignment horizontal="right" vertical="center"/>
    </xf>
    <xf numFmtId="0" fontId="15" fillId="6" borderId="100" xfId="0" applyNumberFormat="1" applyFont="1" applyFill="1" applyBorder="1" applyAlignment="1">
      <alignment horizontal="center" vertical="center"/>
    </xf>
    <xf numFmtId="168" fontId="16" fillId="0" borderId="102" xfId="0" applyNumberFormat="1" applyFont="1" applyBorder="1" applyAlignment="1">
      <alignment horizontal="right" vertical="center"/>
    </xf>
    <xf numFmtId="37" fontId="16" fillId="0" borderId="103" xfId="0" applyNumberFormat="1" applyFont="1" applyBorder="1" applyAlignment="1">
      <alignment horizontal="right" vertical="center"/>
    </xf>
    <xf numFmtId="37" fontId="16" fillId="0" borderId="104" xfId="0" applyNumberFormat="1" applyFont="1" applyBorder="1" applyAlignment="1">
      <alignment horizontal="right" vertical="center"/>
    </xf>
    <xf numFmtId="168" fontId="16" fillId="4" borderId="105" xfId="0" applyNumberFormat="1" applyFont="1" applyFill="1" applyBorder="1" applyAlignment="1">
      <alignment horizontal="right" vertical="center"/>
    </xf>
    <xf numFmtId="0" fontId="15" fillId="7" borderId="44" xfId="0" applyFont="1" applyFill="1" applyBorder="1" applyAlignment="1">
      <alignment horizontal="center" vertical="center"/>
    </xf>
    <xf numFmtId="0" fontId="15" fillId="7" borderId="100" xfId="0" applyFont="1" applyFill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8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165" fontId="22" fillId="0" borderId="106" xfId="6" applyNumberFormat="1" applyFont="1" applyBorder="1" applyAlignment="1">
      <alignment horizontal="right" vertical="center"/>
    </xf>
    <xf numFmtId="5" fontId="16" fillId="0" borderId="56" xfId="0" applyNumberFormat="1" applyFont="1" applyBorder="1" applyAlignment="1">
      <alignment horizontal="right" vertical="center"/>
    </xf>
    <xf numFmtId="42" fontId="22" fillId="0" borderId="14" xfId="7" applyNumberFormat="1" applyFont="1" applyBorder="1" applyAlignment="1">
      <alignment vertical="center"/>
    </xf>
    <xf numFmtId="42" fontId="22" fillId="0" borderId="12" xfId="7" applyNumberFormat="1" applyFont="1" applyBorder="1" applyAlignment="1">
      <alignment vertical="center"/>
    </xf>
    <xf numFmtId="42" fontId="22" fillId="0" borderId="90" xfId="7" applyNumberFormat="1" applyFont="1" applyBorder="1" applyAlignment="1">
      <alignment horizontal="right" vertical="center"/>
    </xf>
    <xf numFmtId="42" fontId="22" fillId="0" borderId="48" xfId="7" applyNumberFormat="1" applyFont="1" applyBorder="1" applyAlignment="1">
      <alignment horizontal="right" vertical="center"/>
    </xf>
    <xf numFmtId="10" fontId="22" fillId="0" borderId="107" xfId="0" applyNumberFormat="1" applyFont="1" applyBorder="1" applyAlignment="1">
      <alignment horizontal="center" vertical="center"/>
    </xf>
    <xf numFmtId="0" fontId="16" fillId="0" borderId="91" xfId="4" quotePrefix="1" applyFont="1" applyBorder="1" applyAlignment="1">
      <alignment horizontal="center" vertical="center"/>
    </xf>
    <xf numFmtId="0" fontId="22" fillId="0" borderId="18" xfId="0" applyFont="1" applyFill="1" applyBorder="1" applyAlignment="1">
      <alignment horizontal="right" vertical="center"/>
    </xf>
    <xf numFmtId="0" fontId="22" fillId="0" borderId="14" xfId="0" applyFont="1" applyFill="1" applyBorder="1" applyAlignment="1">
      <alignment horizontal="right" vertical="center"/>
    </xf>
    <xf numFmtId="5" fontId="16" fillId="0" borderId="26" xfId="0" applyNumberFormat="1" applyFont="1" applyBorder="1" applyAlignment="1">
      <alignment horizontal="right" vertical="center"/>
    </xf>
    <xf numFmtId="41" fontId="22" fillId="0" borderId="18" xfId="7" applyNumberFormat="1" applyFont="1" applyBorder="1" applyAlignment="1">
      <alignment horizontal="right" vertical="center"/>
    </xf>
    <xf numFmtId="41" fontId="22" fillId="0" borderId="65" xfId="7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15" fillId="5" borderId="30" xfId="4" applyFont="1" applyFill="1" applyBorder="1" applyAlignment="1">
      <alignment horizontal="center" vertical="center"/>
    </xf>
    <xf numFmtId="0" fontId="15" fillId="5" borderId="31" xfId="4" applyFont="1" applyFill="1" applyBorder="1" applyAlignment="1">
      <alignment horizontal="center" vertical="center"/>
    </xf>
    <xf numFmtId="0" fontId="15" fillId="5" borderId="32" xfId="4" applyFont="1" applyFill="1" applyBorder="1" applyAlignment="1">
      <alignment horizontal="center" vertical="center"/>
    </xf>
    <xf numFmtId="0" fontId="18" fillId="4" borderId="82" xfId="0" applyFont="1" applyFill="1" applyBorder="1" applyAlignment="1">
      <alignment horizontal="center" vertical="center"/>
    </xf>
    <xf numFmtId="0" fontId="18" fillId="4" borderId="83" xfId="0" applyFont="1" applyFill="1" applyBorder="1" applyAlignment="1">
      <alignment horizontal="center" vertical="center"/>
    </xf>
    <xf numFmtId="0" fontId="18" fillId="4" borderId="84" xfId="0" applyFont="1" applyFill="1" applyBorder="1" applyAlignment="1">
      <alignment horizontal="center" vertical="center"/>
    </xf>
    <xf numFmtId="0" fontId="26" fillId="8" borderId="81" xfId="0" applyFont="1" applyFill="1" applyBorder="1" applyAlignment="1">
      <alignment horizontal="center" vertical="center"/>
    </xf>
    <xf numFmtId="0" fontId="26" fillId="8" borderId="85" xfId="0" applyFont="1" applyFill="1" applyBorder="1" applyAlignment="1">
      <alignment horizontal="center" vertical="center"/>
    </xf>
    <xf numFmtId="0" fontId="26" fillId="8" borderId="88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0" fontId="30" fillId="0" borderId="8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27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30" fillId="0" borderId="8" xfId="0" applyFont="1" applyBorder="1" applyAlignment="1">
      <alignment horizontal="left" vertical="center"/>
    </xf>
    <xf numFmtId="0" fontId="31" fillId="0" borderId="2" xfId="0" applyFont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0" fontId="30" fillId="0" borderId="8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2" fillId="0" borderId="7" xfId="0" applyFont="1" applyFill="1" applyBorder="1" applyAlignment="1">
      <alignment horizontal="center"/>
    </xf>
    <xf numFmtId="0" fontId="33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33" fillId="0" borderId="0" xfId="0" applyNumberFormat="1" applyFont="1" applyBorder="1" applyAlignment="1">
      <alignment horizontal="left" vertical="center"/>
    </xf>
  </cellXfs>
  <cellStyles count="8">
    <cellStyle name="Comma" xfId="6" builtinId="3"/>
    <cellStyle name="Comma 2" xfId="1" xr:uid="{00000000-0005-0000-0000-000001000000}"/>
    <cellStyle name="Comma 3" xfId="2" xr:uid="{00000000-0005-0000-0000-000002000000}"/>
    <cellStyle name="Currency" xfId="7" builtinId="4"/>
    <cellStyle name="Currency 2" xfId="3" xr:uid="{00000000-0005-0000-0000-000004000000}"/>
    <cellStyle name="Hyperlink" xfId="4" builtinId="8"/>
    <cellStyle name="Normal" xfId="0" builtinId="0"/>
    <cellStyle name="Normal 2" xfId="5" xr:uid="{00000000-0005-0000-0000-000007000000}"/>
  </cellStyles>
  <dxfs count="0"/>
  <tableStyles count="0" defaultTableStyle="TableStyleMedium2" defaultPivotStyle="PivotStyleLight16"/>
  <colors>
    <mruColors>
      <color rgb="FF78BE21"/>
      <color rgb="FF9BCBEB"/>
      <color rgb="FFD9D9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68"/>
  <sheetViews>
    <sheetView showGridLines="0" tabSelected="1" zoomScaleNormal="100" workbookViewId="0">
      <pane ySplit="1" topLeftCell="A2" activePane="bottomLeft" state="frozen"/>
      <selection pane="bottomLeft" activeCell="A23" sqref="A23"/>
    </sheetView>
  </sheetViews>
  <sheetFormatPr baseColWidth="10" defaultColWidth="8.83203125" defaultRowHeight="12"/>
  <cols>
    <col min="1" max="1" width="20.1640625" style="49" customWidth="1"/>
    <col min="2" max="3" width="13.5" style="49" customWidth="1"/>
    <col min="4" max="6" width="11.6640625" style="49" hidden="1" customWidth="1"/>
    <col min="7" max="8" width="12.83203125" style="49" hidden="1" customWidth="1"/>
    <col min="9" max="9" width="13.33203125" style="49" hidden="1" customWidth="1"/>
    <col min="10" max="20" width="14.33203125" style="49" customWidth="1"/>
    <col min="21" max="21" width="13.5" style="49" bestFit="1" customWidth="1"/>
    <col min="22" max="22" width="22.1640625" style="49" customWidth="1"/>
    <col min="23" max="23" width="9.83203125" style="49" bestFit="1" customWidth="1"/>
    <col min="24" max="16384" width="8.83203125" style="49"/>
  </cols>
  <sheetData>
    <row r="1" spans="1:22" s="44" customFormat="1" ht="21">
      <c r="A1" s="333" t="s">
        <v>175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2" s="45" customFormat="1" ht="19">
      <c r="A2" s="334" t="s">
        <v>294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</row>
    <row r="3" spans="1:22" s="46" customFormat="1" ht="16.25" customHeight="1">
      <c r="A3" s="335" t="s">
        <v>293</v>
      </c>
      <c r="B3" s="335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</row>
    <row r="4" spans="1:22" s="46" customFormat="1" ht="16.25" customHeight="1">
      <c r="A4" s="32" t="s">
        <v>73</v>
      </c>
      <c r="B4" s="194" t="s">
        <v>74</v>
      </c>
      <c r="C4" s="33" t="s">
        <v>25</v>
      </c>
      <c r="D4" s="34">
        <v>2004</v>
      </c>
      <c r="E4" s="35">
        <v>2005</v>
      </c>
      <c r="F4" s="35">
        <v>2006</v>
      </c>
      <c r="G4" s="35">
        <v>2007</v>
      </c>
      <c r="H4" s="35">
        <v>2008</v>
      </c>
      <c r="I4" s="35">
        <v>2009</v>
      </c>
      <c r="J4" s="35">
        <v>2010</v>
      </c>
      <c r="K4" s="35">
        <v>2011</v>
      </c>
      <c r="L4" s="35">
        <v>2012</v>
      </c>
      <c r="M4" s="35">
        <v>2013</v>
      </c>
      <c r="N4" s="35" t="s">
        <v>22</v>
      </c>
      <c r="O4" s="35">
        <v>2015</v>
      </c>
      <c r="P4" s="35">
        <v>2016</v>
      </c>
      <c r="Q4" s="36">
        <v>2017</v>
      </c>
      <c r="R4" s="43">
        <v>2018</v>
      </c>
      <c r="S4" s="35">
        <v>2019</v>
      </c>
      <c r="T4" s="227">
        <v>2020</v>
      </c>
    </row>
    <row r="5" spans="1:22" s="46" customFormat="1" ht="16.25" customHeight="1">
      <c r="A5" s="38" t="s">
        <v>208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50"/>
      <c r="R5" s="50"/>
      <c r="T5" s="251"/>
      <c r="V5" s="207"/>
    </row>
    <row r="6" spans="1:22" s="46" customFormat="1" ht="16.25" customHeight="1">
      <c r="A6" s="180" t="s">
        <v>135</v>
      </c>
      <c r="B6" s="56">
        <v>0.01</v>
      </c>
      <c r="C6" s="193" t="s">
        <v>91</v>
      </c>
      <c r="D6" s="51">
        <f>'Cook Cty'!B17+'Cook Cty'!B33</f>
        <v>1002391.34</v>
      </c>
      <c r="E6" s="52">
        <f>'Cook Cty'!C17+'Cook Cty'!C33</f>
        <v>1074549.6499999999</v>
      </c>
      <c r="F6" s="52">
        <f>'Cook Cty'!D17+'Cook Cty'!D33</f>
        <v>1079651.18</v>
      </c>
      <c r="G6" s="52">
        <f>'Cook Cty'!E17+'Cook Cty'!E33</f>
        <v>1181754.5499999998</v>
      </c>
      <c r="H6" s="213">
        <f>'Cook Cty'!F17+'Cook Cty'!F33</f>
        <v>443333.39</v>
      </c>
      <c r="I6" s="213">
        <f>'Cook Cty'!G17+'Cook Cty'!G33</f>
        <v>996.40999999999804</v>
      </c>
      <c r="J6" s="163">
        <f>'Cook Cty'!H17+'Cook Cty'!H33</f>
        <v>767941.64</v>
      </c>
      <c r="K6" s="165">
        <f>'Cook Cty'!I17+'Cook Cty'!I33</f>
        <v>1145291</v>
      </c>
      <c r="L6" s="164">
        <f>'Cook Cty'!J17+'Cook Cty'!J33</f>
        <v>1258563</v>
      </c>
      <c r="M6" s="164">
        <f>'Cook Cty'!K17+'Cook Cty'!K33</f>
        <v>1444164</v>
      </c>
      <c r="N6" s="164">
        <f>'Cook Cty'!L17+'Cook Cty'!L33</f>
        <v>1444056</v>
      </c>
      <c r="O6" s="164">
        <f>'Cook Cty'!M17+'Cook Cty'!M33</f>
        <v>1575952</v>
      </c>
      <c r="P6" s="164">
        <f>'Cook Cty'!N17+'Cook Cty'!N33</f>
        <v>1565320</v>
      </c>
      <c r="Q6" s="164">
        <f>'Cook Cty'!O17+'Cook Cty'!O33</f>
        <v>1527365</v>
      </c>
      <c r="R6" s="165">
        <f>'Cook Cty'!P17+'Cook Cty'!P33</f>
        <v>1713673</v>
      </c>
      <c r="S6" s="236">
        <f>'Cook Cty'!Q17+'Cook Cty'!Q33</f>
        <v>1818226</v>
      </c>
      <c r="T6" s="154">
        <f>'Cook Cty'!R17+'Cook Cty'!R33</f>
        <v>615026</v>
      </c>
      <c r="U6" s="207"/>
      <c r="V6" s="207"/>
    </row>
    <row r="7" spans="1:22" s="46" customFormat="1" ht="16.25" customHeight="1">
      <c r="A7" s="181" t="s">
        <v>224</v>
      </c>
      <c r="B7" s="185">
        <v>5.0000000000000001E-3</v>
      </c>
      <c r="C7" s="192">
        <v>2017</v>
      </c>
      <c r="D7" s="61" t="s">
        <v>176</v>
      </c>
      <c r="E7" s="62" t="s">
        <v>176</v>
      </c>
      <c r="F7" s="62" t="s">
        <v>176</v>
      </c>
      <c r="G7" s="62" t="s">
        <v>176</v>
      </c>
      <c r="H7" s="62" t="s">
        <v>176</v>
      </c>
      <c r="I7" s="62" t="s">
        <v>176</v>
      </c>
      <c r="J7" s="62" t="s">
        <v>176</v>
      </c>
      <c r="K7" s="62" t="s">
        <v>176</v>
      </c>
      <c r="L7" s="62" t="s">
        <v>176</v>
      </c>
      <c r="M7" s="62" t="s">
        <v>176</v>
      </c>
      <c r="N7" s="62" t="s">
        <v>176</v>
      </c>
      <c r="O7" s="62" t="s">
        <v>176</v>
      </c>
      <c r="P7" s="62" t="s">
        <v>176</v>
      </c>
      <c r="Q7" s="63">
        <f>'Clay Cty'!O17+'Clay Cty'!O33</f>
        <v>361017</v>
      </c>
      <c r="R7" s="63">
        <f>'Clay Cty'!P17+'Clay Cty'!P33</f>
        <v>2566027</v>
      </c>
      <c r="S7" s="237">
        <f>'Clay Cty'!Q17+'Clay Cty'!Q33</f>
        <v>3027941</v>
      </c>
      <c r="T7" s="155">
        <f>'Clay Cty'!R17+'Clay Cty'!R33</f>
        <v>1801785</v>
      </c>
      <c r="U7" s="207"/>
      <c r="V7" s="207"/>
    </row>
    <row r="8" spans="1:22" s="46" customFormat="1" ht="16.25" customHeight="1">
      <c r="A8" s="180" t="s">
        <v>136</v>
      </c>
      <c r="B8" s="191">
        <v>1.5E-3</v>
      </c>
      <c r="C8" s="53">
        <v>2007</v>
      </c>
      <c r="D8" s="39" t="s">
        <v>176</v>
      </c>
      <c r="E8" s="40" t="s">
        <v>176</v>
      </c>
      <c r="F8" s="40" t="s">
        <v>176</v>
      </c>
      <c r="G8" s="54">
        <f>'Hennepin Cty'!E17+'Hennepin Cty'!E33</f>
        <v>24573565.57</v>
      </c>
      <c r="H8" s="54">
        <f>'Hennepin Cty'!F17+'Hennepin Cty'!F33</f>
        <v>29082573.909999996</v>
      </c>
      <c r="I8" s="54">
        <f>'Hennepin Cty'!G17+'Hennepin Cty'!G33</f>
        <v>28030758</v>
      </c>
      <c r="J8" s="54">
        <f>'Hennepin Cty'!H17+'Hennepin Cty'!H33</f>
        <v>28864673</v>
      </c>
      <c r="K8" s="54">
        <f>'Hennepin Cty'!I17+'Hennepin Cty'!I33</f>
        <v>31063329</v>
      </c>
      <c r="L8" s="54">
        <f>'Hennepin Cty'!J17+'Hennepin Cty'!J33</f>
        <v>32344624</v>
      </c>
      <c r="M8" s="54">
        <f>'Hennepin Cty'!K17+'Hennepin Cty'!K33</f>
        <v>34249703</v>
      </c>
      <c r="N8" s="54">
        <f>'Hennepin Cty'!L17+'Hennepin Cty'!L33</f>
        <v>35052547</v>
      </c>
      <c r="O8" s="54">
        <f>'Hennepin Cty'!M17+'Hennepin Cty'!M33</f>
        <v>36953879</v>
      </c>
      <c r="P8" s="54">
        <f>'Hennepin Cty'!N17+'Hennepin Cty'!N33</f>
        <v>37476228</v>
      </c>
      <c r="Q8" s="54">
        <f>'Hennepin Cty'!O17+'Hennepin Cty'!O33</f>
        <v>37858775</v>
      </c>
      <c r="R8" s="55">
        <f>'Hennepin Cty'!P17+'Hennepin Cty'!P33</f>
        <v>39348167</v>
      </c>
      <c r="S8" s="238">
        <f>'Hennepin Cty'!Q17+'Hennepin Cty'!Q33</f>
        <v>43674866</v>
      </c>
      <c r="T8" s="228">
        <f>'Hennepin Cty'!R17+'Hennepin Cty'!R33</f>
        <v>18267497</v>
      </c>
      <c r="U8" s="207"/>
      <c r="V8" s="207"/>
    </row>
    <row r="9" spans="1:22" s="46" customFormat="1" ht="16.25" customHeight="1">
      <c r="A9" s="38" t="s">
        <v>209</v>
      </c>
      <c r="B9" s="42"/>
      <c r="C9" s="42"/>
      <c r="D9" s="41"/>
      <c r="E9" s="42"/>
      <c r="F9" s="42"/>
      <c r="G9" s="42"/>
      <c r="H9" s="42"/>
      <c r="I9" s="41"/>
      <c r="J9" s="42"/>
      <c r="K9" s="42"/>
      <c r="L9" s="42"/>
      <c r="M9" s="42"/>
      <c r="N9" s="42"/>
      <c r="O9" s="42"/>
      <c r="P9" s="41"/>
      <c r="Q9" s="50"/>
      <c r="R9" s="50"/>
      <c r="T9" s="251"/>
      <c r="V9" s="207"/>
    </row>
    <row r="10" spans="1:22" s="46" customFormat="1" ht="16.25" customHeight="1">
      <c r="A10" s="182" t="s">
        <v>137</v>
      </c>
      <c r="B10" s="190">
        <v>2.5000000000000001E-3</v>
      </c>
      <c r="C10" s="193">
        <v>2017</v>
      </c>
      <c r="D10" s="225" t="s">
        <v>176</v>
      </c>
      <c r="E10" s="226" t="s">
        <v>176</v>
      </c>
      <c r="F10" s="226" t="s">
        <v>176</v>
      </c>
      <c r="G10" s="226" t="s">
        <v>176</v>
      </c>
      <c r="H10" s="226" t="s">
        <v>176</v>
      </c>
      <c r="I10" s="226" t="s">
        <v>176</v>
      </c>
      <c r="J10" s="226" t="s">
        <v>176</v>
      </c>
      <c r="K10" s="226" t="s">
        <v>176</v>
      </c>
      <c r="L10" s="226" t="s">
        <v>176</v>
      </c>
      <c r="M10" s="226" t="s">
        <v>176</v>
      </c>
      <c r="N10" s="226" t="s">
        <v>176</v>
      </c>
      <c r="O10" s="226" t="s">
        <v>176</v>
      </c>
      <c r="P10" s="226" t="s">
        <v>176</v>
      </c>
      <c r="Q10" s="311">
        <f>'Anoka Co'!O17+'Anoka Co'!O33</f>
        <v>1691361</v>
      </c>
      <c r="R10" s="311">
        <f>'Anoka Co'!P17+'Anoka Co'!P33</f>
        <v>11059485</v>
      </c>
      <c r="S10" s="312">
        <f>'Anoka Co'!Q17+'Anoka Co'!Q33</f>
        <v>11811566</v>
      </c>
      <c r="T10" s="313">
        <f>'Anoka Co'!R17+'Anoka Co'!R33</f>
        <v>5787115</v>
      </c>
      <c r="V10" s="212"/>
    </row>
    <row r="11" spans="1:22" s="46" customFormat="1" ht="16.25" customHeight="1">
      <c r="A11" s="182" t="s">
        <v>301</v>
      </c>
      <c r="B11" s="314">
        <v>5.0000000000000001E-3</v>
      </c>
      <c r="C11" s="315">
        <v>2019</v>
      </c>
      <c r="D11" s="316"/>
      <c r="E11" s="317"/>
      <c r="F11" s="317"/>
      <c r="G11" s="317"/>
      <c r="H11" s="317"/>
      <c r="I11" s="317"/>
      <c r="J11" s="58" t="s">
        <v>176</v>
      </c>
      <c r="K11" s="58" t="s">
        <v>176</v>
      </c>
      <c r="L11" s="58" t="s">
        <v>176</v>
      </c>
      <c r="M11" s="58" t="s">
        <v>176</v>
      </c>
      <c r="N11" s="58" t="s">
        <v>176</v>
      </c>
      <c r="O11" s="58" t="s">
        <v>176</v>
      </c>
      <c r="P11" s="58" t="s">
        <v>176</v>
      </c>
      <c r="Q11" s="58" t="s">
        <v>176</v>
      </c>
      <c r="R11" s="58" t="s">
        <v>176</v>
      </c>
      <c r="S11" s="319">
        <f>'Benton Co'!Q17+'Benton Co'!Q33</f>
        <v>351890</v>
      </c>
      <c r="T11" s="320">
        <f>'Benton Co'!R17+'Benton Co'!R33</f>
        <v>1217909</v>
      </c>
      <c r="V11" s="212"/>
    </row>
    <row r="12" spans="1:22" s="46" customFormat="1" ht="16.25" customHeight="1">
      <c r="A12" s="182" t="s">
        <v>28</v>
      </c>
      <c r="B12" s="188">
        <v>5.0000000000000001E-3</v>
      </c>
      <c r="C12" s="223">
        <v>2014</v>
      </c>
      <c r="D12" s="57" t="s">
        <v>176</v>
      </c>
      <c r="E12" s="58" t="s">
        <v>176</v>
      </c>
      <c r="F12" s="58" t="s">
        <v>176</v>
      </c>
      <c r="G12" s="58" t="s">
        <v>176</v>
      </c>
      <c r="H12" s="58" t="s">
        <v>176</v>
      </c>
      <c r="I12" s="58" t="s">
        <v>176</v>
      </c>
      <c r="J12" s="58" t="s">
        <v>176</v>
      </c>
      <c r="K12" s="58" t="s">
        <v>176</v>
      </c>
      <c r="L12" s="58" t="s">
        <v>176</v>
      </c>
      <c r="M12" s="58" t="s">
        <v>176</v>
      </c>
      <c r="N12" s="310">
        <f>'Becker Co'!L17+'Becker Co'!L33</f>
        <v>891621</v>
      </c>
      <c r="O12" s="310">
        <f>'Becker Co'!M17+'Becker Co'!M33</f>
        <v>2132901</v>
      </c>
      <c r="P12" s="310">
        <f>'Becker Co'!N17+'Becker Co'!N33</f>
        <v>2186818</v>
      </c>
      <c r="Q12" s="59">
        <f>'Becker Co'!O17+'Becker Co'!O33</f>
        <v>2399674</v>
      </c>
      <c r="R12" s="59">
        <f>'Becker Co'!P17+'Becker Co'!P33</f>
        <v>2668087</v>
      </c>
      <c r="S12" s="239">
        <f>'Becker Co'!Q17+'Becker Co'!Q33</f>
        <v>2697736</v>
      </c>
      <c r="T12" s="224">
        <f>'Becker Co'!R17+'Becker Co'!R33</f>
        <v>1267774</v>
      </c>
      <c r="V12" s="207"/>
    </row>
    <row r="13" spans="1:22" s="46" customFormat="1" ht="16.25" customHeight="1">
      <c r="A13" s="182" t="s">
        <v>31</v>
      </c>
      <c r="B13" s="188">
        <v>5.0000000000000001E-3</v>
      </c>
      <c r="C13" s="60">
        <v>2014</v>
      </c>
      <c r="D13" s="61" t="s">
        <v>176</v>
      </c>
      <c r="E13" s="62" t="s">
        <v>176</v>
      </c>
      <c r="F13" s="62" t="s">
        <v>176</v>
      </c>
      <c r="G13" s="62" t="s">
        <v>176</v>
      </c>
      <c r="H13" s="62" t="s">
        <v>176</v>
      </c>
      <c r="I13" s="62" t="s">
        <v>176</v>
      </c>
      <c r="J13" s="62" t="s">
        <v>176</v>
      </c>
      <c r="K13" s="62" t="s">
        <v>176</v>
      </c>
      <c r="L13" s="62" t="s">
        <v>176</v>
      </c>
      <c r="M13" s="62" t="s">
        <v>176</v>
      </c>
      <c r="N13" s="63">
        <f>'Beltrami Co'!L17+'Beltrami Co'!L33</f>
        <v>2019694</v>
      </c>
      <c r="O13" s="63">
        <f>'Beltrami Co'!M17+'Beltrami Co'!M33</f>
        <v>3422677</v>
      </c>
      <c r="P13" s="63">
        <f>'Beltrami Co'!N17+'Beltrami Co'!N33</f>
        <v>3658646</v>
      </c>
      <c r="Q13" s="63">
        <f>'Beltrami Co'!O17+'Beltrami Co'!O33</f>
        <v>3465150</v>
      </c>
      <c r="R13" s="63">
        <f>'Beltrami Co'!P17+'Beltrami Co'!P33</f>
        <v>3408638</v>
      </c>
      <c r="S13" s="237">
        <f>'Beltrami Co'!Q17+'Beltrami Co'!Q33</f>
        <v>3673226</v>
      </c>
      <c r="T13" s="155">
        <f>'Beltrami Co'!R17+'Beltrami Co'!R33</f>
        <v>1688512</v>
      </c>
      <c r="V13" s="207"/>
    </row>
    <row r="14" spans="1:22" s="46" customFormat="1" ht="16.25" customHeight="1">
      <c r="A14" s="182" t="s">
        <v>66</v>
      </c>
      <c r="B14" s="188">
        <v>5.0000000000000001E-3</v>
      </c>
      <c r="C14" s="60">
        <v>2016</v>
      </c>
      <c r="D14" s="61" t="s">
        <v>176</v>
      </c>
      <c r="E14" s="62" t="s">
        <v>176</v>
      </c>
      <c r="F14" s="62" t="s">
        <v>176</v>
      </c>
      <c r="G14" s="62" t="s">
        <v>176</v>
      </c>
      <c r="H14" s="62" t="s">
        <v>176</v>
      </c>
      <c r="I14" s="62" t="s">
        <v>176</v>
      </c>
      <c r="J14" s="62" t="s">
        <v>176</v>
      </c>
      <c r="K14" s="62" t="s">
        <v>176</v>
      </c>
      <c r="L14" s="62" t="s">
        <v>176</v>
      </c>
      <c r="M14" s="62" t="s">
        <v>176</v>
      </c>
      <c r="N14" s="62" t="s">
        <v>176</v>
      </c>
      <c r="O14" s="62" t="s">
        <v>176</v>
      </c>
      <c r="P14" s="63">
        <f>'Blue Earth Co'!N17+'Blue Earth Co'!N33</f>
        <v>3961540</v>
      </c>
      <c r="Q14" s="63">
        <f>'Blue Earth Co'!O17+'Blue Earth Co'!O33</f>
        <v>6021417</v>
      </c>
      <c r="R14" s="63">
        <f>'Blue Earth Co'!P17+'Blue Earth Co'!P33</f>
        <v>6304952</v>
      </c>
      <c r="S14" s="237">
        <f>'Blue Earth Co'!Q17+'Blue Earth Co'!Q33</f>
        <v>6465266</v>
      </c>
      <c r="T14" s="155">
        <f>'Blue Earth Co'!R17+'Blue Earth Co'!R33</f>
        <v>3069078</v>
      </c>
      <c r="V14" s="207"/>
    </row>
    <row r="15" spans="1:22" s="46" customFormat="1" ht="16.25" customHeight="1">
      <c r="A15" s="182" t="s">
        <v>67</v>
      </c>
      <c r="B15" s="188">
        <v>5.0000000000000001E-3</v>
      </c>
      <c r="C15" s="60">
        <v>2016</v>
      </c>
      <c r="D15" s="61" t="s">
        <v>176</v>
      </c>
      <c r="E15" s="62" t="s">
        <v>176</v>
      </c>
      <c r="F15" s="62" t="s">
        <v>176</v>
      </c>
      <c r="G15" s="62" t="s">
        <v>176</v>
      </c>
      <c r="H15" s="62" t="s">
        <v>176</v>
      </c>
      <c r="I15" s="62" t="s">
        <v>176</v>
      </c>
      <c r="J15" s="62" t="s">
        <v>176</v>
      </c>
      <c r="K15" s="62" t="s">
        <v>176</v>
      </c>
      <c r="L15" s="62" t="s">
        <v>176</v>
      </c>
      <c r="M15" s="62" t="s">
        <v>176</v>
      </c>
      <c r="N15" s="62" t="s">
        <v>176</v>
      </c>
      <c r="O15" s="62" t="s">
        <v>176</v>
      </c>
      <c r="P15" s="63">
        <f>'Brown Co'!N17+'Brown Co'!N33</f>
        <v>1127216</v>
      </c>
      <c r="Q15" s="63">
        <f>'Brown Co'!O17+'Brown Co'!O33</f>
        <v>1663602</v>
      </c>
      <c r="R15" s="63">
        <f>'Brown Co'!P17+'Brown Co'!P33</f>
        <v>1732971</v>
      </c>
      <c r="S15" s="237">
        <f>'Brown Co'!Q17+'Brown Co'!Q33</f>
        <v>1835721</v>
      </c>
      <c r="T15" s="155">
        <f>'Brown Co'!R17+'Brown Co'!R33</f>
        <v>960219</v>
      </c>
    </row>
    <row r="16" spans="1:22" s="46" customFormat="1" ht="16.25" customHeight="1">
      <c r="A16" s="182" t="s">
        <v>34</v>
      </c>
      <c r="B16" s="188">
        <v>5.0000000000000001E-3</v>
      </c>
      <c r="C16" s="60">
        <v>2015</v>
      </c>
      <c r="D16" s="61" t="s">
        <v>176</v>
      </c>
      <c r="E16" s="62" t="s">
        <v>176</v>
      </c>
      <c r="F16" s="62" t="s">
        <v>176</v>
      </c>
      <c r="G16" s="62" t="s">
        <v>176</v>
      </c>
      <c r="H16" s="62" t="s">
        <v>176</v>
      </c>
      <c r="I16" s="62" t="s">
        <v>176</v>
      </c>
      <c r="J16" s="62" t="s">
        <v>176</v>
      </c>
      <c r="K16" s="62" t="s">
        <v>176</v>
      </c>
      <c r="L16" s="62" t="s">
        <v>176</v>
      </c>
      <c r="M16" s="62" t="s">
        <v>176</v>
      </c>
      <c r="N16" s="62" t="s">
        <v>176</v>
      </c>
      <c r="O16" s="63">
        <f>'Carlton Co'!M17+'Carlton Co'!M33</f>
        <v>1102758</v>
      </c>
      <c r="P16" s="63">
        <f>'Carlton Co'!N17+'Carlton Co'!N33</f>
        <v>1727802</v>
      </c>
      <c r="Q16" s="63">
        <f>'Carlton Co'!O17+'Carlton Co'!O33</f>
        <v>1964660</v>
      </c>
      <c r="R16" s="63">
        <f>'Carlton Co'!P17+'Carlton Co'!P33</f>
        <v>1823878</v>
      </c>
      <c r="S16" s="240">
        <f>'Carlton Co'!Q17+'Carlton Co'!Q33</f>
        <v>1925491</v>
      </c>
      <c r="T16" s="156">
        <f>'Carlton Co'!R17+'Carlton Co'!R33</f>
        <v>956482</v>
      </c>
    </row>
    <row r="17" spans="1:21" s="46" customFormat="1" ht="16.25" customHeight="1">
      <c r="A17" s="182" t="s">
        <v>138</v>
      </c>
      <c r="B17" s="188">
        <v>5.0000000000000001E-3</v>
      </c>
      <c r="C17" s="60">
        <v>2017</v>
      </c>
      <c r="D17" s="61" t="s">
        <v>176</v>
      </c>
      <c r="E17" s="62" t="s">
        <v>176</v>
      </c>
      <c r="F17" s="62" t="s">
        <v>176</v>
      </c>
      <c r="G17" s="62" t="s">
        <v>176</v>
      </c>
      <c r="H17" s="62" t="s">
        <v>176</v>
      </c>
      <c r="I17" s="62" t="s">
        <v>176</v>
      </c>
      <c r="J17" s="62" t="s">
        <v>176</v>
      </c>
      <c r="K17" s="62" t="s">
        <v>176</v>
      </c>
      <c r="L17" s="62" t="s">
        <v>176</v>
      </c>
      <c r="M17" s="62" t="s">
        <v>176</v>
      </c>
      <c r="N17" s="62" t="s">
        <v>176</v>
      </c>
      <c r="O17" s="62" t="s">
        <v>176</v>
      </c>
      <c r="P17" s="62" t="s">
        <v>176</v>
      </c>
      <c r="Q17" s="63">
        <f>'Carver Co'!O17+'Carver Co'!O33</f>
        <v>892342</v>
      </c>
      <c r="R17" s="63">
        <f>'Carver Co'!P17+'Carver Co'!P33</f>
        <v>7216800</v>
      </c>
      <c r="S17" s="237">
        <f>'Carver Co'!Q17+'Carver Co'!Q33</f>
        <v>8834428</v>
      </c>
      <c r="T17" s="155">
        <f>'Carver Co'!R17+'Carver Co'!R33</f>
        <v>4374402</v>
      </c>
      <c r="U17" s="222"/>
    </row>
    <row r="18" spans="1:21" s="46" customFormat="1" ht="16.25" customHeight="1">
      <c r="A18" s="182" t="s">
        <v>68</v>
      </c>
      <c r="B18" s="188">
        <v>5.0000000000000001E-3</v>
      </c>
      <c r="C18" s="60">
        <v>2016</v>
      </c>
      <c r="D18" s="61" t="s">
        <v>176</v>
      </c>
      <c r="E18" s="62" t="s">
        <v>176</v>
      </c>
      <c r="F18" s="62" t="s">
        <v>176</v>
      </c>
      <c r="G18" s="62" t="s">
        <v>176</v>
      </c>
      <c r="H18" s="62" t="s">
        <v>176</v>
      </c>
      <c r="I18" s="62" t="s">
        <v>176</v>
      </c>
      <c r="J18" s="62" t="s">
        <v>176</v>
      </c>
      <c r="K18" s="62" t="s">
        <v>176</v>
      </c>
      <c r="L18" s="62" t="s">
        <v>176</v>
      </c>
      <c r="M18" s="62" t="s">
        <v>176</v>
      </c>
      <c r="N18" s="62" t="s">
        <v>176</v>
      </c>
      <c r="O18" s="62" t="s">
        <v>176</v>
      </c>
      <c r="P18" s="63">
        <f>'Cass Co'!N17+'Cass Co'!N33</f>
        <v>1296754</v>
      </c>
      <c r="Q18" s="63">
        <f>'Cass Co'!O17+'Cass Co'!O33</f>
        <v>1795180</v>
      </c>
      <c r="R18" s="63">
        <f>'Cass Co'!P17+'Cass Co'!P33</f>
        <v>2008434</v>
      </c>
      <c r="S18" s="240">
        <f>'Cass Co'!Q17+'Cass Co'!Q33</f>
        <v>2075251</v>
      </c>
      <c r="T18" s="156">
        <f>'Cass Co'!R17+'Cass Co'!R33</f>
        <v>877991</v>
      </c>
    </row>
    <row r="19" spans="1:21" s="46" customFormat="1" ht="16.25" customHeight="1">
      <c r="A19" s="182" t="s">
        <v>69</v>
      </c>
      <c r="B19" s="188">
        <v>5.0000000000000001E-3</v>
      </c>
      <c r="C19" s="60">
        <v>2016</v>
      </c>
      <c r="D19" s="61" t="s">
        <v>176</v>
      </c>
      <c r="E19" s="62" t="s">
        <v>176</v>
      </c>
      <c r="F19" s="62" t="s">
        <v>176</v>
      </c>
      <c r="G19" s="62" t="s">
        <v>176</v>
      </c>
      <c r="H19" s="62" t="s">
        <v>176</v>
      </c>
      <c r="I19" s="62" t="s">
        <v>176</v>
      </c>
      <c r="J19" s="62" t="s">
        <v>176</v>
      </c>
      <c r="K19" s="62" t="s">
        <v>176</v>
      </c>
      <c r="L19" s="62" t="s">
        <v>176</v>
      </c>
      <c r="M19" s="62" t="s">
        <v>176</v>
      </c>
      <c r="N19" s="62" t="s">
        <v>176</v>
      </c>
      <c r="O19" s="62" t="s">
        <v>176</v>
      </c>
      <c r="P19" s="63">
        <f>'Chisago Co'!N17+'Chisago Co'!N33</f>
        <v>1377569</v>
      </c>
      <c r="Q19" s="63">
        <f>'Chisago Co'!O17+'Chisago Co'!O33</f>
        <v>2178378</v>
      </c>
      <c r="R19" s="63">
        <f>'Chisago Co'!P17+'Chisago Co'!P33</f>
        <v>2393599</v>
      </c>
      <c r="S19" s="241">
        <f>'Chisago Co'!Q17+'Chisago Co'!Q33</f>
        <v>2699640</v>
      </c>
      <c r="T19" s="157">
        <f>'Chisago Co'!R17+'Chisago Co'!R33</f>
        <v>1313171</v>
      </c>
    </row>
    <row r="20" spans="1:21" s="46" customFormat="1" ht="16.25" customHeight="1">
      <c r="A20" s="182" t="s">
        <v>20</v>
      </c>
      <c r="B20" s="188">
        <v>5.0000000000000001E-3</v>
      </c>
      <c r="C20" s="60">
        <v>2017</v>
      </c>
      <c r="D20" s="61" t="s">
        <v>176</v>
      </c>
      <c r="E20" s="62" t="s">
        <v>176</v>
      </c>
      <c r="F20" s="62" t="s">
        <v>176</v>
      </c>
      <c r="G20" s="62" t="s">
        <v>176</v>
      </c>
      <c r="H20" s="62" t="s">
        <v>176</v>
      </c>
      <c r="I20" s="62" t="s">
        <v>176</v>
      </c>
      <c r="J20" s="62" t="s">
        <v>176</v>
      </c>
      <c r="K20" s="62" t="s">
        <v>176</v>
      </c>
      <c r="L20" s="62" t="s">
        <v>176</v>
      </c>
      <c r="M20" s="62" t="s">
        <v>176</v>
      </c>
      <c r="N20" s="62" t="s">
        <v>176</v>
      </c>
      <c r="O20" s="62" t="s">
        <v>176</v>
      </c>
      <c r="P20" s="62" t="s">
        <v>176</v>
      </c>
      <c r="Q20" s="63">
        <f>'Cook Co'!O17+'Cook Co'!O33</f>
        <v>677578</v>
      </c>
      <c r="R20" s="63">
        <f>'Cook Co'!P17+'Cook Co'!P33</f>
        <v>829460</v>
      </c>
      <c r="S20" s="242">
        <f>'Cook Co'!Q17+'Cook Co'!Q33</f>
        <v>901315</v>
      </c>
      <c r="T20" s="155">
        <f>'Cook Co'!R17+'Cook Co'!R33</f>
        <v>308273</v>
      </c>
    </row>
    <row r="21" spans="1:21" s="46" customFormat="1" ht="16.25" customHeight="1">
      <c r="A21" s="182" t="s">
        <v>70</v>
      </c>
      <c r="B21" s="188">
        <v>5.0000000000000001E-3</v>
      </c>
      <c r="C21" s="60">
        <v>2016</v>
      </c>
      <c r="D21" s="61" t="s">
        <v>176</v>
      </c>
      <c r="E21" s="62" t="s">
        <v>176</v>
      </c>
      <c r="F21" s="62" t="s">
        <v>176</v>
      </c>
      <c r="G21" s="62" t="s">
        <v>176</v>
      </c>
      <c r="H21" s="62" t="s">
        <v>176</v>
      </c>
      <c r="I21" s="62" t="s">
        <v>176</v>
      </c>
      <c r="J21" s="62" t="s">
        <v>176</v>
      </c>
      <c r="K21" s="62" t="s">
        <v>176</v>
      </c>
      <c r="L21" s="62" t="s">
        <v>176</v>
      </c>
      <c r="M21" s="62" t="s">
        <v>176</v>
      </c>
      <c r="N21" s="62" t="s">
        <v>176</v>
      </c>
      <c r="O21" s="62" t="s">
        <v>176</v>
      </c>
      <c r="P21" s="63">
        <f>'Crow Wing Co'!N17+'Crow Wing Co'!N33</f>
        <v>4142131</v>
      </c>
      <c r="Q21" s="63">
        <f>'Crow Wing Co'!O17+'Crow Wing Co'!O33</f>
        <v>6087433</v>
      </c>
      <c r="R21" s="63">
        <f>'Crow Wing Co'!P17+'Crow Wing Co'!P33</f>
        <v>6489291</v>
      </c>
      <c r="S21" s="241">
        <f>'Crow Wing Co'!Q17+'Crow Wing Co'!Q33</f>
        <v>7032394</v>
      </c>
      <c r="T21" s="157">
        <f>'Crow Wing Co'!R17+'Crow Wing Co'!R33</f>
        <v>3128552</v>
      </c>
    </row>
    <row r="22" spans="1:21" s="46" customFormat="1" ht="16.25" customHeight="1">
      <c r="A22" s="182" t="s">
        <v>139</v>
      </c>
      <c r="B22" s="188">
        <v>2.5000000000000001E-3</v>
      </c>
      <c r="C22" s="60">
        <v>2017</v>
      </c>
      <c r="D22" s="61" t="s">
        <v>176</v>
      </c>
      <c r="E22" s="62" t="s">
        <v>176</v>
      </c>
      <c r="F22" s="62" t="s">
        <v>176</v>
      </c>
      <c r="G22" s="62" t="s">
        <v>176</v>
      </c>
      <c r="H22" s="62" t="s">
        <v>176</v>
      </c>
      <c r="I22" s="62" t="s">
        <v>176</v>
      </c>
      <c r="J22" s="62" t="s">
        <v>176</v>
      </c>
      <c r="K22" s="62" t="s">
        <v>176</v>
      </c>
      <c r="L22" s="62" t="s">
        <v>176</v>
      </c>
      <c r="M22" s="62" t="s">
        <v>176</v>
      </c>
      <c r="N22" s="62" t="s">
        <v>176</v>
      </c>
      <c r="O22" s="62" t="s">
        <v>176</v>
      </c>
      <c r="P22" s="62" t="s">
        <v>176</v>
      </c>
      <c r="Q22" s="63">
        <f>'Dakota Co'!O17+'Dakota Co'!O33</f>
        <v>2536993</v>
      </c>
      <c r="R22" s="63">
        <f>'Dakota Co'!P17+'Dakota Co'!P33</f>
        <v>16585084</v>
      </c>
      <c r="S22" s="237">
        <f>'Dakota Co'!Q17+'Dakota Co'!Q33</f>
        <v>17717456</v>
      </c>
      <c r="T22" s="155">
        <f>'Dakota Co'!R17+'Dakota Co'!R33</f>
        <v>8475760</v>
      </c>
    </row>
    <row r="23" spans="1:21" s="201" customFormat="1" ht="16.25" customHeight="1">
      <c r="A23" s="204" t="s">
        <v>286</v>
      </c>
      <c r="B23" s="197">
        <v>5.0000000000000001E-3</v>
      </c>
      <c r="C23" s="198">
        <v>2019</v>
      </c>
      <c r="D23" s="199"/>
      <c r="E23" s="200"/>
      <c r="F23" s="200"/>
      <c r="G23" s="200"/>
      <c r="H23" s="200"/>
      <c r="I23" s="200"/>
      <c r="J23" s="200" t="s">
        <v>176</v>
      </c>
      <c r="K23" s="200" t="s">
        <v>176</v>
      </c>
      <c r="L23" s="200" t="s">
        <v>176</v>
      </c>
      <c r="M23" s="200" t="s">
        <v>176</v>
      </c>
      <c r="N23" s="200" t="s">
        <v>176</v>
      </c>
      <c r="O23" s="200" t="s">
        <v>176</v>
      </c>
      <c r="P23" s="200" t="s">
        <v>176</v>
      </c>
      <c r="Q23" s="200" t="s">
        <v>176</v>
      </c>
      <c r="R23" s="200" t="s">
        <v>176</v>
      </c>
      <c r="S23" s="200">
        <f>'Dodge Co'!Q17+'Dodge Co'!Q33</f>
        <v>780842</v>
      </c>
      <c r="T23" s="155">
        <f>'Dodge Co'!R17+'Dodge Co'!R33</f>
        <v>488141</v>
      </c>
    </row>
    <row r="24" spans="1:21" s="46" customFormat="1" ht="16.25" customHeight="1">
      <c r="A24" s="182" t="s">
        <v>45</v>
      </c>
      <c r="B24" s="188">
        <v>5.0000000000000001E-3</v>
      </c>
      <c r="C24" s="60">
        <v>2014</v>
      </c>
      <c r="D24" s="61" t="s">
        <v>176</v>
      </c>
      <c r="E24" s="62" t="s">
        <v>176</v>
      </c>
      <c r="F24" s="62" t="s">
        <v>176</v>
      </c>
      <c r="G24" s="62" t="s">
        <v>176</v>
      </c>
      <c r="H24" s="62" t="s">
        <v>176</v>
      </c>
      <c r="I24" s="62" t="s">
        <v>176</v>
      </c>
      <c r="J24" s="62" t="s">
        <v>176</v>
      </c>
      <c r="K24" s="62" t="s">
        <v>176</v>
      </c>
      <c r="L24" s="62" t="s">
        <v>176</v>
      </c>
      <c r="M24" s="62" t="s">
        <v>176</v>
      </c>
      <c r="N24" s="63">
        <f>'Douglas Co'!L17+'Douglas Co'!L33</f>
        <v>438645</v>
      </c>
      <c r="O24" s="63">
        <f>'Douglas Co'!M17+'Douglas Co'!M33</f>
        <v>3147085</v>
      </c>
      <c r="P24" s="63">
        <f>'Douglas Co'!N17+'Douglas Co'!N33</f>
        <v>3227977</v>
      </c>
      <c r="Q24" s="63">
        <f>'Douglas Co'!O17+'Douglas Co'!O33</f>
        <v>3390519</v>
      </c>
      <c r="R24" s="63">
        <f>'Douglas Co'!P17+'Douglas Co'!P33</f>
        <v>3499028</v>
      </c>
      <c r="S24" s="237">
        <f>'Douglas Co'!Q17+'Douglas Co'!Q33</f>
        <v>3690799</v>
      </c>
      <c r="T24" s="155">
        <f>'Douglas Co'!R17+'Douglas Co'!R33</f>
        <v>1716002</v>
      </c>
    </row>
    <row r="25" spans="1:21" s="46" customFormat="1" ht="16.25" customHeight="1">
      <c r="A25" s="182" t="s">
        <v>46</v>
      </c>
      <c r="B25" s="188">
        <v>5.0000000000000001E-3</v>
      </c>
      <c r="C25" s="60">
        <v>2015</v>
      </c>
      <c r="D25" s="61" t="s">
        <v>176</v>
      </c>
      <c r="E25" s="62" t="s">
        <v>176</v>
      </c>
      <c r="F25" s="62" t="s">
        <v>176</v>
      </c>
      <c r="G25" s="62" t="s">
        <v>176</v>
      </c>
      <c r="H25" s="62" t="s">
        <v>176</v>
      </c>
      <c r="I25" s="62" t="s">
        <v>176</v>
      </c>
      <c r="J25" s="62" t="s">
        <v>176</v>
      </c>
      <c r="K25" s="62" t="s">
        <v>176</v>
      </c>
      <c r="L25" s="62" t="s">
        <v>176</v>
      </c>
      <c r="M25" s="62" t="s">
        <v>176</v>
      </c>
      <c r="N25" s="62" t="s">
        <v>176</v>
      </c>
      <c r="O25" s="63">
        <f>'Fillmore Co'!M17+'Fillmore Co'!M33</f>
        <v>726549</v>
      </c>
      <c r="P25" s="63">
        <f>'Fillmore Co'!N17+'Fillmore Co'!N33</f>
        <v>850283</v>
      </c>
      <c r="Q25" s="63">
        <f>'Fillmore Co'!O17+'Fillmore Co'!O33</f>
        <v>875698</v>
      </c>
      <c r="R25" s="63">
        <f>'Fillmore Co'!P17+'Fillmore Co'!P33</f>
        <v>914559</v>
      </c>
      <c r="S25" s="237">
        <f>'Fillmore Co'!Q17+'Fillmore Co'!Q33</f>
        <v>962965</v>
      </c>
      <c r="T25" s="155">
        <f>'Fillmore Co'!R17+'Fillmore Co'!R33</f>
        <v>486446</v>
      </c>
    </row>
    <row r="26" spans="1:21" s="46" customFormat="1" ht="16.25" customHeight="1">
      <c r="A26" s="182" t="s">
        <v>65</v>
      </c>
      <c r="B26" s="188">
        <v>5.0000000000000001E-3</v>
      </c>
      <c r="C26" s="60">
        <v>2016</v>
      </c>
      <c r="D26" s="61" t="s">
        <v>176</v>
      </c>
      <c r="E26" s="62" t="s">
        <v>176</v>
      </c>
      <c r="F26" s="62" t="s">
        <v>176</v>
      </c>
      <c r="G26" s="62" t="s">
        <v>176</v>
      </c>
      <c r="H26" s="62" t="s">
        <v>176</v>
      </c>
      <c r="I26" s="62" t="s">
        <v>176</v>
      </c>
      <c r="J26" s="62" t="s">
        <v>176</v>
      </c>
      <c r="K26" s="62" t="s">
        <v>176</v>
      </c>
      <c r="L26" s="62" t="s">
        <v>176</v>
      </c>
      <c r="M26" s="62" t="s">
        <v>176</v>
      </c>
      <c r="N26" s="62" t="s">
        <v>176</v>
      </c>
      <c r="O26" s="62" t="s">
        <v>176</v>
      </c>
      <c r="P26" s="63">
        <f>'Freeborn Co'!N17+'Freeborn Co'!N33</f>
        <v>1694931</v>
      </c>
      <c r="Q26" s="63">
        <f>'Freeborn Co'!O17+'Freeborn Co'!O33</f>
        <v>1899193</v>
      </c>
      <c r="R26" s="63">
        <f>'Freeborn Co'!P17+'Freeborn Co'!P33</f>
        <v>2012409</v>
      </c>
      <c r="S26" s="240">
        <f>'Freeborn Co'!Q17+'Freeborn Co'!Q33</f>
        <v>2136124</v>
      </c>
      <c r="T26" s="156">
        <f>'Freeborn Co'!R17+'Freeborn Co'!R33</f>
        <v>999184</v>
      </c>
    </row>
    <row r="27" spans="1:21" s="201" customFormat="1" ht="16.25" customHeight="1">
      <c r="A27" s="204" t="s">
        <v>285</v>
      </c>
      <c r="B27" s="197">
        <v>5.0000000000000001E-3</v>
      </c>
      <c r="C27" s="198">
        <v>2019</v>
      </c>
      <c r="D27" s="199"/>
      <c r="E27" s="200"/>
      <c r="F27" s="200"/>
      <c r="G27" s="200"/>
      <c r="H27" s="200"/>
      <c r="I27" s="200"/>
      <c r="J27" s="200" t="s">
        <v>176</v>
      </c>
      <c r="K27" s="200" t="s">
        <v>176</v>
      </c>
      <c r="L27" s="200" t="s">
        <v>176</v>
      </c>
      <c r="M27" s="200" t="s">
        <v>176</v>
      </c>
      <c r="N27" s="200" t="s">
        <v>176</v>
      </c>
      <c r="O27" s="200" t="s">
        <v>176</v>
      </c>
      <c r="P27" s="200" t="s">
        <v>176</v>
      </c>
      <c r="Q27" s="200" t="s">
        <v>176</v>
      </c>
      <c r="R27" s="200" t="s">
        <v>176</v>
      </c>
      <c r="S27" s="200">
        <f>'Goodhue Co'!Q17+'Goodhue Co'!Q33</f>
        <v>3030411</v>
      </c>
      <c r="T27" s="155">
        <f>'Goodhue Co'!R17+'Goodhue Co'!R33</f>
        <v>1610036</v>
      </c>
    </row>
    <row r="28" spans="1:21" s="46" customFormat="1" ht="16.25" customHeight="1">
      <c r="A28" s="182" t="s">
        <v>140</v>
      </c>
      <c r="B28" s="188">
        <v>5.0000000000000001E-3</v>
      </c>
      <c r="C28" s="60">
        <v>2017</v>
      </c>
      <c r="D28" s="61" t="s">
        <v>176</v>
      </c>
      <c r="E28" s="62" t="s">
        <v>176</v>
      </c>
      <c r="F28" s="62" t="s">
        <v>176</v>
      </c>
      <c r="G28" s="62" t="s">
        <v>176</v>
      </c>
      <c r="H28" s="62" t="s">
        <v>176</v>
      </c>
      <c r="I28" s="62" t="s">
        <v>176</v>
      </c>
      <c r="J28" s="62" t="s">
        <v>176</v>
      </c>
      <c r="K28" s="62" t="s">
        <v>176</v>
      </c>
      <c r="L28" s="62" t="s">
        <v>176</v>
      </c>
      <c r="M28" s="62" t="s">
        <v>176</v>
      </c>
      <c r="N28" s="62" t="s">
        <v>176</v>
      </c>
      <c r="O28" s="62" t="s">
        <v>176</v>
      </c>
      <c r="P28" s="62" t="s">
        <v>176</v>
      </c>
      <c r="Q28" s="63">
        <f>'Hennepin Co'!O17+'Hennepin Co'!O33</f>
        <v>19982941</v>
      </c>
      <c r="R28" s="63">
        <f>'Hennepin Co'!P17+'Hennepin Co'!P33</f>
        <v>130059592</v>
      </c>
      <c r="S28" s="242">
        <f>'Hennepin Co'!Q17+'Hennepin Co'!Q33</f>
        <v>136129636</v>
      </c>
      <c r="T28" s="155">
        <f>'Hennepin Co'!R17+'Hennepin Co'!R33</f>
        <v>60139044</v>
      </c>
    </row>
    <row r="29" spans="1:21" s="46" customFormat="1" ht="16.25" customHeight="1">
      <c r="A29" s="182" t="s">
        <v>47</v>
      </c>
      <c r="B29" s="188">
        <v>5.0000000000000001E-3</v>
      </c>
      <c r="C29" s="60">
        <v>2015</v>
      </c>
      <c r="D29" s="64" t="s">
        <v>176</v>
      </c>
      <c r="E29" s="65" t="s">
        <v>176</v>
      </c>
      <c r="F29" s="65" t="s">
        <v>176</v>
      </c>
      <c r="G29" s="62" t="s">
        <v>176</v>
      </c>
      <c r="H29" s="62" t="s">
        <v>176</v>
      </c>
      <c r="I29" s="62" t="s">
        <v>176</v>
      </c>
      <c r="J29" s="62" t="s">
        <v>176</v>
      </c>
      <c r="K29" s="62" t="s">
        <v>176</v>
      </c>
      <c r="L29" s="62" t="s">
        <v>176</v>
      </c>
      <c r="M29" s="62" t="s">
        <v>176</v>
      </c>
      <c r="N29" s="62" t="s">
        <v>176</v>
      </c>
      <c r="O29" s="63">
        <f>'Hubbard Co'!M17+'Hubbard Co'!M33</f>
        <v>428043</v>
      </c>
      <c r="P29" s="63">
        <f>'Hubbard Co'!N17+'Hubbard Co'!N33</f>
        <v>929720</v>
      </c>
      <c r="Q29" s="63">
        <f>'Hubbard Co'!O17+'Hubbard Co'!O33</f>
        <v>1040001</v>
      </c>
      <c r="R29" s="63">
        <f>'Hubbard Co'!P17+'Hubbard Co'!P33</f>
        <v>1289407</v>
      </c>
      <c r="S29" s="242">
        <f>'Hubbard Co'!Q17+'Hubbard Co'!Q33</f>
        <v>1340277</v>
      </c>
      <c r="T29" s="156">
        <f>'Hubbard Co'!R17+'Hubbard Co'!R33</f>
        <v>658449</v>
      </c>
    </row>
    <row r="30" spans="1:21" s="46" customFormat="1" ht="16.25" customHeight="1">
      <c r="A30" s="182" t="s">
        <v>296</v>
      </c>
      <c r="B30" s="188">
        <v>5.0000000000000001E-3</v>
      </c>
      <c r="C30" s="60">
        <v>2019</v>
      </c>
      <c r="D30" s="64"/>
      <c r="E30" s="65"/>
      <c r="F30" s="65"/>
      <c r="G30" s="62"/>
      <c r="H30" s="62"/>
      <c r="I30" s="62"/>
      <c r="J30" s="62" t="s">
        <v>176</v>
      </c>
      <c r="K30" s="62" t="s">
        <v>176</v>
      </c>
      <c r="L30" s="62" t="s">
        <v>176</v>
      </c>
      <c r="M30" s="62" t="s">
        <v>176</v>
      </c>
      <c r="N30" s="62" t="s">
        <v>176</v>
      </c>
      <c r="O30" s="62" t="s">
        <v>176</v>
      </c>
      <c r="P30" s="62" t="s">
        <v>176</v>
      </c>
      <c r="Q30" s="62" t="s">
        <v>176</v>
      </c>
      <c r="R30" s="62" t="s">
        <v>176</v>
      </c>
      <c r="S30" s="243">
        <f>'Isanti Co'!Q17+'Isanti Co'!Q33</f>
        <v>934458</v>
      </c>
      <c r="T30" s="308">
        <f>'Isanti Co'!R17+'Isanti Co'!R33</f>
        <v>1190677</v>
      </c>
    </row>
    <row r="31" spans="1:21" s="46" customFormat="1" ht="16.25" customHeight="1">
      <c r="A31" s="182" t="s">
        <v>306</v>
      </c>
      <c r="B31" s="188">
        <v>5.0000000000000001E-3</v>
      </c>
      <c r="C31" s="60">
        <v>2020</v>
      </c>
      <c r="D31" s="64"/>
      <c r="E31" s="65"/>
      <c r="F31" s="65"/>
      <c r="G31" s="62"/>
      <c r="H31" s="62"/>
      <c r="I31" s="62"/>
      <c r="J31" s="62" t="s">
        <v>176</v>
      </c>
      <c r="K31" s="62" t="s">
        <v>176</v>
      </c>
      <c r="L31" s="62" t="s">
        <v>176</v>
      </c>
      <c r="M31" s="62" t="s">
        <v>176</v>
      </c>
      <c r="N31" s="62" t="s">
        <v>176</v>
      </c>
      <c r="O31" s="62" t="s">
        <v>176</v>
      </c>
      <c r="P31" s="62" t="s">
        <v>176</v>
      </c>
      <c r="Q31" s="62" t="s">
        <v>176</v>
      </c>
      <c r="R31" s="62" t="s">
        <v>176</v>
      </c>
      <c r="S31" s="62" t="s">
        <v>176</v>
      </c>
      <c r="T31" s="155">
        <f>'Kanabec Co'!R17+'Kanabec Co'!R33</f>
        <v>238877</v>
      </c>
    </row>
    <row r="32" spans="1:21" s="46" customFormat="1" ht="16.25" customHeight="1">
      <c r="A32" s="182" t="s">
        <v>184</v>
      </c>
      <c r="B32" s="188">
        <v>5.0000000000000001E-3</v>
      </c>
      <c r="C32" s="60">
        <v>2018</v>
      </c>
      <c r="D32" s="64" t="s">
        <v>176</v>
      </c>
      <c r="E32" s="65" t="s">
        <v>176</v>
      </c>
      <c r="F32" s="65" t="s">
        <v>176</v>
      </c>
      <c r="G32" s="62" t="s">
        <v>176</v>
      </c>
      <c r="H32" s="62" t="s">
        <v>176</v>
      </c>
      <c r="I32" s="62" t="s">
        <v>176</v>
      </c>
      <c r="J32" s="62" t="s">
        <v>176</v>
      </c>
      <c r="K32" s="62" t="s">
        <v>176</v>
      </c>
      <c r="L32" s="62" t="s">
        <v>176</v>
      </c>
      <c r="M32" s="62" t="s">
        <v>176</v>
      </c>
      <c r="N32" s="62" t="s">
        <v>176</v>
      </c>
      <c r="O32" s="62" t="s">
        <v>176</v>
      </c>
      <c r="P32" s="62" t="s">
        <v>176</v>
      </c>
      <c r="Q32" s="62" t="s">
        <v>176</v>
      </c>
      <c r="R32" s="63">
        <f>'Kandiyohi Co'!P17+'Kandiyohi Co'!P33</f>
        <v>2028807</v>
      </c>
      <c r="S32" s="242">
        <f>'Kandiyohi Co'!Q17+'Kandiyohi Co'!Q33</f>
        <v>3168895</v>
      </c>
      <c r="T32" s="155">
        <f>'Kandiyohi Co'!R17+'Kandiyohi Co'!R33</f>
        <v>1578082</v>
      </c>
    </row>
    <row r="33" spans="1:20" s="46" customFormat="1" ht="16.25" customHeight="1">
      <c r="A33" s="182" t="s">
        <v>131</v>
      </c>
      <c r="B33" s="188">
        <v>5.0000000000000001E-3</v>
      </c>
      <c r="C33" s="60">
        <v>2017</v>
      </c>
      <c r="D33" s="64" t="s">
        <v>176</v>
      </c>
      <c r="E33" s="65" t="s">
        <v>176</v>
      </c>
      <c r="F33" s="65" t="s">
        <v>176</v>
      </c>
      <c r="G33" s="62" t="s">
        <v>176</v>
      </c>
      <c r="H33" s="62" t="s">
        <v>176</v>
      </c>
      <c r="I33" s="62" t="s">
        <v>176</v>
      </c>
      <c r="J33" s="62" t="s">
        <v>176</v>
      </c>
      <c r="K33" s="62" t="s">
        <v>176</v>
      </c>
      <c r="L33" s="62" t="s">
        <v>176</v>
      </c>
      <c r="M33" s="62" t="s">
        <v>176</v>
      </c>
      <c r="N33" s="62" t="s">
        <v>176</v>
      </c>
      <c r="O33" s="62" t="s">
        <v>176</v>
      </c>
      <c r="P33" s="62" t="s">
        <v>176</v>
      </c>
      <c r="Q33" s="63">
        <f>'Lake Co'!O17+'Lake Co'!O33</f>
        <v>534316</v>
      </c>
      <c r="R33" s="63">
        <f>'Lake Co'!P17+'Lake Co'!P33</f>
        <v>918788</v>
      </c>
      <c r="S33" s="242">
        <f>'Lake Co'!Q17+'Lake Co'!Q33</f>
        <v>972984</v>
      </c>
      <c r="T33" s="155">
        <f>'Lake Co'!R17+'Lake Co'!R33</f>
        <v>393519</v>
      </c>
    </row>
    <row r="34" spans="1:20" s="46" customFormat="1" ht="16.25" customHeight="1">
      <c r="A34" s="182" t="s">
        <v>43</v>
      </c>
      <c r="B34" s="188">
        <v>5.0000000000000001E-3</v>
      </c>
      <c r="C34" s="60">
        <v>2015</v>
      </c>
      <c r="D34" s="64" t="s">
        <v>176</v>
      </c>
      <c r="E34" s="65" t="s">
        <v>176</v>
      </c>
      <c r="F34" s="65" t="s">
        <v>176</v>
      </c>
      <c r="G34" s="62" t="s">
        <v>176</v>
      </c>
      <c r="H34" s="62" t="s">
        <v>176</v>
      </c>
      <c r="I34" s="62" t="s">
        <v>176</v>
      </c>
      <c r="J34" s="62" t="s">
        <v>176</v>
      </c>
      <c r="K34" s="62" t="s">
        <v>176</v>
      </c>
      <c r="L34" s="62" t="s">
        <v>176</v>
      </c>
      <c r="M34" s="62" t="s">
        <v>176</v>
      </c>
      <c r="N34" s="62" t="s">
        <v>176</v>
      </c>
      <c r="O34" s="63">
        <f>'Lyon Co'!M17+'Lyon Co'!M33</f>
        <v>291539</v>
      </c>
      <c r="P34" s="63">
        <f>'Lyon Co'!N17+'Lyon Co'!N33</f>
        <v>1868381</v>
      </c>
      <c r="Q34" s="63">
        <f>'Lyon Co'!O17+'Lyon Co'!O33</f>
        <v>1880882</v>
      </c>
      <c r="R34" s="63">
        <f>'Lyon Co'!P17+'Lyon Co'!P33</f>
        <v>1909545</v>
      </c>
      <c r="S34" s="242">
        <f>'Lyon Co'!Q17+'Lyon Co'!Q33</f>
        <v>2080318</v>
      </c>
      <c r="T34" s="155">
        <f>'Lyon Co'!R17+'Lyon Co'!R33</f>
        <v>872526</v>
      </c>
    </row>
    <row r="35" spans="1:20" s="46" customFormat="1" ht="16.25" customHeight="1">
      <c r="A35" s="182" t="s">
        <v>307</v>
      </c>
      <c r="B35" s="188">
        <v>5.0000000000000001E-3</v>
      </c>
      <c r="C35" s="60">
        <v>2020</v>
      </c>
      <c r="D35" s="64"/>
      <c r="E35" s="65"/>
      <c r="F35" s="65"/>
      <c r="G35" s="62"/>
      <c r="H35" s="62"/>
      <c r="I35" s="62"/>
      <c r="J35" s="62" t="s">
        <v>176</v>
      </c>
      <c r="K35" s="62" t="s">
        <v>176</v>
      </c>
      <c r="L35" s="62" t="s">
        <v>176</v>
      </c>
      <c r="M35" s="62" t="s">
        <v>176</v>
      </c>
      <c r="N35" s="62" t="s">
        <v>176</v>
      </c>
      <c r="O35" s="62" t="s">
        <v>176</v>
      </c>
      <c r="P35" s="62" t="s">
        <v>176</v>
      </c>
      <c r="Q35" s="62" t="s">
        <v>176</v>
      </c>
      <c r="R35" s="62" t="s">
        <v>176</v>
      </c>
      <c r="S35" s="62" t="s">
        <v>176</v>
      </c>
      <c r="T35" s="155">
        <f>'McLeod Co'!R17+'McLeod Co'!R33</f>
        <v>953916</v>
      </c>
    </row>
    <row r="36" spans="1:20" s="46" customFormat="1" ht="16.25" customHeight="1">
      <c r="A36" s="182" t="s">
        <v>132</v>
      </c>
      <c r="B36" s="188">
        <v>5.0000000000000001E-3</v>
      </c>
      <c r="C36" s="60">
        <v>2017</v>
      </c>
      <c r="D36" s="64" t="s">
        <v>176</v>
      </c>
      <c r="E36" s="65" t="s">
        <v>176</v>
      </c>
      <c r="F36" s="65" t="s">
        <v>176</v>
      </c>
      <c r="G36" s="62" t="s">
        <v>176</v>
      </c>
      <c r="H36" s="62" t="s">
        <v>176</v>
      </c>
      <c r="I36" s="62" t="s">
        <v>176</v>
      </c>
      <c r="J36" s="62" t="s">
        <v>176</v>
      </c>
      <c r="K36" s="62" t="s">
        <v>176</v>
      </c>
      <c r="L36" s="62" t="s">
        <v>176</v>
      </c>
      <c r="M36" s="62" t="s">
        <v>176</v>
      </c>
      <c r="N36" s="62" t="s">
        <v>176</v>
      </c>
      <c r="O36" s="62" t="s">
        <v>176</v>
      </c>
      <c r="P36" s="62" t="s">
        <v>176</v>
      </c>
      <c r="Q36" s="63">
        <f>'Mille Lacs Co'!O17+'Mille Lacs Co'!O33</f>
        <v>969168</v>
      </c>
      <c r="R36" s="63">
        <f>'Mille Lacs Co'!P17+'Mille Lacs Co'!P33</f>
        <v>1169438</v>
      </c>
      <c r="S36" s="242">
        <f>'Mille Lacs Co'!Q17+'Mille Lacs Co'!Q33</f>
        <v>1426689</v>
      </c>
      <c r="T36" s="155">
        <f>'Mille Lacs Co'!R17+'Mille Lacs Co'!R33</f>
        <v>737703</v>
      </c>
    </row>
    <row r="37" spans="1:20" s="46" customFormat="1" ht="16.25" customHeight="1">
      <c r="A37" s="182" t="s">
        <v>188</v>
      </c>
      <c r="B37" s="188">
        <v>5.0000000000000001E-3</v>
      </c>
      <c r="C37" s="60">
        <v>2018</v>
      </c>
      <c r="D37" s="64" t="s">
        <v>176</v>
      </c>
      <c r="E37" s="65" t="s">
        <v>176</v>
      </c>
      <c r="F37" s="65" t="s">
        <v>176</v>
      </c>
      <c r="G37" s="62" t="s">
        <v>176</v>
      </c>
      <c r="H37" s="62" t="s">
        <v>176</v>
      </c>
      <c r="I37" s="62" t="s">
        <v>176</v>
      </c>
      <c r="J37" s="62" t="s">
        <v>176</v>
      </c>
      <c r="K37" s="62" t="s">
        <v>176</v>
      </c>
      <c r="L37" s="62" t="s">
        <v>176</v>
      </c>
      <c r="M37" s="62" t="s">
        <v>176</v>
      </c>
      <c r="N37" s="62" t="s">
        <v>176</v>
      </c>
      <c r="O37" s="62" t="s">
        <v>176</v>
      </c>
      <c r="P37" s="62" t="s">
        <v>176</v>
      </c>
      <c r="Q37" s="62" t="s">
        <v>176</v>
      </c>
      <c r="R37" s="63">
        <f>'Morrison Co'!P17+'Morrison Co'!P33</f>
        <v>1290987</v>
      </c>
      <c r="S37" s="242">
        <f>'Morrison Co'!Q17+'Morrison Co'!Q33</f>
        <v>1817735</v>
      </c>
      <c r="T37" s="155">
        <f>'Morrison Co'!R17+'Morrison Co'!R33</f>
        <v>912682</v>
      </c>
    </row>
    <row r="38" spans="1:20" s="46" customFormat="1" ht="16.25" customHeight="1">
      <c r="A38" s="182" t="s">
        <v>192</v>
      </c>
      <c r="B38" s="188">
        <v>5.0000000000000001E-3</v>
      </c>
      <c r="C38" s="60">
        <v>2018</v>
      </c>
      <c r="D38" s="64" t="s">
        <v>176</v>
      </c>
      <c r="E38" s="65" t="s">
        <v>176</v>
      </c>
      <c r="F38" s="65" t="s">
        <v>176</v>
      </c>
      <c r="G38" s="62" t="s">
        <v>176</v>
      </c>
      <c r="H38" s="62" t="s">
        <v>176</v>
      </c>
      <c r="I38" s="62" t="s">
        <v>176</v>
      </c>
      <c r="J38" s="62" t="s">
        <v>176</v>
      </c>
      <c r="K38" s="62" t="s">
        <v>176</v>
      </c>
      <c r="L38" s="62" t="s">
        <v>176</v>
      </c>
      <c r="M38" s="62" t="s">
        <v>176</v>
      </c>
      <c r="N38" s="62" t="s">
        <v>176</v>
      </c>
      <c r="O38" s="62" t="s">
        <v>176</v>
      </c>
      <c r="P38" s="62" t="s">
        <v>176</v>
      </c>
      <c r="Q38" s="62" t="s">
        <v>176</v>
      </c>
      <c r="R38" s="63">
        <f>'Mower Co'!P17+'Mower Co'!P33</f>
        <v>1570917</v>
      </c>
      <c r="S38" s="242">
        <f>'Mower Co'!Q17+'Mower Co'!Q33</f>
        <v>1964651</v>
      </c>
      <c r="T38" s="155">
        <f>'Mower Co'!R17+'Mower Co'!R33</f>
        <v>937880</v>
      </c>
    </row>
    <row r="39" spans="1:20" s="46" customFormat="1" ht="16.25" customHeight="1">
      <c r="A39" s="182" t="s">
        <v>196</v>
      </c>
      <c r="B39" s="188">
        <v>5.0000000000000001E-3</v>
      </c>
      <c r="C39" s="60">
        <v>2018</v>
      </c>
      <c r="D39" s="64" t="s">
        <v>176</v>
      </c>
      <c r="E39" s="65" t="s">
        <v>176</v>
      </c>
      <c r="F39" s="65" t="s">
        <v>176</v>
      </c>
      <c r="G39" s="62" t="s">
        <v>176</v>
      </c>
      <c r="H39" s="62" t="s">
        <v>176</v>
      </c>
      <c r="I39" s="62" t="s">
        <v>176</v>
      </c>
      <c r="J39" s="62" t="s">
        <v>176</v>
      </c>
      <c r="K39" s="62" t="s">
        <v>176</v>
      </c>
      <c r="L39" s="62" t="s">
        <v>176</v>
      </c>
      <c r="M39" s="62" t="s">
        <v>176</v>
      </c>
      <c r="N39" s="62" t="s">
        <v>176</v>
      </c>
      <c r="O39" s="62" t="s">
        <v>176</v>
      </c>
      <c r="P39" s="62" t="s">
        <v>176</v>
      </c>
      <c r="Q39" s="62" t="s">
        <v>176</v>
      </c>
      <c r="R39" s="63">
        <f>'Nicollet Co'!P17+'Nicollet Co'!P33</f>
        <v>1291514</v>
      </c>
      <c r="S39" s="242">
        <f>'Nicollet Co'!Q17+'Nicollet Co'!Q33</f>
        <v>1531962</v>
      </c>
      <c r="T39" s="155">
        <f>'Nicollet Co'!R17+'Nicollet Co'!R33</f>
        <v>747438</v>
      </c>
    </row>
    <row r="40" spans="1:20" s="46" customFormat="1" ht="16.25" customHeight="1">
      <c r="A40" s="182" t="s">
        <v>44</v>
      </c>
      <c r="B40" s="188" t="s">
        <v>159</v>
      </c>
      <c r="C40" s="60" t="s">
        <v>160</v>
      </c>
      <c r="D40" s="61" t="s">
        <v>176</v>
      </c>
      <c r="E40" s="62" t="s">
        <v>176</v>
      </c>
      <c r="F40" s="62" t="s">
        <v>176</v>
      </c>
      <c r="G40" s="62" t="s">
        <v>176</v>
      </c>
      <c r="H40" s="62" t="s">
        <v>176</v>
      </c>
      <c r="I40" s="62" t="s">
        <v>176</v>
      </c>
      <c r="J40" s="62" t="s">
        <v>176</v>
      </c>
      <c r="K40" s="62" t="s">
        <v>176</v>
      </c>
      <c r="L40" s="62" t="s">
        <v>176</v>
      </c>
      <c r="M40" s="62" t="s">
        <v>176</v>
      </c>
      <c r="N40" s="63">
        <f>'Olmsted Co'!L17+'Olmsted Co'!L33</f>
        <v>5157046</v>
      </c>
      <c r="O40" s="63">
        <f>'Olmsted Co'!M17+'Olmsted Co'!M33</f>
        <v>6413790</v>
      </c>
      <c r="P40" s="63">
        <f>'Olmsted Co'!N17+'Olmsted Co'!N33</f>
        <v>6678702</v>
      </c>
      <c r="Q40" s="63">
        <f>'Olmsted Co'!O17+'Olmsted Co'!O33</f>
        <v>9561943</v>
      </c>
      <c r="R40" s="63">
        <f>'Olmsted Co'!P17+'Olmsted Co'!P33</f>
        <v>14000025</v>
      </c>
      <c r="S40" s="242">
        <f>'Olmsted Co'!Q17+'Olmsted Co'!Q33</f>
        <v>14554044</v>
      </c>
      <c r="T40" s="155">
        <f>'Olmsted Co'!R17+'Olmsted Co'!R33</f>
        <v>6799412</v>
      </c>
    </row>
    <row r="41" spans="1:20" s="46" customFormat="1" ht="16.25" customHeight="1">
      <c r="A41" s="182" t="s">
        <v>71</v>
      </c>
      <c r="B41" s="188">
        <v>5.0000000000000001E-3</v>
      </c>
      <c r="C41" s="60">
        <v>2016</v>
      </c>
      <c r="D41" s="61" t="s">
        <v>176</v>
      </c>
      <c r="E41" s="62" t="s">
        <v>176</v>
      </c>
      <c r="F41" s="62" t="s">
        <v>176</v>
      </c>
      <c r="G41" s="62" t="s">
        <v>176</v>
      </c>
      <c r="H41" s="62" t="s">
        <v>176</v>
      </c>
      <c r="I41" s="62" t="s">
        <v>176</v>
      </c>
      <c r="J41" s="62" t="s">
        <v>176</v>
      </c>
      <c r="K41" s="62" t="s">
        <v>176</v>
      </c>
      <c r="L41" s="62" t="s">
        <v>176</v>
      </c>
      <c r="M41" s="62" t="s">
        <v>176</v>
      </c>
      <c r="N41" s="62" t="s">
        <v>176</v>
      </c>
      <c r="O41" s="62" t="s">
        <v>176</v>
      </c>
      <c r="P41" s="63">
        <f>'Otter Tail Co'!N17+'Otter Tail Co'!N33</f>
        <v>2927490</v>
      </c>
      <c r="Q41" s="63">
        <f>'Otter Tail Co'!O17+'Otter Tail Co'!O33</f>
        <v>3451792</v>
      </c>
      <c r="R41" s="63">
        <f>'Otter Tail Co'!P17+'Otter Tail Co'!P33</f>
        <v>3661933</v>
      </c>
      <c r="S41" s="242">
        <f>'Otter Tail Co'!Q17+'Otter Tail Co'!Q33</f>
        <v>3749202</v>
      </c>
      <c r="T41" s="155">
        <f>'Otter Tail Co'!R17+'Otter Tail Co'!R33</f>
        <v>1784888</v>
      </c>
    </row>
    <row r="42" spans="1:20" s="46" customFormat="1" ht="16.25" customHeight="1">
      <c r="A42" s="182" t="s">
        <v>133</v>
      </c>
      <c r="B42" s="188">
        <v>5.0000000000000001E-3</v>
      </c>
      <c r="C42" s="60">
        <v>2017</v>
      </c>
      <c r="D42" s="61" t="s">
        <v>176</v>
      </c>
      <c r="E42" s="62" t="s">
        <v>176</v>
      </c>
      <c r="F42" s="62" t="s">
        <v>176</v>
      </c>
      <c r="G42" s="62" t="s">
        <v>176</v>
      </c>
      <c r="H42" s="62" t="s">
        <v>176</v>
      </c>
      <c r="I42" s="62" t="s">
        <v>176</v>
      </c>
      <c r="J42" s="62" t="s">
        <v>176</v>
      </c>
      <c r="K42" s="62" t="s">
        <v>176</v>
      </c>
      <c r="L42" s="62" t="s">
        <v>176</v>
      </c>
      <c r="M42" s="62" t="s">
        <v>176</v>
      </c>
      <c r="N42" s="62" t="s">
        <v>176</v>
      </c>
      <c r="O42" s="62" t="s">
        <v>176</v>
      </c>
      <c r="P42" s="62" t="s">
        <v>176</v>
      </c>
      <c r="Q42" s="63">
        <f>'Pine Co'!O17+'Pine Co'!O33</f>
        <v>896740</v>
      </c>
      <c r="R42" s="63">
        <f>'Pine Co'!P17+'Pine Co'!P33</f>
        <v>1086440</v>
      </c>
      <c r="S42" s="242">
        <f>'Pine Co'!Q17+'Pine Co'!Q33</f>
        <v>1307289</v>
      </c>
      <c r="T42" s="155">
        <f>'Pine Co'!R17+'Pine Co'!R33</f>
        <v>656381</v>
      </c>
    </row>
    <row r="43" spans="1:20" s="46" customFormat="1" ht="16.25" customHeight="1">
      <c r="A43" s="182" t="s">
        <v>200</v>
      </c>
      <c r="B43" s="188">
        <v>2.5000000000000001E-3</v>
      </c>
      <c r="C43" s="60">
        <v>2018</v>
      </c>
      <c r="D43" s="61" t="s">
        <v>176</v>
      </c>
      <c r="E43" s="62" t="s">
        <v>176</v>
      </c>
      <c r="F43" s="62" t="s">
        <v>176</v>
      </c>
      <c r="G43" s="62" t="s">
        <v>176</v>
      </c>
      <c r="H43" s="62" t="s">
        <v>176</v>
      </c>
      <c r="I43" s="62" t="s">
        <v>176</v>
      </c>
      <c r="J43" s="62" t="s">
        <v>176</v>
      </c>
      <c r="K43" s="62" t="s">
        <v>176</v>
      </c>
      <c r="L43" s="62" t="s">
        <v>176</v>
      </c>
      <c r="M43" s="62" t="s">
        <v>176</v>
      </c>
      <c r="N43" s="62" t="s">
        <v>176</v>
      </c>
      <c r="O43" s="62" t="s">
        <v>176</v>
      </c>
      <c r="P43" s="62" t="s">
        <v>176</v>
      </c>
      <c r="Q43" s="62" t="s">
        <v>176</v>
      </c>
      <c r="R43" s="63">
        <f>'Polk Co'!P17+'Polk Co'!P33</f>
        <v>656264</v>
      </c>
      <c r="S43" s="242">
        <f>'Polk Co'!Q17+'Polk Co'!Q33</f>
        <v>847003</v>
      </c>
      <c r="T43" s="155">
        <f>'Polk Co'!R17+'Polk Co'!R33</f>
        <v>385997</v>
      </c>
    </row>
    <row r="44" spans="1:20" s="46" customFormat="1" ht="16.25" customHeight="1">
      <c r="A44" s="182" t="s">
        <v>141</v>
      </c>
      <c r="B44" s="188">
        <v>5.0000000000000001E-3</v>
      </c>
      <c r="C44" s="60">
        <v>2017</v>
      </c>
      <c r="D44" s="61" t="s">
        <v>176</v>
      </c>
      <c r="E44" s="62" t="s">
        <v>176</v>
      </c>
      <c r="F44" s="62" t="s">
        <v>176</v>
      </c>
      <c r="G44" s="62" t="s">
        <v>176</v>
      </c>
      <c r="H44" s="62" t="s">
        <v>176</v>
      </c>
      <c r="I44" s="62" t="s">
        <v>176</v>
      </c>
      <c r="J44" s="62" t="s">
        <v>176</v>
      </c>
      <c r="K44" s="62" t="s">
        <v>176</v>
      </c>
      <c r="L44" s="62" t="s">
        <v>176</v>
      </c>
      <c r="M44" s="62" t="s">
        <v>176</v>
      </c>
      <c r="N44" s="62" t="s">
        <v>176</v>
      </c>
      <c r="O44" s="62" t="s">
        <v>176</v>
      </c>
      <c r="P44" s="62" t="s">
        <v>176</v>
      </c>
      <c r="Q44" s="63">
        <f>'Ramsey Co'!O17+'Ramsey Co'!O33</f>
        <v>6412847</v>
      </c>
      <c r="R44" s="63">
        <f>'Ramsey Co'!P17+'Ramsey Co'!P33</f>
        <v>42227193</v>
      </c>
      <c r="S44" s="243">
        <f>'Ramsey Co'!Q17+'Ramsey Co'!Q33</f>
        <v>45484627</v>
      </c>
      <c r="T44" s="156">
        <f>'Ramsey Co'!R17+'Ramsey Co'!R33</f>
        <v>20312981</v>
      </c>
    </row>
    <row r="45" spans="1:20" s="201" customFormat="1" ht="16.25" customHeight="1">
      <c r="A45" s="204" t="s">
        <v>284</v>
      </c>
      <c r="B45" s="197">
        <v>5.0000000000000001E-3</v>
      </c>
      <c r="C45" s="198">
        <v>2019</v>
      </c>
      <c r="D45" s="199"/>
      <c r="E45" s="200"/>
      <c r="F45" s="200"/>
      <c r="G45" s="200"/>
      <c r="H45" s="200"/>
      <c r="I45" s="200"/>
      <c r="J45" s="200" t="s">
        <v>176</v>
      </c>
      <c r="K45" s="200" t="s">
        <v>176</v>
      </c>
      <c r="L45" s="200" t="s">
        <v>176</v>
      </c>
      <c r="M45" s="200" t="s">
        <v>176</v>
      </c>
      <c r="N45" s="200" t="s">
        <v>176</v>
      </c>
      <c r="O45" s="200" t="s">
        <v>176</v>
      </c>
      <c r="P45" s="200" t="s">
        <v>176</v>
      </c>
      <c r="Q45" s="200" t="s">
        <v>176</v>
      </c>
      <c r="R45" s="200" t="s">
        <v>176</v>
      </c>
      <c r="S45" s="244">
        <f>'Redwood Co'!Q17+'Redwood Co'!Q33</f>
        <v>595052</v>
      </c>
      <c r="T45" s="229">
        <f>'Redwood Co'!R17+'Redwood Co'!R33</f>
        <v>423885</v>
      </c>
    </row>
    <row r="46" spans="1:20" s="46" customFormat="1" ht="16.25" customHeight="1">
      <c r="A46" s="182" t="s">
        <v>59</v>
      </c>
      <c r="B46" s="188">
        <v>5.0000000000000001E-3</v>
      </c>
      <c r="C46" s="60">
        <v>2014</v>
      </c>
      <c r="D46" s="64" t="s">
        <v>176</v>
      </c>
      <c r="E46" s="65" t="s">
        <v>176</v>
      </c>
      <c r="F46" s="65" t="s">
        <v>176</v>
      </c>
      <c r="G46" s="62" t="s">
        <v>176</v>
      </c>
      <c r="H46" s="62" t="s">
        <v>176</v>
      </c>
      <c r="I46" s="62" t="s">
        <v>176</v>
      </c>
      <c r="J46" s="62" t="s">
        <v>176</v>
      </c>
      <c r="K46" s="62" t="s">
        <v>176</v>
      </c>
      <c r="L46" s="62" t="s">
        <v>176</v>
      </c>
      <c r="M46" s="62" t="s">
        <v>176</v>
      </c>
      <c r="N46" s="63">
        <f>'Rice Co'!L17+'Rice Co'!L33</f>
        <v>2603853</v>
      </c>
      <c r="O46" s="63">
        <f>'Rice Co'!M17+'Rice Co'!M33</f>
        <v>3054720</v>
      </c>
      <c r="P46" s="63">
        <f>'Rice Co'!N17+'Rice Co'!N33</f>
        <v>3248747</v>
      </c>
      <c r="Q46" s="63">
        <f>'Rice Co'!O17+'Rice Co'!O33</f>
        <v>3443765</v>
      </c>
      <c r="R46" s="63">
        <f>'Rice Co'!P17+'Rice Co'!P33</f>
        <v>3557433</v>
      </c>
      <c r="S46" s="245">
        <f>'Rice Co'!Q17+'Rice Co'!Q33</f>
        <v>3893281</v>
      </c>
      <c r="T46" s="157">
        <f>'Rice Co'!R17+'Rice Co'!R33</f>
        <v>1882732</v>
      </c>
    </row>
    <row r="47" spans="1:20" s="46" customFormat="1" ht="16.25" customHeight="1">
      <c r="A47" s="182" t="s">
        <v>60</v>
      </c>
      <c r="B47" s="188">
        <v>5.0000000000000001E-3</v>
      </c>
      <c r="C47" s="60">
        <v>2015</v>
      </c>
      <c r="D47" s="66" t="s">
        <v>176</v>
      </c>
      <c r="E47" s="67" t="s">
        <v>176</v>
      </c>
      <c r="F47" s="62" t="s">
        <v>176</v>
      </c>
      <c r="G47" s="62" t="s">
        <v>176</v>
      </c>
      <c r="H47" s="62" t="s">
        <v>176</v>
      </c>
      <c r="I47" s="62" t="s">
        <v>176</v>
      </c>
      <c r="J47" s="62" t="s">
        <v>176</v>
      </c>
      <c r="K47" s="62" t="s">
        <v>176</v>
      </c>
      <c r="L47" s="62" t="s">
        <v>176</v>
      </c>
      <c r="M47" s="62" t="s">
        <v>176</v>
      </c>
      <c r="N47" s="62" t="s">
        <v>176</v>
      </c>
      <c r="O47" s="63">
        <f>'Scott Co'!M17+'Scott Co'!M33</f>
        <v>1174792</v>
      </c>
      <c r="P47" s="63">
        <f>'Scott Co'!N17+'Scott Co'!N33</f>
        <v>8561335</v>
      </c>
      <c r="Q47" s="63">
        <f>'Scott Co'!O17+'Scott Co'!O33</f>
        <v>8696361</v>
      </c>
      <c r="R47" s="63">
        <f>'Scott Co'!P17+'Scott Co'!P33</f>
        <v>9538068</v>
      </c>
      <c r="S47" s="245">
        <f>'Scott Co'!Q17+'Scott Co'!Q33</f>
        <v>10925644</v>
      </c>
      <c r="T47" s="157">
        <f>'Scott Co'!R17+'Scott Co'!R33</f>
        <v>5219725</v>
      </c>
    </row>
    <row r="48" spans="1:20" s="201" customFormat="1" ht="16.25" customHeight="1">
      <c r="A48" s="204" t="s">
        <v>283</v>
      </c>
      <c r="B48" s="197">
        <v>5.0000000000000001E-3</v>
      </c>
      <c r="C48" s="198">
        <v>2019</v>
      </c>
      <c r="D48" s="202"/>
      <c r="E48" s="203"/>
      <c r="F48" s="200"/>
      <c r="G48" s="200"/>
      <c r="H48" s="200"/>
      <c r="I48" s="200"/>
      <c r="J48" s="200" t="s">
        <v>176</v>
      </c>
      <c r="K48" s="200" t="s">
        <v>176</v>
      </c>
      <c r="L48" s="200" t="s">
        <v>176</v>
      </c>
      <c r="M48" s="200" t="s">
        <v>176</v>
      </c>
      <c r="N48" s="200" t="s">
        <v>176</v>
      </c>
      <c r="O48" s="200" t="s">
        <v>176</v>
      </c>
      <c r="P48" s="200" t="s">
        <v>176</v>
      </c>
      <c r="Q48" s="200" t="s">
        <v>176</v>
      </c>
      <c r="R48" s="200" t="s">
        <v>176</v>
      </c>
      <c r="S48" s="246">
        <f>'Sherburne Co'!Q17+'Sherburne Co'!Q33</f>
        <v>4929930</v>
      </c>
      <c r="T48" s="230">
        <f>'Sherburne Co'!R17+'Sherburne Co'!R33</f>
        <v>2804253</v>
      </c>
    </row>
    <row r="49" spans="1:20" s="46" customFormat="1" ht="16.25" customHeight="1">
      <c r="A49" s="182" t="s">
        <v>61</v>
      </c>
      <c r="B49" s="188">
        <v>5.0000000000000001E-3</v>
      </c>
      <c r="C49" s="60">
        <v>2015</v>
      </c>
      <c r="D49" s="64" t="s">
        <v>176</v>
      </c>
      <c r="E49" s="65" t="s">
        <v>176</v>
      </c>
      <c r="F49" s="65" t="s">
        <v>176</v>
      </c>
      <c r="G49" s="62" t="s">
        <v>176</v>
      </c>
      <c r="H49" s="62" t="s">
        <v>176</v>
      </c>
      <c r="I49" s="62" t="s">
        <v>176</v>
      </c>
      <c r="J49" s="62" t="s">
        <v>176</v>
      </c>
      <c r="K49" s="62" t="s">
        <v>176</v>
      </c>
      <c r="L49" s="62" t="s">
        <v>176</v>
      </c>
      <c r="M49" s="62" t="s">
        <v>176</v>
      </c>
      <c r="N49" s="62" t="s">
        <v>176</v>
      </c>
      <c r="O49" s="63">
        <f>'St. Louis Co'!M17+'St. Louis Co'!M33</f>
        <v>10045950</v>
      </c>
      <c r="P49" s="63">
        <f>'St. Louis Co'!N17+'St. Louis Co'!N33</f>
        <v>14198464</v>
      </c>
      <c r="Q49" s="63">
        <f>'St. Louis Co'!O17+'St. Louis Co'!O33</f>
        <v>14461229</v>
      </c>
      <c r="R49" s="63">
        <f>'St. Louis Co'!P17+'St. Louis Co'!P33</f>
        <v>14916136</v>
      </c>
      <c r="S49" s="245">
        <f>'St. Louis Co'!Q17+'St. Louis Co'!Q33</f>
        <v>15935003</v>
      </c>
      <c r="T49" s="157">
        <f>'St. Louis Co'!R17+'St. Louis Co'!R33</f>
        <v>7284163</v>
      </c>
    </row>
    <row r="50" spans="1:20" s="46" customFormat="1" ht="16.25" customHeight="1">
      <c r="A50" s="182" t="s">
        <v>204</v>
      </c>
      <c r="B50" s="188">
        <v>2.5000000000000001E-3</v>
      </c>
      <c r="C50" s="60">
        <v>2018</v>
      </c>
      <c r="D50" s="64" t="s">
        <v>176</v>
      </c>
      <c r="E50" s="65" t="s">
        <v>176</v>
      </c>
      <c r="F50" s="65" t="s">
        <v>176</v>
      </c>
      <c r="G50" s="62" t="s">
        <v>176</v>
      </c>
      <c r="H50" s="62" t="s">
        <v>176</v>
      </c>
      <c r="I50" s="62" t="s">
        <v>176</v>
      </c>
      <c r="J50" s="62" t="s">
        <v>176</v>
      </c>
      <c r="K50" s="62" t="s">
        <v>176</v>
      </c>
      <c r="L50" s="62" t="s">
        <v>176</v>
      </c>
      <c r="M50" s="62" t="s">
        <v>176</v>
      </c>
      <c r="N50" s="62" t="s">
        <v>176</v>
      </c>
      <c r="O50" s="62" t="s">
        <v>176</v>
      </c>
      <c r="P50" s="62" t="s">
        <v>176</v>
      </c>
      <c r="Q50" s="62" t="s">
        <v>176</v>
      </c>
      <c r="R50" s="63">
        <f>'Stearns Co'!P17+'Stearns Co'!P33</f>
        <v>5545659</v>
      </c>
      <c r="S50" s="242">
        <f>'Stearns Co'!Q17+'Stearns Co'!Q33</f>
        <v>6504320</v>
      </c>
      <c r="T50" s="155">
        <f>'Stearns Co'!R17+'Stearns Co'!R33</f>
        <v>3080647</v>
      </c>
    </row>
    <row r="51" spans="1:20" s="46" customFormat="1" ht="16.25" customHeight="1">
      <c r="A51" s="182" t="s">
        <v>62</v>
      </c>
      <c r="B51" s="188">
        <v>5.0000000000000001E-3</v>
      </c>
      <c r="C51" s="60">
        <v>2015</v>
      </c>
      <c r="D51" s="64" t="s">
        <v>176</v>
      </c>
      <c r="E51" s="65" t="s">
        <v>176</v>
      </c>
      <c r="F51" s="65" t="s">
        <v>176</v>
      </c>
      <c r="G51" s="62" t="s">
        <v>176</v>
      </c>
      <c r="H51" s="62" t="s">
        <v>176</v>
      </c>
      <c r="I51" s="62" t="s">
        <v>176</v>
      </c>
      <c r="J51" s="62" t="s">
        <v>176</v>
      </c>
      <c r="K51" s="62" t="s">
        <v>176</v>
      </c>
      <c r="L51" s="62" t="s">
        <v>176</v>
      </c>
      <c r="M51" s="62" t="s">
        <v>176</v>
      </c>
      <c r="N51" s="62" t="s">
        <v>176</v>
      </c>
      <c r="O51" s="63">
        <f>'Steele Co'!M17+'Steele Co'!M33</f>
        <v>1574441</v>
      </c>
      <c r="P51" s="63">
        <f>'Steele Co'!N17+'Steele Co'!N33</f>
        <v>2535267</v>
      </c>
      <c r="Q51" s="63">
        <f>'Steele Co'!O17+'Steele Co'!O33</f>
        <v>2717876</v>
      </c>
      <c r="R51" s="63">
        <f>'Steele Co'!P17+'Steele Co'!P33</f>
        <v>2765488</v>
      </c>
      <c r="S51" s="242">
        <f>'Steele Co'!Q17+'Steele Co'!Q33</f>
        <v>3078129</v>
      </c>
      <c r="T51" s="155">
        <f>'Steele Co'!R17+'Steele Co'!R33</f>
        <v>1476922</v>
      </c>
    </row>
    <row r="52" spans="1:20" s="46" customFormat="1" ht="16.25" customHeight="1">
      <c r="A52" s="182" t="s">
        <v>63</v>
      </c>
      <c r="B52" s="188">
        <v>5.0000000000000001E-3</v>
      </c>
      <c r="C52" s="60">
        <v>2015</v>
      </c>
      <c r="D52" s="61" t="s">
        <v>176</v>
      </c>
      <c r="E52" s="62" t="s">
        <v>176</v>
      </c>
      <c r="F52" s="62" t="s">
        <v>176</v>
      </c>
      <c r="G52" s="62" t="s">
        <v>176</v>
      </c>
      <c r="H52" s="62" t="s">
        <v>176</v>
      </c>
      <c r="I52" s="62" t="s">
        <v>176</v>
      </c>
      <c r="J52" s="62" t="s">
        <v>176</v>
      </c>
      <c r="K52" s="62" t="s">
        <v>176</v>
      </c>
      <c r="L52" s="62" t="s">
        <v>176</v>
      </c>
      <c r="M52" s="62" t="s">
        <v>176</v>
      </c>
      <c r="N52" s="62" t="s">
        <v>176</v>
      </c>
      <c r="O52" s="63">
        <f>'Todd Co'!M17+'Todd Co'!M33</f>
        <v>601685</v>
      </c>
      <c r="P52" s="63">
        <f>'Todd Co'!N17+'Todd Co'!N33</f>
        <v>722674</v>
      </c>
      <c r="Q52" s="63">
        <f>'Todd Co'!O17+'Todd Co'!O33</f>
        <v>794335</v>
      </c>
      <c r="R52" s="63">
        <f>'Todd Co'!P17+'Todd Co'!P33</f>
        <v>844304</v>
      </c>
      <c r="S52" s="242">
        <f>'Todd Co'!Q17+'Todd Co'!Q33</f>
        <v>892553</v>
      </c>
      <c r="T52" s="155">
        <f>'Todd Co'!R17+'Todd Co'!R33</f>
        <v>463135</v>
      </c>
    </row>
    <row r="53" spans="1:20" s="46" customFormat="1" ht="16.25" customHeight="1">
      <c r="A53" s="182" t="s">
        <v>72</v>
      </c>
      <c r="B53" s="188">
        <v>5.0000000000000001E-3</v>
      </c>
      <c r="C53" s="60">
        <v>2016</v>
      </c>
      <c r="D53" s="61" t="s">
        <v>176</v>
      </c>
      <c r="E53" s="62" t="s">
        <v>176</v>
      </c>
      <c r="F53" s="62" t="s">
        <v>176</v>
      </c>
      <c r="G53" s="62" t="s">
        <v>176</v>
      </c>
      <c r="H53" s="62" t="s">
        <v>176</v>
      </c>
      <c r="I53" s="62" t="s">
        <v>176</v>
      </c>
      <c r="J53" s="62" t="s">
        <v>176</v>
      </c>
      <c r="K53" s="62" t="s">
        <v>176</v>
      </c>
      <c r="L53" s="62" t="s">
        <v>176</v>
      </c>
      <c r="M53" s="62" t="s">
        <v>176</v>
      </c>
      <c r="N53" s="62" t="s">
        <v>176</v>
      </c>
      <c r="O53" s="62" t="s">
        <v>176</v>
      </c>
      <c r="P53" s="63">
        <f>'Wabasha Co'!N17+'Wabasha Co'!N33</f>
        <v>568215</v>
      </c>
      <c r="Q53" s="63">
        <f>'Wabasha Co'!O17+'Wabasha Co'!O33</f>
        <v>830490</v>
      </c>
      <c r="R53" s="63">
        <f>'Wabasha Co'!P17+'Wabasha Co'!P33</f>
        <v>929646</v>
      </c>
      <c r="S53" s="243">
        <f>'Wabasha Co'!Q17+'Wabasha Co'!Q33</f>
        <v>1029677</v>
      </c>
      <c r="T53" s="156">
        <f>'Wabasha Co'!R17+'Wabasha Co'!R33</f>
        <v>487350</v>
      </c>
    </row>
    <row r="54" spans="1:20" s="46" customFormat="1" ht="16.25" customHeight="1">
      <c r="A54" s="182" t="s">
        <v>64</v>
      </c>
      <c r="B54" s="188">
        <v>5.0000000000000001E-3</v>
      </c>
      <c r="C54" s="60">
        <v>2014</v>
      </c>
      <c r="D54" s="61" t="s">
        <v>176</v>
      </c>
      <c r="E54" s="62" t="s">
        <v>176</v>
      </c>
      <c r="F54" s="62" t="s">
        <v>176</v>
      </c>
      <c r="G54" s="62" t="s">
        <v>176</v>
      </c>
      <c r="H54" s="62" t="s">
        <v>176</v>
      </c>
      <c r="I54" s="62" t="s">
        <v>176</v>
      </c>
      <c r="J54" s="62" t="s">
        <v>176</v>
      </c>
      <c r="K54" s="62" t="s">
        <v>176</v>
      </c>
      <c r="L54" s="62" t="s">
        <v>176</v>
      </c>
      <c r="M54" s="62" t="s">
        <v>176</v>
      </c>
      <c r="N54" s="63">
        <f>'Wadena Co'!L17+'Wadena Co'!L33</f>
        <v>421140</v>
      </c>
      <c r="O54" s="63">
        <f>'Wadena Co'!M17+'Wadena Co'!M33</f>
        <v>667357</v>
      </c>
      <c r="P54" s="63">
        <f>'Wadena Co'!N17+'Wadena Co'!N33</f>
        <v>684352</v>
      </c>
      <c r="Q54" s="63">
        <f>'Wadena Co'!O17+'Wadena Co'!O33</f>
        <v>725655</v>
      </c>
      <c r="R54" s="63">
        <f>'Wadena Co'!P17+'Wadena Co'!P33</f>
        <v>750895</v>
      </c>
      <c r="S54" s="242">
        <f>'Wadena Co'!Q17+'Wadena Co'!Q33</f>
        <v>813918</v>
      </c>
      <c r="T54" s="155">
        <f>'Wadena Co'!R17+'Wadena Co'!R33</f>
        <v>404688</v>
      </c>
    </row>
    <row r="55" spans="1:20" s="201" customFormat="1" ht="16.25" customHeight="1">
      <c r="A55" s="204" t="s">
        <v>282</v>
      </c>
      <c r="B55" s="197">
        <v>5.0000000000000001E-3</v>
      </c>
      <c r="C55" s="198">
        <v>2019</v>
      </c>
      <c r="D55" s="199"/>
      <c r="E55" s="200"/>
      <c r="F55" s="200"/>
      <c r="G55" s="200"/>
      <c r="H55" s="200"/>
      <c r="I55" s="200"/>
      <c r="J55" s="200" t="s">
        <v>176</v>
      </c>
      <c r="K55" s="200" t="s">
        <v>176</v>
      </c>
      <c r="L55" s="200" t="s">
        <v>176</v>
      </c>
      <c r="M55" s="200" t="s">
        <v>176</v>
      </c>
      <c r="N55" s="200" t="s">
        <v>176</v>
      </c>
      <c r="O55" s="200" t="s">
        <v>176</v>
      </c>
      <c r="P55" s="200" t="s">
        <v>176</v>
      </c>
      <c r="Q55" s="200" t="s">
        <v>176</v>
      </c>
      <c r="R55" s="200" t="s">
        <v>176</v>
      </c>
      <c r="S55" s="244">
        <f>'Waseca Co'!Q17+'Waseca Co'!Q33</f>
        <v>532391</v>
      </c>
      <c r="T55" s="229">
        <f>'Waseca Co'!R17+'Waseca Co'!R33</f>
        <v>396016</v>
      </c>
    </row>
    <row r="56" spans="1:20" s="46" customFormat="1" ht="16.25" customHeight="1">
      <c r="A56" s="182" t="s">
        <v>142</v>
      </c>
      <c r="B56" s="188">
        <v>2.5000000000000001E-3</v>
      </c>
      <c r="C56" s="60">
        <v>2017</v>
      </c>
      <c r="D56" s="61" t="s">
        <v>176</v>
      </c>
      <c r="E56" s="62" t="s">
        <v>176</v>
      </c>
      <c r="F56" s="62" t="s">
        <v>176</v>
      </c>
      <c r="G56" s="62" t="s">
        <v>176</v>
      </c>
      <c r="H56" s="62" t="s">
        <v>176</v>
      </c>
      <c r="I56" s="62" t="s">
        <v>176</v>
      </c>
      <c r="J56" s="62" t="s">
        <v>176</v>
      </c>
      <c r="K56" s="62" t="s">
        <v>176</v>
      </c>
      <c r="L56" s="62" t="s">
        <v>176</v>
      </c>
      <c r="M56" s="62" t="s">
        <v>176</v>
      </c>
      <c r="N56" s="62" t="s">
        <v>176</v>
      </c>
      <c r="O56" s="62" t="s">
        <v>176</v>
      </c>
      <c r="P56" s="62" t="s">
        <v>176</v>
      </c>
      <c r="Q56" s="63">
        <f>'Washington Co'!O17+'Washington Co'!O33</f>
        <v>1487620</v>
      </c>
      <c r="R56" s="63">
        <f>'Washington Co'!P17+'Washington Co'!P33</f>
        <v>9810444</v>
      </c>
      <c r="S56" s="243">
        <f>'Washington Co'!Q17+'Washington Co'!Q33</f>
        <v>10356093</v>
      </c>
      <c r="T56" s="156">
        <f>'Washington Co'!R17+'Washington Co'!R33</f>
        <v>4915993</v>
      </c>
    </row>
    <row r="57" spans="1:20" s="46" customFormat="1" ht="16.25" customHeight="1">
      <c r="A57" s="182" t="s">
        <v>134</v>
      </c>
      <c r="B57" s="188">
        <v>5.0000000000000001E-3</v>
      </c>
      <c r="C57" s="60">
        <v>2017</v>
      </c>
      <c r="D57" s="61" t="s">
        <v>176</v>
      </c>
      <c r="E57" s="62" t="s">
        <v>176</v>
      </c>
      <c r="F57" s="62" t="s">
        <v>176</v>
      </c>
      <c r="G57" s="62" t="s">
        <v>176</v>
      </c>
      <c r="H57" s="62" t="s">
        <v>176</v>
      </c>
      <c r="I57" s="62" t="s">
        <v>176</v>
      </c>
      <c r="J57" s="62" t="s">
        <v>176</v>
      </c>
      <c r="K57" s="62" t="s">
        <v>176</v>
      </c>
      <c r="L57" s="62" t="s">
        <v>176</v>
      </c>
      <c r="M57" s="62" t="s">
        <v>176</v>
      </c>
      <c r="N57" s="62" t="s">
        <v>176</v>
      </c>
      <c r="O57" s="62" t="s">
        <v>176</v>
      </c>
      <c r="P57" s="62" t="s">
        <v>176</v>
      </c>
      <c r="Q57" s="63">
        <f>'Winona Co'!O17+'Winona Co'!O33</f>
        <v>2527345</v>
      </c>
      <c r="R57" s="63">
        <f>'Winona Co'!P17+'Winona Co'!P33</f>
        <v>2949038</v>
      </c>
      <c r="S57" s="242">
        <f>'Winona Co'!Q17+'Winona Co'!Q33</f>
        <v>3217165</v>
      </c>
      <c r="T57" s="155">
        <f>'Winona Co'!R17+'Winona Co'!R33</f>
        <v>1512871</v>
      </c>
    </row>
    <row r="58" spans="1:20" s="46" customFormat="1" ht="16.25" customHeight="1" thickBot="1">
      <c r="A58" s="183" t="s">
        <v>143</v>
      </c>
      <c r="B58" s="189">
        <v>5.0000000000000001E-3</v>
      </c>
      <c r="C58" s="68">
        <v>2017</v>
      </c>
      <c r="D58" s="69" t="s">
        <v>176</v>
      </c>
      <c r="E58" s="70" t="s">
        <v>176</v>
      </c>
      <c r="F58" s="70" t="s">
        <v>176</v>
      </c>
      <c r="G58" s="70" t="s">
        <v>176</v>
      </c>
      <c r="H58" s="71" t="s">
        <v>176</v>
      </c>
      <c r="I58" s="71" t="s">
        <v>176</v>
      </c>
      <c r="J58" s="70" t="s">
        <v>176</v>
      </c>
      <c r="K58" s="70" t="s">
        <v>176</v>
      </c>
      <c r="L58" s="70" t="s">
        <v>176</v>
      </c>
      <c r="M58" s="71" t="s">
        <v>176</v>
      </c>
      <c r="N58" s="71" t="s">
        <v>176</v>
      </c>
      <c r="O58" s="71" t="s">
        <v>176</v>
      </c>
      <c r="P58" s="71" t="s">
        <v>176</v>
      </c>
      <c r="Q58" s="72">
        <f>'Wright Co'!O17+'Wright Co'!O33</f>
        <v>1003788</v>
      </c>
      <c r="R58" s="72">
        <f>'Wright Co'!P17+'Wright Co'!P33</f>
        <v>7331380</v>
      </c>
      <c r="S58" s="247">
        <f>'Wright Co'!Q17+'Wright Co'!Q33</f>
        <v>8534117</v>
      </c>
      <c r="T58" s="231">
        <f>'Wright Co'!R17+'Wright Co'!R33</f>
        <v>4413323</v>
      </c>
    </row>
    <row r="59" spans="1:20" s="46" customFormat="1" ht="16.25" customHeight="1">
      <c r="A59" s="324" t="s">
        <v>92</v>
      </c>
      <c r="B59" s="325"/>
      <c r="C59" s="326"/>
      <c r="D59" s="28">
        <f t="shared" ref="D59:S59" si="0">SUM(D6:D58)</f>
        <v>1002391.34</v>
      </c>
      <c r="E59" s="29">
        <f t="shared" si="0"/>
        <v>1074549.6499999999</v>
      </c>
      <c r="F59" s="30">
        <f t="shared" si="0"/>
        <v>1079651.18</v>
      </c>
      <c r="G59" s="29">
        <f t="shared" si="0"/>
        <v>25755320.120000001</v>
      </c>
      <c r="H59" s="31">
        <f t="shared" si="0"/>
        <v>29525907.299999997</v>
      </c>
      <c r="I59" s="31">
        <f t="shared" si="0"/>
        <v>28031754.41</v>
      </c>
      <c r="J59" s="158">
        <f t="shared" si="0"/>
        <v>29632614.640000001</v>
      </c>
      <c r="K59" s="159">
        <f t="shared" si="0"/>
        <v>32208620</v>
      </c>
      <c r="L59" s="159">
        <f t="shared" si="0"/>
        <v>33603187</v>
      </c>
      <c r="M59" s="159">
        <f t="shared" si="0"/>
        <v>35693867</v>
      </c>
      <c r="N59" s="158">
        <f t="shared" si="0"/>
        <v>48028602</v>
      </c>
      <c r="O59" s="159">
        <f t="shared" si="0"/>
        <v>73314118</v>
      </c>
      <c r="P59" s="158">
        <f t="shared" si="0"/>
        <v>107216562</v>
      </c>
      <c r="Q59" s="159">
        <f t="shared" si="0"/>
        <v>158705429</v>
      </c>
      <c r="R59" s="159">
        <f t="shared" si="0"/>
        <v>374673883</v>
      </c>
      <c r="S59" s="248">
        <f t="shared" si="0"/>
        <v>415690597</v>
      </c>
      <c r="T59" s="232">
        <f t="shared" ref="T59" si="1">SUM(T6:T58)</f>
        <v>193475510</v>
      </c>
    </row>
    <row r="60" spans="1:20" s="46" customFormat="1" ht="16.25" customHeight="1" thickBot="1">
      <c r="A60" s="184" t="s">
        <v>21</v>
      </c>
      <c r="B60" s="187">
        <v>2.5000000000000001E-3</v>
      </c>
      <c r="C60" s="186">
        <v>2008</v>
      </c>
      <c r="D60" s="73" t="s">
        <v>176</v>
      </c>
      <c r="E60" s="74" t="s">
        <v>176</v>
      </c>
      <c r="F60" s="75" t="s">
        <v>176</v>
      </c>
      <c r="G60" s="74" t="s">
        <v>176</v>
      </c>
      <c r="H60" s="76">
        <f>'Metro Area Transit'!F17+'Metro Area Transit'!F33</f>
        <v>34024648.789999999</v>
      </c>
      <c r="I60" s="76">
        <f>'Metro Area Transit'!G17+'Metro Area Transit'!G33</f>
        <v>86990821</v>
      </c>
      <c r="J60" s="160">
        <f>'Metro Area Transit'!H17+'Metro Area Transit'!H33</f>
        <v>90169253</v>
      </c>
      <c r="K60" s="161">
        <f>'Metro Area Transit'!I17+'Metro Area Transit'!I33</f>
        <v>96773584</v>
      </c>
      <c r="L60" s="161">
        <f>'Metro Area Transit'!J17+'Metro Area Transit'!J33</f>
        <v>101077456</v>
      </c>
      <c r="M60" s="162">
        <f>'Metro Area Transit'!K17+'Metro Area Transit'!K33</f>
        <v>108100932</v>
      </c>
      <c r="N60" s="160">
        <f>'Metro Area Transit'!L17+'Metro Area Transit'!L33</f>
        <v>111644146</v>
      </c>
      <c r="O60" s="161">
        <f>'Metro Area Transit'!M17+'Metro Area Transit'!M33</f>
        <v>116658872</v>
      </c>
      <c r="P60" s="160">
        <f>'Metro Area Transit'!N17+'Metro Area Transit'!N33</f>
        <v>117968786</v>
      </c>
      <c r="Q60" s="161">
        <f>'Metro Area Transit'!O17+'Metro Area Transit'!O33</f>
        <v>101958755</v>
      </c>
      <c r="R60" s="161">
        <f>'Metro Area Transit'!P17+'Metro Area Transit'!P33</f>
        <v>1183679</v>
      </c>
      <c r="S60" s="249">
        <f>'Metro Area Transit'!Q17+'Metro Area Transit'!Q33</f>
        <v>5349263</v>
      </c>
      <c r="T60" s="233">
        <f>'Metro Area Transit'!R17+'Metro Area Transit'!R33</f>
        <v>541458</v>
      </c>
    </row>
    <row r="61" spans="1:20" s="46" customFormat="1" ht="16.25" customHeight="1" thickTop="1" thickBot="1">
      <c r="A61" s="327" t="s">
        <v>291</v>
      </c>
      <c r="B61" s="328"/>
      <c r="C61" s="329"/>
      <c r="D61" s="77">
        <f t="shared" ref="D61:Q61" si="2">SUM(D59:D60)</f>
        <v>1002391.34</v>
      </c>
      <c r="E61" s="78">
        <f t="shared" si="2"/>
        <v>1074549.6499999999</v>
      </c>
      <c r="F61" s="78">
        <f t="shared" si="2"/>
        <v>1079651.18</v>
      </c>
      <c r="G61" s="79">
        <f t="shared" si="2"/>
        <v>25755320.120000001</v>
      </c>
      <c r="H61" s="79">
        <f t="shared" si="2"/>
        <v>63550556.089999996</v>
      </c>
      <c r="I61" s="79">
        <f t="shared" si="2"/>
        <v>115022575.41</v>
      </c>
      <c r="J61" s="208">
        <f t="shared" si="2"/>
        <v>119801867.64</v>
      </c>
      <c r="K61" s="208">
        <f t="shared" si="2"/>
        <v>128982204</v>
      </c>
      <c r="L61" s="208">
        <f t="shared" si="2"/>
        <v>134680643</v>
      </c>
      <c r="M61" s="208">
        <f t="shared" si="2"/>
        <v>143794799</v>
      </c>
      <c r="N61" s="208">
        <f t="shared" si="2"/>
        <v>159672748</v>
      </c>
      <c r="O61" s="208">
        <f t="shared" si="2"/>
        <v>189972990</v>
      </c>
      <c r="P61" s="208">
        <f t="shared" si="2"/>
        <v>225185348</v>
      </c>
      <c r="Q61" s="210">
        <f t="shared" si="2"/>
        <v>260664184</v>
      </c>
      <c r="R61" s="210">
        <f>SUM(R59:R60)</f>
        <v>375857562</v>
      </c>
      <c r="S61" s="250">
        <f>SUM(S59:S60)</f>
        <v>421039860</v>
      </c>
      <c r="T61" s="234">
        <f>SUM(T59:T60)</f>
        <v>194016968</v>
      </c>
    </row>
    <row r="62" spans="1:20" s="46" customFormat="1" ht="16.25" customHeight="1">
      <c r="A62" s="330" t="s">
        <v>292</v>
      </c>
      <c r="B62" s="331"/>
      <c r="C62" s="332"/>
      <c r="D62" s="211" t="s">
        <v>290</v>
      </c>
      <c r="E62" s="211" t="s">
        <v>290</v>
      </c>
      <c r="F62" s="211" t="s">
        <v>290</v>
      </c>
      <c r="G62" s="211" t="s">
        <v>290</v>
      </c>
      <c r="H62" s="211" t="s">
        <v>290</v>
      </c>
      <c r="I62" s="211" t="s">
        <v>290</v>
      </c>
      <c r="J62" s="211">
        <f>'Cook Cty'!H49+'Hennepin Cty'!H49+'Metro Area Transit'!H49</f>
        <v>-2053429</v>
      </c>
      <c r="K62" s="209">
        <f>'Cook Cty'!I49+'Hennepin Cty'!I49+'Metro Area Transit'!I49</f>
        <v>-4005467</v>
      </c>
      <c r="L62" s="209">
        <f>'Cook Cty'!J49+'Hennepin Cty'!J49+'Metro Area Transit'!J49</f>
        <v>-3545461</v>
      </c>
      <c r="M62" s="209">
        <f>'Cook Cty'!K49+'Hennepin Cty'!K49+'Metro Area Transit'!K49</f>
        <v>-3941240</v>
      </c>
      <c r="N62" s="209">
        <f>'Cook Cty'!L49+'Hennepin Cty'!L49+'Becker Co'!L49+'Beltrami Co'!L49+'Douglas Co'!L49+'Olmsted Co'!L49+'Rice Co'!L49+'Wadena Co'!L49+'Metro Area Transit'!L49</f>
        <v>-4356407</v>
      </c>
      <c r="O62" s="209">
        <f>'Cook Cty'!M49+'Hennepin Cty'!M49+'Becker Co'!M49+'Beltrami Co'!M49+'Carlton Co'!M49+'Douglas Co'!M49+'Fillmore Co'!M49+'Hubbard Co'!M49+'Lyon Co'!M49+'Olmsted Co'!M49+'Rice Co'!M49+'Scott Co'!M49+'St. Louis Co'!M49+'Steele Co'!M49+'Todd Co'!M49+'Wadena Co'!M49+'Metro Area Transit'!M49</f>
        <v>-6010309</v>
      </c>
      <c r="P62" s="209">
        <f>'Cook Cty'!N49+'Hennepin Cty'!N49+'Becker Co'!N49+'Beltrami Co'!N49+'Blue Earth Co'!N49+'Brown Co'!N49+'Carlton Co'!N49+'Cass Co'!N49+'Chisago Co'!N49+'Crow Wing Co'!N49+'Douglas Co'!N49+'Fillmore Co'!N49+'Freeborn Co'!N49+'Hubbard Co'!N49+'Lyon Co'!N49+'Olmsted Co'!N49+'Otter Tail Co'!N49+'Rice Co'!N49+'Scott Co'!N49+'St. Louis Co'!N49+'Steele Co'!N49+'Todd Co'!N49+'Wabasha Co'!N49+'Wadena Co'!N49+'Metro Area Transit'!N49</f>
        <v>-5273378</v>
      </c>
      <c r="Q62" s="209">
        <f>'Cook Cty'!O49+'Clay Cty'!O49+'Hennepin Cty'!O49+'Anoka Co'!O49+'Becker Co'!O49+'Beltrami Co'!O49+'Blue Earth Co'!O49+'Brown Co'!O49+'Carlton Co'!O49+'Carver Co'!O49+'Cass Co'!O49+'Chisago Co'!O49+'Cook Co'!O49+'Crow Wing Co'!O49+'Dakota Co'!O49+'Douglas Co'!O49+'Fillmore Co'!O49+'Freeborn Co'!O49+'Hennepin Co'!O49+'Hubbard Co'!O49+'Lake Co'!O49+'Lyon Co'!O49+'Mille Lacs Co'!O49+'Olmsted Co'!O49+'Otter Tail Co'!O49+'Pine Co'!O49+'Ramsey Co'!O49+'Rice Co'!O49+'Scott Co'!O49+'St. Louis Co'!O49+'Steele Co'!O49+'Todd Co'!O49+'Wabasha Co'!O49+'Wadena Co'!O49+'Washington Co'!O49+'Winona Co'!O49+'Wright Co'!O49+'Metro Area Transit'!O49</f>
        <v>-4917353</v>
      </c>
      <c r="R62" s="209">
        <f>'Cook Cty'!P49+'Clay Cty'!P49+'Hennepin Cty'!P49+'Anoka Co'!P49+'Becker Co'!P49+'Beltrami Co'!P49+'Blue Earth Co'!P49+'Brown Co'!P49+'Carlton Co'!P49+'Carver Co'!P49+'Cass Co'!P49+'Chisago Co'!P49+'Cook Co'!P49+'Crow Wing Co'!P49+'Dakota Co'!P49+'Douglas Co'!P49+'Fillmore Co'!P49+'Freeborn Co'!P49+'Hennepin Co'!P49+'Hubbard Co'!P49+'Kandiyohi Co'!P49+'Lake Co'!P49+'Lyon Co'!P49+'Mille Lacs Co'!P49+'Morrison Co'!P49+'Mower Co'!P49+'Nicollet Co'!P49+'Olmsted Co'!P49+'Otter Tail Co'!P49+'Pine Co'!P49+'Polk Co'!P49+'Ramsey Co'!P49+'Rice Co'!P49+'Scott Co'!P49+'St. Louis Co'!P49+'Stearns Co'!P49+'Steele Co'!P49+'Todd Co'!P49+'Wabasha Co'!P49+'Wadena Co'!P49+'Washington Co'!P49+'Winona Co'!P49+'Wright Co'!P49+'Metro Area Transit'!P49</f>
        <v>-5162997</v>
      </c>
      <c r="S62" s="209">
        <f>'Cook Cty'!Q49+'Clay Cty'!Q49+'Hennepin Cty'!Q49+'Anoka Co'!Q49+'Benton Co'!Q49+'Becker Co'!Q49+'Beltrami Co'!Q49+'Blue Earth Co'!Q49+'Brown Co'!Q49+'Carlton Co'!Q49+'Carver Co'!Q49+'Cass Co'!Q49+'Chisago Co'!Q49+'Cook Co'!Q49+'Crow Wing Co'!Q49+'Dakota Co'!Q49+'Dodge Co'!Q49+'Douglas Co'!Q49+'Fillmore Co'!Q49+'Freeborn Co'!Q49+'Goodhue Co'!Q49+'Hennepin Co'!Q49+'Hubbard Co'!Q49+'Isanti Co'!Q49+'Kandiyohi Co'!Q49+'Lake Co'!Q49+'Lyon Co'!Q49+'Mille Lacs Co'!Q49+'Morrison Co'!Q49+'Mower Co'!Q49+'Nicollet Co'!Q49+'Olmsted Co'!Q49+'Otter Tail Co'!Q49+'Pine Co'!Q49+'Polk Co'!Q49+'Ramsey Co'!Q49+'Redwood Co'!Q49+'Rice Co'!Q49+'Scott Co'!Q49+'Sherburne Co'!Q49+'St. Louis Co'!Q49+'Stearns Co'!Q49+'Steele Co'!Q49+'Todd Co'!Q49+'Wabasha Co'!Q49+'Wadena Co'!Q49+'Waseca Co'!Q49+'Washington Co'!Q49+'Winona Co'!Q49+'Wright Co'!Q49+'Metro Area Transit'!Q49</f>
        <v>-5864574</v>
      </c>
      <c r="T62" s="235">
        <f>'Cook Cty'!R49+'Clay Cty'!R49+'Hennepin Cty'!R49+'Anoka Co'!R49+'Benton Co'!R49+'Becker Co'!R49+'Beltrami Co'!R49+'Blue Earth Co'!R49+'Brown Co'!R49+'Carlton Co'!R49+'Carver Co'!R49+'Cass Co'!R49+'Chisago Co'!R49+'Cook Co'!R49+'Crow Wing Co'!R49+'Dakota Co'!R49+'Dodge Co'!R49+'Douglas Co'!R49+'Fillmore Co'!R49+'Freeborn Co'!R49+'Goodhue Co'!R49+'Hennepin Co'!R49+'Hubbard Co'!R49+'Isanti Co'!R49+'Kandiyohi Co'!R49+'Lake Co'!R49+'Lyon Co'!R49+'Mille Lacs Co'!R49+'Morrison Co'!R49+'Mower Co'!R49+'Nicollet Co'!R49+'Olmsted Co'!R49+'Otter Tail Co'!R49+'Pine Co'!R49+'Polk Co'!R49+'Ramsey Co'!R49+'Redwood Co'!R49+'Rice Co'!R49+'Scott Co'!R49+'Sherburne Co'!R49+'St. Louis Co'!R49+'Stearns Co'!R49+'Steele Co'!R49+'Todd Co'!R49+'Wabasha Co'!R49+'Wadena Co'!R49+'Waseca Co'!R49+'Washington Co'!R49+'Winona Co'!R49+'Wright Co'!R49+'Metro Area Transit'!R49</f>
        <v>-4724333</v>
      </c>
    </row>
    <row r="63" spans="1:20" s="47" customFormat="1" ht="8">
      <c r="A63" s="336" t="s">
        <v>212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6"/>
      <c r="N63" s="336"/>
      <c r="O63" s="336"/>
      <c r="P63" s="336"/>
      <c r="Q63" s="336"/>
      <c r="R63" s="336"/>
      <c r="S63" s="336"/>
      <c r="T63" s="336"/>
    </row>
    <row r="64" spans="1:20" s="48" customFormat="1" ht="14">
      <c r="A64" s="337" t="s">
        <v>211</v>
      </c>
      <c r="B64" s="337"/>
      <c r="C64" s="337"/>
      <c r="D64" s="337"/>
      <c r="E64" s="337"/>
      <c r="F64" s="337"/>
      <c r="G64" s="337"/>
      <c r="H64" s="337"/>
      <c r="I64" s="337"/>
      <c r="J64" s="337"/>
      <c r="K64" s="337"/>
      <c r="L64" s="337"/>
      <c r="M64" s="337"/>
      <c r="N64" s="337"/>
      <c r="O64" s="337"/>
      <c r="P64" s="337"/>
      <c r="Q64" s="337"/>
      <c r="R64" s="337"/>
      <c r="S64" s="337"/>
      <c r="T64" s="337"/>
    </row>
    <row r="65" spans="1:20" s="48" customFormat="1" ht="14">
      <c r="A65" s="323" t="s">
        <v>210</v>
      </c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</row>
    <row r="66" spans="1:20" s="48" customFormat="1" ht="14">
      <c r="A66" s="321" t="s">
        <v>295</v>
      </c>
      <c r="B66" s="321"/>
      <c r="C66" s="321"/>
      <c r="D66" s="321"/>
      <c r="E66" s="321"/>
      <c r="F66" s="321"/>
      <c r="G66" s="321"/>
      <c r="H66" s="321"/>
      <c r="I66" s="321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</row>
    <row r="67" spans="1:20" s="48" customFormat="1" ht="14">
      <c r="A67" s="322" t="s">
        <v>317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</row>
    <row r="68" spans="1:20" s="48" customFormat="1" ht="14">
      <c r="A68" s="323" t="s">
        <v>174</v>
      </c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</row>
  </sheetData>
  <mergeCells count="12">
    <mergeCell ref="A1:T1"/>
    <mergeCell ref="A2:T2"/>
    <mergeCell ref="A3:T3"/>
    <mergeCell ref="A63:T63"/>
    <mergeCell ref="A64:T64"/>
    <mergeCell ref="A66:T66"/>
    <mergeCell ref="A67:T67"/>
    <mergeCell ref="A68:T68"/>
    <mergeCell ref="A59:C59"/>
    <mergeCell ref="A61:C61"/>
    <mergeCell ref="A62:C62"/>
    <mergeCell ref="A65:T65"/>
  </mergeCells>
  <hyperlinks>
    <hyperlink ref="A46" location="'Rice Co'!A1" tooltip="Rice Co" display="Rice Co" xr:uid="{00000000-0004-0000-0000-000000000000}"/>
    <hyperlink ref="A47" location="'Scott Co'!A1" tooltip="Scott Co" display="Scott Co" xr:uid="{00000000-0004-0000-0000-000001000000}"/>
    <hyperlink ref="A49" location="'St. Louis Co'!A1" tooltip="St. Louis Co" display="St. Louis Co" xr:uid="{00000000-0004-0000-0000-000002000000}"/>
    <hyperlink ref="A51" location="'Steele Co'!A1" tooltip="Steele Co" display="Steele Co" xr:uid="{00000000-0004-0000-0000-000003000000}"/>
    <hyperlink ref="A12" location="'Becker Co'!A1" tooltip="Becker Co" display="Becker Co" xr:uid="{00000000-0004-0000-0000-000004000000}"/>
    <hyperlink ref="A13" location="'Beltrami Co'!A1" tooltip="Beltrami Co" display="Beltrami Co" xr:uid="{00000000-0004-0000-0000-000005000000}"/>
    <hyperlink ref="A16" location="'Carlton Co'!A1" tooltip="Carlton Co" display="Carlton Co" xr:uid="{00000000-0004-0000-0000-000006000000}"/>
    <hyperlink ref="A24" location="'Douglas Co'!A1" tooltip="Douglas Co" display="Douglas Co" xr:uid="{00000000-0004-0000-0000-000007000000}"/>
    <hyperlink ref="A25" location="'Fillmore Co'!A1" tooltip="Fillmore Co" display="Fillmore Co" xr:uid="{00000000-0004-0000-0000-000008000000}"/>
    <hyperlink ref="A29" location="'Hubbard Co'!A1" tooltip="Hubbard Co" display="Hubbard Co" xr:uid="{00000000-0004-0000-0000-000009000000}"/>
    <hyperlink ref="A40" location="'Olmsted Co'!A1" tooltip="Olmsted Co" display="Olmsted Co" xr:uid="{00000000-0004-0000-0000-00000A000000}"/>
    <hyperlink ref="A57" location="'Winona Co'!A1" tooltip="Winona Co" display="Winona Co" xr:uid="{00000000-0004-0000-0000-00000B000000}"/>
    <hyperlink ref="A52" location="'Todd Co'!A1" tooltip="Todd Co" display="Todd Co" xr:uid="{00000000-0004-0000-0000-00000C000000}"/>
    <hyperlink ref="A34" location="'Lyon Co'!A1" tooltip="Lyon Co" display="Lyon Co" xr:uid="{00000000-0004-0000-0000-00000D000000}"/>
    <hyperlink ref="A14" location="'Blue Earth Co'!A1" tooltip="Blue Earth Co" display="Blue Earth Co" xr:uid="{00000000-0004-0000-0000-00000E000000}"/>
    <hyperlink ref="A15" location="'Brown Co'!A1" tooltip="Brown Co" display="Brown Co" xr:uid="{00000000-0004-0000-0000-00000F000000}"/>
    <hyperlink ref="A18" location="'Cass Co'!A1" tooltip="Cass Co" display="Cass Co" xr:uid="{00000000-0004-0000-0000-000010000000}"/>
    <hyperlink ref="A19" location="'Chisago Co'!A1" tooltip="Chisago Co" display="Chisago Co" xr:uid="{00000000-0004-0000-0000-000011000000}"/>
    <hyperlink ref="A21" location="'Crow Wing Co'!A1" tooltip="Crow Wing Co" display="Crow Wing Co" xr:uid="{00000000-0004-0000-0000-000012000000}"/>
    <hyperlink ref="A26" location="'Freeborn Co'!A1" tooltip="Freeborn Co" display="Freeborn Co" xr:uid="{00000000-0004-0000-0000-000013000000}"/>
    <hyperlink ref="A41" location="'Otter Tail Co'!A1" tooltip="Otter Tail Co" display="Otter Tail Co" xr:uid="{00000000-0004-0000-0000-000014000000}"/>
    <hyperlink ref="A53" location="'Wabasha Co'!A1" tooltip="Wabasha Co" display="Wabasha Co" xr:uid="{00000000-0004-0000-0000-000015000000}"/>
    <hyperlink ref="A6" location="'Cook Cty'!A1" tooltip="Cook Cty" display="Cook Cty" xr:uid="{00000000-0004-0000-0000-000016000000}"/>
    <hyperlink ref="A60" location="'Metro Area Transit'!A1" tooltip="Metro Area Transit" display="Metro Area Transit" xr:uid="{00000000-0004-0000-0000-000017000000}"/>
    <hyperlink ref="A33" location="'Lake Co'!A1" tooltip="Lake Co" display="Lake Co" xr:uid="{00000000-0004-0000-0000-000018000000}"/>
    <hyperlink ref="A20" location="'Cook Co'!A1" tooltip="Cook Co" display="Cook Co" xr:uid="{00000000-0004-0000-0000-000019000000}"/>
    <hyperlink ref="A36" location="'Mille Lacs Co'!A1" tooltip="Mille Lacs Co" display="Mille Lacs Co" xr:uid="{00000000-0004-0000-0000-00001A000000}"/>
    <hyperlink ref="A42" location="'Pine Co'!A1" tooltip="Pine Co" display="Pine Co" xr:uid="{00000000-0004-0000-0000-00001B000000}"/>
    <hyperlink ref="A54" location="'Wadena Co'!A1" tooltip="Wadena Co" display="Wadena Co" xr:uid="{00000000-0004-0000-0000-00001C000000}"/>
    <hyperlink ref="A10" location="'Anoka Co'!A1" tooltip="Anoka Co" display="Anoka Co" xr:uid="{00000000-0004-0000-0000-00001D000000}"/>
    <hyperlink ref="A17" location="'Carver Co'!A1" tooltip="Carver Co" display="Carver Co" xr:uid="{00000000-0004-0000-0000-00001E000000}"/>
    <hyperlink ref="A8" location="'Hennepin Cty'!A1" tooltip="Hennepin Cty" display="Hennepin Cty" xr:uid="{00000000-0004-0000-0000-00001F000000}"/>
    <hyperlink ref="A22" location="'Dakota Co'!A1" tooltip="Dakota Co" display="Dakota Co" xr:uid="{00000000-0004-0000-0000-000020000000}"/>
    <hyperlink ref="A28" location="'Hennepin Co'!A1" tooltip="Hennepin Co" display="Hennepin Co" xr:uid="{00000000-0004-0000-0000-000021000000}"/>
    <hyperlink ref="A44" location="'Ramsey Co'!A1" tooltip="Ramsey Co" display="Ramsey Co" xr:uid="{00000000-0004-0000-0000-000022000000}"/>
    <hyperlink ref="A56" location="'Washington Co'!A1" tooltip="Washington Co" display="Washington Co" xr:uid="{00000000-0004-0000-0000-000023000000}"/>
    <hyperlink ref="A58" location="'Wright Co'!A1" tooltip="Wright Co" display="Wright Co" xr:uid="{00000000-0004-0000-0000-000024000000}"/>
    <hyperlink ref="A32" location="'Kandiyohi Co'!A1" tooltip="Kandiyohi Co" display="Kandiyohi Co" xr:uid="{00000000-0004-0000-0000-000025000000}"/>
    <hyperlink ref="A37" location="'Morrison Co'!A1" tooltip="Morrison Co" display="Morrison Co" xr:uid="{00000000-0004-0000-0000-000026000000}"/>
    <hyperlink ref="A38" location="'Mower Co'!A1" tooltip="Mower Co" display="Mower Co" xr:uid="{00000000-0004-0000-0000-000027000000}"/>
    <hyperlink ref="A39" location="'Nicollet Co'!A1" tooltip="Nicollet Co" display="Nicollet Co" xr:uid="{00000000-0004-0000-0000-000028000000}"/>
    <hyperlink ref="A43" location="'Polk Co'!A1" tooltip="Polk Co" display="Polk Co" xr:uid="{00000000-0004-0000-0000-000029000000}"/>
    <hyperlink ref="A50" location="'Stearns Co'!A1" tooltip="Stearns Co" display="Stearns Co" xr:uid="{00000000-0004-0000-0000-00002A000000}"/>
    <hyperlink ref="A7" location="'Clay Cty'!A1" display="Clay Cty" xr:uid="{00000000-0004-0000-0000-00002B000000}"/>
    <hyperlink ref="A23" location="'Dodge Co'!A1" display="Dodge Co" xr:uid="{00000000-0004-0000-0000-00002C000000}"/>
    <hyperlink ref="A27" location="'Goodhue Co'!A1" display="Goodhue Co" xr:uid="{00000000-0004-0000-0000-00002D000000}"/>
    <hyperlink ref="A45" location="'Redwood Co'!A1" display="Redwood Co" xr:uid="{00000000-0004-0000-0000-00002E000000}"/>
    <hyperlink ref="A48" location="'Sherburne Co'!A1" display="Sherburne Co" xr:uid="{00000000-0004-0000-0000-00002F000000}"/>
    <hyperlink ref="A55" location="'Waseca Co'!A1" display="Waseca Co" xr:uid="{00000000-0004-0000-0000-000030000000}"/>
    <hyperlink ref="A30" location="'Isanti Co'!A1" display="Isanti Co" xr:uid="{701C756B-8A22-4C3B-9AD8-6299D516AD27}"/>
    <hyperlink ref="A11" location="'Benton Co'!A1" display="Benton Co" xr:uid="{4DF30AF0-F58D-449F-A2BB-3D32FCF20CBE}"/>
    <hyperlink ref="A31" location="'Kanabec Co'!A1" display="Kanabec Co" xr:uid="{143091B0-94F3-4209-98B4-2B413A62E89C}"/>
    <hyperlink ref="A35" location="'McLeod Co'!A1" display="McLeod Co" xr:uid="{DD32F3B6-F23E-435E-902E-10DFCA2CD3FF}"/>
  </hyperlinks>
  <pageMargins left="0.25" right="0" top="0" bottom="0" header="0.3" footer="0.3"/>
  <pageSetup scale="6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/>
  <dimension ref="A1:X54"/>
  <sheetViews>
    <sheetView showGridLines="0" workbookViewId="0">
      <pane ySplit="1" topLeftCell="A3" activePane="bottomLeft" state="frozen"/>
      <selection pane="bottomLeft" activeCell="R17" sqref="R17"/>
    </sheetView>
  </sheetViews>
  <sheetFormatPr baseColWidth="10" defaultColWidth="8.83203125" defaultRowHeight="15"/>
  <cols>
    <col min="1" max="1" width="13.5" customWidth="1"/>
    <col min="2" max="16" width="12.5" hidden="1" customWidth="1"/>
    <col min="17" max="17" width="12.5" customWidth="1"/>
    <col min="18" max="18" width="13.6640625" style="81" bestFit="1" customWidth="1"/>
  </cols>
  <sheetData>
    <row r="1" spans="1:24" ht="21">
      <c r="A1" s="338" t="s">
        <v>267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4" ht="19">
      <c r="A3" s="339" t="s">
        <v>274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4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4" ht="16">
      <c r="A5" s="105" t="s">
        <v>1</v>
      </c>
      <c r="B5" s="195" t="s">
        <v>176</v>
      </c>
      <c r="C5" s="84" t="s">
        <v>176</v>
      </c>
      <c r="D5" s="84" t="s">
        <v>176</v>
      </c>
      <c r="E5" s="84" t="s">
        <v>176</v>
      </c>
      <c r="F5" s="84" t="s">
        <v>176</v>
      </c>
      <c r="G5" s="84" t="s">
        <v>176</v>
      </c>
      <c r="H5" s="84" t="s">
        <v>176</v>
      </c>
      <c r="I5" s="84" t="s">
        <v>176</v>
      </c>
      <c r="J5" s="84" t="s">
        <v>176</v>
      </c>
      <c r="K5" s="84" t="s">
        <v>176</v>
      </c>
      <c r="L5" s="84" t="s">
        <v>176</v>
      </c>
      <c r="M5" s="84" t="s">
        <v>176</v>
      </c>
      <c r="N5" s="84" t="s">
        <v>176</v>
      </c>
      <c r="O5" s="84" t="s">
        <v>176</v>
      </c>
      <c r="P5" s="84" t="s">
        <v>176</v>
      </c>
      <c r="Q5" s="260">
        <v>0</v>
      </c>
      <c r="R5" s="255">
        <v>82075</v>
      </c>
    </row>
    <row r="6" spans="1:24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261">
        <v>45005</v>
      </c>
      <c r="R6" s="256">
        <v>68911</v>
      </c>
    </row>
    <row r="7" spans="1:24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262">
        <v>48508</v>
      </c>
      <c r="R7" s="257">
        <v>60021</v>
      </c>
    </row>
    <row r="8" spans="1:24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 t="s">
        <v>176</v>
      </c>
      <c r="Q8" s="262">
        <v>60209</v>
      </c>
      <c r="R8" s="257">
        <v>72532</v>
      </c>
    </row>
    <row r="9" spans="1:24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 t="s">
        <v>176</v>
      </c>
      <c r="Q9" s="263">
        <v>61958</v>
      </c>
      <c r="R9" s="258">
        <v>102119</v>
      </c>
    </row>
    <row r="10" spans="1:24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 t="s">
        <v>176</v>
      </c>
      <c r="Q10" s="264">
        <v>68935</v>
      </c>
      <c r="R10" s="259">
        <v>80232</v>
      </c>
    </row>
    <row r="11" spans="1:24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 t="s">
        <v>176</v>
      </c>
      <c r="Q11" s="84">
        <v>78491</v>
      </c>
      <c r="R11" s="252" t="s">
        <v>176</v>
      </c>
    </row>
    <row r="12" spans="1:24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 t="s">
        <v>176</v>
      </c>
      <c r="Q12" s="84">
        <v>86680</v>
      </c>
      <c r="R12" s="253" t="s">
        <v>176</v>
      </c>
    </row>
    <row r="13" spans="1:24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 t="s">
        <v>176</v>
      </c>
      <c r="Q13" s="84">
        <v>76985</v>
      </c>
      <c r="R13" s="253" t="s">
        <v>176</v>
      </c>
    </row>
    <row r="14" spans="1:24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 t="s">
        <v>176</v>
      </c>
      <c r="Q14" s="84">
        <v>78659</v>
      </c>
      <c r="R14" s="253" t="s">
        <v>176</v>
      </c>
    </row>
    <row r="15" spans="1:24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 t="s">
        <v>176</v>
      </c>
      <c r="Q15" s="84">
        <v>76399</v>
      </c>
      <c r="R15" s="253" t="s">
        <v>176</v>
      </c>
    </row>
    <row r="16" spans="1:24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5" t="s">
        <v>176</v>
      </c>
      <c r="K16" s="95" t="s">
        <v>176</v>
      </c>
      <c r="L16" s="95" t="s">
        <v>176</v>
      </c>
      <c r="M16" s="95" t="s">
        <v>176</v>
      </c>
      <c r="N16" s="95" t="s">
        <v>176</v>
      </c>
      <c r="O16" s="95" t="s">
        <v>176</v>
      </c>
      <c r="P16" s="95" t="s">
        <v>176</v>
      </c>
      <c r="Q16" s="92">
        <v>68586</v>
      </c>
      <c r="R16" s="254" t="s">
        <v>176</v>
      </c>
    </row>
    <row r="17" spans="1:19" ht="17" thickTop="1">
      <c r="A17" s="102" t="s">
        <v>14</v>
      </c>
      <c r="B17" s="170" t="s">
        <v>176</v>
      </c>
      <c r="C17" s="171" t="s">
        <v>176</v>
      </c>
      <c r="D17" s="171" t="s">
        <v>176</v>
      </c>
      <c r="E17" s="171" t="s">
        <v>176</v>
      </c>
      <c r="F17" s="171" t="s">
        <v>176</v>
      </c>
      <c r="G17" s="171" t="s">
        <v>176</v>
      </c>
      <c r="H17" s="171" t="s">
        <v>176</v>
      </c>
      <c r="I17" s="171" t="s">
        <v>176</v>
      </c>
      <c r="J17" s="171" t="s">
        <v>176</v>
      </c>
      <c r="K17" s="171" t="s">
        <v>176</v>
      </c>
      <c r="L17" s="171" t="s">
        <v>176</v>
      </c>
      <c r="M17" s="171" t="s">
        <v>176</v>
      </c>
      <c r="N17" s="171" t="s">
        <v>176</v>
      </c>
      <c r="O17" s="171" t="s">
        <v>176</v>
      </c>
      <c r="P17" s="171" t="s">
        <v>176</v>
      </c>
      <c r="Q17" s="171">
        <f>SUM(Q5:Q16)</f>
        <v>750415</v>
      </c>
      <c r="R17" s="172">
        <f t="shared" ref="R17" si="0">SUM(R5:R16)</f>
        <v>465890</v>
      </c>
    </row>
    <row r="18" spans="1:19" s="196" customFormat="1" ht="8">
      <c r="A18" s="341" t="s">
        <v>212</v>
      </c>
      <c r="B18" s="341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</row>
    <row r="19" spans="1:19" ht="19">
      <c r="A19" s="339" t="s">
        <v>275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ht="16">
      <c r="A21" s="105" t="s">
        <v>1</v>
      </c>
      <c r="B21" s="195" t="s">
        <v>176</v>
      </c>
      <c r="C21" s="84" t="s">
        <v>176</v>
      </c>
      <c r="D21" s="84" t="s">
        <v>176</v>
      </c>
      <c r="E21" s="84" t="s">
        <v>176</v>
      </c>
      <c r="F21" s="84" t="s">
        <v>176</v>
      </c>
      <c r="G21" s="84" t="s">
        <v>176</v>
      </c>
      <c r="H21" s="84" t="s">
        <v>176</v>
      </c>
      <c r="I21" s="84" t="s">
        <v>176</v>
      </c>
      <c r="J21" s="84" t="s">
        <v>176</v>
      </c>
      <c r="K21" s="84" t="s">
        <v>176</v>
      </c>
      <c r="L21" s="84" t="s">
        <v>176</v>
      </c>
      <c r="M21" s="84" t="s">
        <v>176</v>
      </c>
      <c r="N21" s="84" t="s">
        <v>176</v>
      </c>
      <c r="O21" s="84" t="s">
        <v>176</v>
      </c>
      <c r="P21" s="84" t="s">
        <v>176</v>
      </c>
      <c r="Q21" s="270">
        <v>0</v>
      </c>
      <c r="R21" s="265">
        <v>6597</v>
      </c>
    </row>
    <row r="22" spans="1:19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271">
        <v>1488</v>
      </c>
      <c r="R22" s="266">
        <v>3874</v>
      </c>
    </row>
    <row r="23" spans="1:19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272">
        <v>928</v>
      </c>
      <c r="R23" s="267">
        <v>2082</v>
      </c>
    </row>
    <row r="24" spans="1:19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 t="s">
        <v>176</v>
      </c>
      <c r="Q24" s="273">
        <v>2440</v>
      </c>
      <c r="R24" s="268">
        <v>3677</v>
      </c>
    </row>
    <row r="25" spans="1:19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 t="s">
        <v>176</v>
      </c>
      <c r="Q25" s="272">
        <v>1741</v>
      </c>
      <c r="R25" s="267">
        <v>2681</v>
      </c>
    </row>
    <row r="26" spans="1:19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 t="s">
        <v>176</v>
      </c>
      <c r="Q26" s="274">
        <v>2428</v>
      </c>
      <c r="R26" s="269">
        <v>3340</v>
      </c>
    </row>
    <row r="27" spans="1:19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 t="s">
        <v>176</v>
      </c>
      <c r="Q27" s="84">
        <v>3619</v>
      </c>
      <c r="R27" s="252" t="s">
        <v>176</v>
      </c>
    </row>
    <row r="28" spans="1:19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 t="s">
        <v>176</v>
      </c>
      <c r="Q28" s="84">
        <v>3523</v>
      </c>
      <c r="R28" s="253" t="s">
        <v>176</v>
      </c>
    </row>
    <row r="29" spans="1:19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 t="s">
        <v>176</v>
      </c>
      <c r="Q29" s="84">
        <v>2645</v>
      </c>
      <c r="R29" s="253" t="s">
        <v>176</v>
      </c>
    </row>
    <row r="30" spans="1:19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 t="s">
        <v>176</v>
      </c>
      <c r="Q30" s="84">
        <v>5235</v>
      </c>
      <c r="R30" s="253" t="s">
        <v>176</v>
      </c>
    </row>
    <row r="31" spans="1:19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 t="s">
        <v>176</v>
      </c>
      <c r="Q31" s="84">
        <v>3517</v>
      </c>
      <c r="R31" s="253" t="s">
        <v>176</v>
      </c>
    </row>
    <row r="32" spans="1:19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5" t="s">
        <v>176</v>
      </c>
      <c r="K32" s="95" t="s">
        <v>176</v>
      </c>
      <c r="L32" s="95" t="s">
        <v>176</v>
      </c>
      <c r="M32" s="95" t="s">
        <v>176</v>
      </c>
      <c r="N32" s="95" t="s">
        <v>176</v>
      </c>
      <c r="O32" s="95" t="s">
        <v>176</v>
      </c>
      <c r="P32" s="95" t="s">
        <v>176</v>
      </c>
      <c r="Q32" s="285">
        <v>2863</v>
      </c>
      <c r="R32" s="254" t="s">
        <v>176</v>
      </c>
    </row>
    <row r="33" spans="1:19" ht="17" thickTop="1">
      <c r="A33" s="102" t="s">
        <v>14</v>
      </c>
      <c r="B33" s="170" t="s">
        <v>176</v>
      </c>
      <c r="C33" s="171" t="s">
        <v>176</v>
      </c>
      <c r="D33" s="171" t="s">
        <v>176</v>
      </c>
      <c r="E33" s="171" t="s">
        <v>176</v>
      </c>
      <c r="F33" s="171" t="s">
        <v>176</v>
      </c>
      <c r="G33" s="171" t="s">
        <v>176</v>
      </c>
      <c r="H33" s="171" t="s">
        <v>176</v>
      </c>
      <c r="I33" s="171" t="s">
        <v>176</v>
      </c>
      <c r="J33" s="171" t="s">
        <v>176</v>
      </c>
      <c r="K33" s="171" t="s">
        <v>176</v>
      </c>
      <c r="L33" s="171" t="s">
        <v>176</v>
      </c>
      <c r="M33" s="171" t="s">
        <v>176</v>
      </c>
      <c r="N33" s="171" t="s">
        <v>176</v>
      </c>
      <c r="O33" s="171" t="s">
        <v>176</v>
      </c>
      <c r="P33" s="171" t="s">
        <v>176</v>
      </c>
      <c r="Q33" s="286">
        <f>SUM(Q21:Q32)</f>
        <v>30427</v>
      </c>
      <c r="R33" s="172">
        <f t="shared" ref="R33" si="1">SUM(R21:R32)</f>
        <v>22251</v>
      </c>
    </row>
    <row r="34" spans="1:19" s="196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ht="19">
      <c r="A35" s="339" t="s">
        <v>271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ht="16">
      <c r="A37" s="105" t="s">
        <v>1</v>
      </c>
      <c r="B37" s="195" t="s">
        <v>176</v>
      </c>
      <c r="C37" s="84" t="s">
        <v>176</v>
      </c>
      <c r="D37" s="84" t="s">
        <v>176</v>
      </c>
      <c r="E37" s="84" t="s">
        <v>176</v>
      </c>
      <c r="F37" s="84" t="s">
        <v>176</v>
      </c>
      <c r="G37" s="84" t="s">
        <v>176</v>
      </c>
      <c r="H37" s="84" t="s">
        <v>176</v>
      </c>
      <c r="I37" s="84" t="s">
        <v>176</v>
      </c>
      <c r="J37" s="84" t="s">
        <v>176</v>
      </c>
      <c r="K37" s="84" t="s">
        <v>176</v>
      </c>
      <c r="L37" s="84" t="s">
        <v>176</v>
      </c>
      <c r="M37" s="84" t="s">
        <v>176</v>
      </c>
      <c r="N37" s="84" t="s">
        <v>176</v>
      </c>
      <c r="O37" s="84" t="s">
        <v>176</v>
      </c>
      <c r="P37" s="84" t="s">
        <v>176</v>
      </c>
      <c r="Q37" s="279">
        <v>0</v>
      </c>
      <c r="R37" s="275">
        <v>0</v>
      </c>
    </row>
    <row r="38" spans="1:19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281">
        <v>0</v>
      </c>
      <c r="R38" s="266">
        <v>-4766</v>
      </c>
    </row>
    <row r="39" spans="1:19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281">
        <v>0</v>
      </c>
      <c r="R39" s="276">
        <v>0</v>
      </c>
    </row>
    <row r="40" spans="1:19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 t="s">
        <v>176</v>
      </c>
      <c r="Q40" s="281">
        <v>0</v>
      </c>
      <c r="R40" s="266">
        <v>0</v>
      </c>
    </row>
    <row r="41" spans="1:19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 t="s">
        <v>176</v>
      </c>
      <c r="Q41" s="281">
        <v>0</v>
      </c>
      <c r="R41" s="277">
        <v>-7734</v>
      </c>
    </row>
    <row r="42" spans="1:19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 t="s">
        <v>176</v>
      </c>
      <c r="Q42" s="281">
        <v>0</v>
      </c>
      <c r="R42" s="277">
        <v>0</v>
      </c>
    </row>
    <row r="43" spans="1:19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 t="s">
        <v>176</v>
      </c>
      <c r="Q43" s="84">
        <v>0</v>
      </c>
      <c r="R43" s="252" t="s">
        <v>176</v>
      </c>
    </row>
    <row r="44" spans="1:19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 t="s">
        <v>176</v>
      </c>
      <c r="Q44" s="84">
        <v>0</v>
      </c>
      <c r="R44" s="253" t="s">
        <v>176</v>
      </c>
    </row>
    <row r="45" spans="1:19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 t="s">
        <v>176</v>
      </c>
      <c r="Q45" s="84">
        <v>0</v>
      </c>
      <c r="R45" s="253" t="s">
        <v>176</v>
      </c>
    </row>
    <row r="46" spans="1:19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 t="s">
        <v>176</v>
      </c>
      <c r="Q46" s="84">
        <v>0</v>
      </c>
      <c r="R46" s="253" t="s">
        <v>176</v>
      </c>
    </row>
    <row r="47" spans="1:19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 t="s">
        <v>176</v>
      </c>
      <c r="Q47" s="84">
        <v>-766</v>
      </c>
      <c r="R47" s="253" t="s">
        <v>176</v>
      </c>
    </row>
    <row r="48" spans="1:19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5" t="s">
        <v>176</v>
      </c>
      <c r="K48" s="95" t="s">
        <v>176</v>
      </c>
      <c r="L48" s="95" t="s">
        <v>176</v>
      </c>
      <c r="M48" s="95" t="s">
        <v>176</v>
      </c>
      <c r="N48" s="95" t="s">
        <v>176</v>
      </c>
      <c r="O48" s="95" t="s">
        <v>176</v>
      </c>
      <c r="P48" s="95" t="s">
        <v>176</v>
      </c>
      <c r="Q48" s="92">
        <v>0</v>
      </c>
      <c r="R48" s="254" t="s">
        <v>176</v>
      </c>
    </row>
    <row r="49" spans="1:22" ht="17" thickTop="1">
      <c r="A49" s="102" t="s">
        <v>14</v>
      </c>
      <c r="B49" s="170" t="s">
        <v>176</v>
      </c>
      <c r="C49" s="171" t="s">
        <v>176</v>
      </c>
      <c r="D49" s="171" t="s">
        <v>176</v>
      </c>
      <c r="E49" s="171" t="s">
        <v>176</v>
      </c>
      <c r="F49" s="171" t="s">
        <v>176</v>
      </c>
      <c r="G49" s="171" t="s">
        <v>176</v>
      </c>
      <c r="H49" s="171" t="s">
        <v>176</v>
      </c>
      <c r="I49" s="171" t="s">
        <v>176</v>
      </c>
      <c r="J49" s="171" t="s">
        <v>176</v>
      </c>
      <c r="K49" s="171" t="s">
        <v>176</v>
      </c>
      <c r="L49" s="171" t="s">
        <v>176</v>
      </c>
      <c r="M49" s="171" t="s">
        <v>176</v>
      </c>
      <c r="N49" s="171" t="s">
        <v>176</v>
      </c>
      <c r="O49" s="171" t="s">
        <v>176</v>
      </c>
      <c r="P49" s="171" t="s">
        <v>176</v>
      </c>
      <c r="Q49" s="282">
        <f>SUM(Q37:Q48)</f>
        <v>-766</v>
      </c>
      <c r="R49" s="278">
        <f t="shared" ref="R49" si="2">SUM(R37:R48)</f>
        <v>-12500</v>
      </c>
    </row>
    <row r="50" spans="1:22" s="196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2" s="205" customFormat="1" ht="14">
      <c r="A51" s="337" t="s">
        <v>288</v>
      </c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337"/>
      <c r="T51" s="307"/>
    </row>
    <row r="52" spans="1:22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80"/>
    </row>
    <row r="53" spans="1:22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2">
      <c r="R54" s="48"/>
    </row>
  </sheetData>
  <mergeCells count="11">
    <mergeCell ref="A50:R50"/>
    <mergeCell ref="A51:S51"/>
    <mergeCell ref="A52:U52"/>
    <mergeCell ref="A53:R53"/>
    <mergeCell ref="A1:X1"/>
    <mergeCell ref="A3:S3"/>
    <mergeCell ref="A19:S19"/>
    <mergeCell ref="A35:S35"/>
    <mergeCell ref="A2:R2"/>
    <mergeCell ref="A18:R18"/>
    <mergeCell ref="A34:R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X54"/>
  <sheetViews>
    <sheetView showGridLines="0" workbookViewId="0">
      <pane ySplit="1" topLeftCell="A2" activePane="bottomLeft" state="frozen"/>
      <selection pane="bottomLeft" sqref="A1:X1"/>
    </sheetView>
  </sheetViews>
  <sheetFormatPr baseColWidth="10" defaultColWidth="8.83203125" defaultRowHeight="15"/>
  <cols>
    <col min="1" max="1" width="13.5" customWidth="1"/>
    <col min="2" max="16" width="12.5" hidden="1" customWidth="1"/>
    <col min="17" max="17" width="12.5" customWidth="1"/>
    <col min="18" max="18" width="13.6640625" style="81" bestFit="1" customWidth="1"/>
  </cols>
  <sheetData>
    <row r="1" spans="1:24" ht="21">
      <c r="A1" s="338" t="s">
        <v>266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4" ht="19">
      <c r="A3" s="339" t="s">
        <v>276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4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4" ht="16">
      <c r="A5" s="105" t="s">
        <v>1</v>
      </c>
      <c r="B5" s="195" t="s">
        <v>176</v>
      </c>
      <c r="C5" s="84" t="s">
        <v>176</v>
      </c>
      <c r="D5" s="84" t="s">
        <v>176</v>
      </c>
      <c r="E5" s="84" t="s">
        <v>176</v>
      </c>
      <c r="F5" s="84" t="s">
        <v>176</v>
      </c>
      <c r="G5" s="84" t="s">
        <v>176</v>
      </c>
      <c r="H5" s="84" t="s">
        <v>176</v>
      </c>
      <c r="I5" s="84" t="s">
        <v>176</v>
      </c>
      <c r="J5" s="84" t="s">
        <v>176</v>
      </c>
      <c r="K5" s="84" t="s">
        <v>176</v>
      </c>
      <c r="L5" s="84" t="s">
        <v>176</v>
      </c>
      <c r="M5" s="84" t="s">
        <v>176</v>
      </c>
      <c r="N5" s="84" t="s">
        <v>176</v>
      </c>
      <c r="O5" s="84" t="s">
        <v>176</v>
      </c>
      <c r="P5" s="84" t="s">
        <v>176</v>
      </c>
      <c r="Q5" s="260">
        <v>1</v>
      </c>
      <c r="R5" s="255">
        <v>277480</v>
      </c>
    </row>
    <row r="6" spans="1:24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261">
        <v>198838</v>
      </c>
      <c r="R6" s="256">
        <v>222678</v>
      </c>
    </row>
    <row r="7" spans="1:24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262">
        <v>181143</v>
      </c>
      <c r="R7" s="257">
        <v>199554</v>
      </c>
    </row>
    <row r="8" spans="1:24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 t="s">
        <v>176</v>
      </c>
      <c r="Q8" s="262">
        <v>228459</v>
      </c>
      <c r="R8" s="257">
        <v>232379</v>
      </c>
    </row>
    <row r="9" spans="1:24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 t="s">
        <v>176</v>
      </c>
      <c r="Q9" s="263">
        <v>245895</v>
      </c>
      <c r="R9" s="258">
        <v>243687</v>
      </c>
    </row>
    <row r="10" spans="1:24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 t="s">
        <v>176</v>
      </c>
      <c r="Q10" s="264">
        <v>292220</v>
      </c>
      <c r="R10" s="259">
        <v>283623</v>
      </c>
    </row>
    <row r="11" spans="1:24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 t="s">
        <v>176</v>
      </c>
      <c r="Q11" s="84">
        <v>272049</v>
      </c>
      <c r="R11" s="252" t="s">
        <v>176</v>
      </c>
    </row>
    <row r="12" spans="1:24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 t="s">
        <v>176</v>
      </c>
      <c r="Q12" s="84">
        <v>296955</v>
      </c>
      <c r="R12" s="253" t="s">
        <v>176</v>
      </c>
    </row>
    <row r="13" spans="1:24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 t="s">
        <v>176</v>
      </c>
      <c r="Q13" s="84">
        <v>283049</v>
      </c>
      <c r="R13" s="253" t="s">
        <v>176</v>
      </c>
    </row>
    <row r="14" spans="1:24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 t="s">
        <v>176</v>
      </c>
      <c r="Q14" s="84">
        <v>272743</v>
      </c>
      <c r="R14" s="253" t="s">
        <v>176</v>
      </c>
    </row>
    <row r="15" spans="1:24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 t="s">
        <v>176</v>
      </c>
      <c r="Q15" s="84">
        <v>252300</v>
      </c>
      <c r="R15" s="253" t="s">
        <v>176</v>
      </c>
    </row>
    <row r="16" spans="1:24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5" t="s">
        <v>176</v>
      </c>
      <c r="K16" s="95" t="s">
        <v>176</v>
      </c>
      <c r="L16" s="95" t="s">
        <v>176</v>
      </c>
      <c r="M16" s="95" t="s">
        <v>176</v>
      </c>
      <c r="N16" s="95" t="s">
        <v>176</v>
      </c>
      <c r="O16" s="95" t="s">
        <v>176</v>
      </c>
      <c r="P16" s="95" t="s">
        <v>176</v>
      </c>
      <c r="Q16" s="92">
        <v>237653</v>
      </c>
      <c r="R16" s="254" t="s">
        <v>176</v>
      </c>
    </row>
    <row r="17" spans="1:19" ht="17" thickTop="1">
      <c r="A17" s="102" t="s">
        <v>14</v>
      </c>
      <c r="B17" s="170" t="s">
        <v>176</v>
      </c>
      <c r="C17" s="171" t="s">
        <v>176</v>
      </c>
      <c r="D17" s="171" t="s">
        <v>176</v>
      </c>
      <c r="E17" s="171" t="s">
        <v>176</v>
      </c>
      <c r="F17" s="171" t="s">
        <v>176</v>
      </c>
      <c r="G17" s="171" t="s">
        <v>176</v>
      </c>
      <c r="H17" s="171" t="s">
        <v>176</v>
      </c>
      <c r="I17" s="171" t="s">
        <v>176</v>
      </c>
      <c r="J17" s="171" t="s">
        <v>176</v>
      </c>
      <c r="K17" s="171" t="s">
        <v>176</v>
      </c>
      <c r="L17" s="171" t="s">
        <v>176</v>
      </c>
      <c r="M17" s="171" t="s">
        <v>176</v>
      </c>
      <c r="N17" s="171" t="s">
        <v>176</v>
      </c>
      <c r="O17" s="171" t="s">
        <v>176</v>
      </c>
      <c r="P17" s="171" t="s">
        <v>176</v>
      </c>
      <c r="Q17" s="171">
        <f>SUM(Q5:Q16)</f>
        <v>2761305</v>
      </c>
      <c r="R17" s="172">
        <f t="shared" ref="R17" si="0">SUM(R5:R16)</f>
        <v>1459401</v>
      </c>
    </row>
    <row r="18" spans="1:19" s="196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9" ht="19">
      <c r="A19" s="339" t="s">
        <v>277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ht="16">
      <c r="A21" s="105" t="s">
        <v>1</v>
      </c>
      <c r="B21" s="195" t="s">
        <v>176</v>
      </c>
      <c r="C21" s="84" t="s">
        <v>176</v>
      </c>
      <c r="D21" s="84" t="s">
        <v>176</v>
      </c>
      <c r="E21" s="84" t="s">
        <v>176</v>
      </c>
      <c r="F21" s="84" t="s">
        <v>176</v>
      </c>
      <c r="G21" s="84" t="s">
        <v>176</v>
      </c>
      <c r="H21" s="84" t="s">
        <v>176</v>
      </c>
      <c r="I21" s="84" t="s">
        <v>176</v>
      </c>
      <c r="J21" s="84" t="s">
        <v>176</v>
      </c>
      <c r="K21" s="84" t="s">
        <v>176</v>
      </c>
      <c r="L21" s="84" t="s">
        <v>176</v>
      </c>
      <c r="M21" s="84" t="s">
        <v>176</v>
      </c>
      <c r="N21" s="84" t="s">
        <v>176</v>
      </c>
      <c r="O21" s="84" t="s">
        <v>176</v>
      </c>
      <c r="P21" s="84" t="s">
        <v>176</v>
      </c>
      <c r="Q21" s="270">
        <v>0</v>
      </c>
      <c r="R21" s="265">
        <v>33519</v>
      </c>
    </row>
    <row r="22" spans="1:19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271">
        <v>20444</v>
      </c>
      <c r="R22" s="266">
        <v>19076</v>
      </c>
    </row>
    <row r="23" spans="1:19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272">
        <v>25285</v>
      </c>
      <c r="R23" s="267">
        <v>14665</v>
      </c>
    </row>
    <row r="24" spans="1:19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 t="s">
        <v>176</v>
      </c>
      <c r="Q24" s="273">
        <v>25309</v>
      </c>
      <c r="R24" s="268">
        <v>35845</v>
      </c>
    </row>
    <row r="25" spans="1:19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 t="s">
        <v>176</v>
      </c>
      <c r="Q25" s="272">
        <v>28528</v>
      </c>
      <c r="R25" s="267">
        <v>14553</v>
      </c>
    </row>
    <row r="26" spans="1:19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 t="s">
        <v>176</v>
      </c>
      <c r="Q26" s="274">
        <v>22122</v>
      </c>
      <c r="R26" s="269">
        <v>32977</v>
      </c>
    </row>
    <row r="27" spans="1:19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 t="s">
        <v>176</v>
      </c>
      <c r="Q27" s="84">
        <v>11759</v>
      </c>
      <c r="R27" s="252" t="s">
        <v>176</v>
      </c>
    </row>
    <row r="28" spans="1:19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 t="s">
        <v>176</v>
      </c>
      <c r="Q28" s="84">
        <v>23020</v>
      </c>
      <c r="R28" s="253" t="s">
        <v>176</v>
      </c>
    </row>
    <row r="29" spans="1:19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 t="s">
        <v>176</v>
      </c>
      <c r="Q29" s="84">
        <v>19583</v>
      </c>
      <c r="R29" s="253" t="s">
        <v>176</v>
      </c>
    </row>
    <row r="30" spans="1:19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 t="s">
        <v>176</v>
      </c>
      <c r="Q30" s="84">
        <v>25212</v>
      </c>
      <c r="R30" s="253" t="s">
        <v>176</v>
      </c>
    </row>
    <row r="31" spans="1:19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 t="s">
        <v>176</v>
      </c>
      <c r="Q31" s="84">
        <v>22540</v>
      </c>
      <c r="R31" s="253" t="s">
        <v>176</v>
      </c>
    </row>
    <row r="32" spans="1:19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5" t="s">
        <v>176</v>
      </c>
      <c r="K32" s="95" t="s">
        <v>176</v>
      </c>
      <c r="L32" s="95" t="s">
        <v>176</v>
      </c>
      <c r="M32" s="95" t="s">
        <v>176</v>
      </c>
      <c r="N32" s="95" t="s">
        <v>176</v>
      </c>
      <c r="O32" s="95" t="s">
        <v>176</v>
      </c>
      <c r="P32" s="95" t="s">
        <v>176</v>
      </c>
      <c r="Q32" s="285">
        <v>45304</v>
      </c>
      <c r="R32" s="254" t="s">
        <v>176</v>
      </c>
    </row>
    <row r="33" spans="1:19" ht="17" thickTop="1">
      <c r="A33" s="102" t="s">
        <v>14</v>
      </c>
      <c r="B33" s="170" t="s">
        <v>176</v>
      </c>
      <c r="C33" s="171" t="s">
        <v>176</v>
      </c>
      <c r="D33" s="171" t="s">
        <v>176</v>
      </c>
      <c r="E33" s="171" t="s">
        <v>176</v>
      </c>
      <c r="F33" s="171" t="s">
        <v>176</v>
      </c>
      <c r="G33" s="171" t="s">
        <v>176</v>
      </c>
      <c r="H33" s="171" t="s">
        <v>176</v>
      </c>
      <c r="I33" s="171" t="s">
        <v>176</v>
      </c>
      <c r="J33" s="171" t="s">
        <v>176</v>
      </c>
      <c r="K33" s="171" t="s">
        <v>176</v>
      </c>
      <c r="L33" s="171" t="s">
        <v>176</v>
      </c>
      <c r="M33" s="171" t="s">
        <v>176</v>
      </c>
      <c r="N33" s="171" t="s">
        <v>176</v>
      </c>
      <c r="O33" s="171" t="s">
        <v>176</v>
      </c>
      <c r="P33" s="171" t="s">
        <v>176</v>
      </c>
      <c r="Q33" s="286">
        <f>SUM(Q21:Q32)</f>
        <v>269106</v>
      </c>
      <c r="R33" s="172">
        <f t="shared" ref="R33" si="1">SUM(R21:R32)</f>
        <v>150635</v>
      </c>
    </row>
    <row r="34" spans="1:19" s="196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ht="19">
      <c r="A35" s="339" t="s">
        <v>268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ht="16">
      <c r="A37" s="105" t="s">
        <v>1</v>
      </c>
      <c r="B37" s="195" t="s">
        <v>176</v>
      </c>
      <c r="C37" s="84" t="s">
        <v>176</v>
      </c>
      <c r="D37" s="84" t="s">
        <v>176</v>
      </c>
      <c r="E37" s="84" t="s">
        <v>176</v>
      </c>
      <c r="F37" s="84" t="s">
        <v>176</v>
      </c>
      <c r="G37" s="84" t="s">
        <v>176</v>
      </c>
      <c r="H37" s="84" t="s">
        <v>176</v>
      </c>
      <c r="I37" s="84" t="s">
        <v>176</v>
      </c>
      <c r="J37" s="84" t="s">
        <v>176</v>
      </c>
      <c r="K37" s="84" t="s">
        <v>176</v>
      </c>
      <c r="L37" s="84" t="s">
        <v>176</v>
      </c>
      <c r="M37" s="84" t="s">
        <v>176</v>
      </c>
      <c r="N37" s="84" t="s">
        <v>176</v>
      </c>
      <c r="O37" s="84" t="s">
        <v>176</v>
      </c>
      <c r="P37" s="84" t="s">
        <v>176</v>
      </c>
      <c r="Q37" s="279">
        <v>0</v>
      </c>
      <c r="R37" s="275">
        <v>0</v>
      </c>
    </row>
    <row r="38" spans="1:19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281">
        <v>0</v>
      </c>
      <c r="R38" s="266">
        <v>-2</v>
      </c>
    </row>
    <row r="39" spans="1:19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281">
        <v>0</v>
      </c>
      <c r="R39" s="276">
        <v>-44</v>
      </c>
    </row>
    <row r="40" spans="1:19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 t="s">
        <v>176</v>
      </c>
      <c r="Q40" s="281">
        <v>0</v>
      </c>
      <c r="R40" s="266">
        <v>-189</v>
      </c>
    </row>
    <row r="41" spans="1:19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 t="s">
        <v>176</v>
      </c>
      <c r="Q41" s="281">
        <v>0</v>
      </c>
      <c r="R41" s="277">
        <v>-2</v>
      </c>
    </row>
    <row r="42" spans="1:19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 t="s">
        <v>176</v>
      </c>
      <c r="Q42" s="281">
        <v>-212</v>
      </c>
      <c r="R42" s="277">
        <v>-43</v>
      </c>
    </row>
    <row r="43" spans="1:19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 t="s">
        <v>176</v>
      </c>
      <c r="Q43" s="84">
        <v>0</v>
      </c>
      <c r="R43" s="252" t="s">
        <v>176</v>
      </c>
    </row>
    <row r="44" spans="1:19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 t="s">
        <v>176</v>
      </c>
      <c r="Q44" s="84">
        <v>0</v>
      </c>
      <c r="R44" s="253" t="s">
        <v>176</v>
      </c>
    </row>
    <row r="45" spans="1:19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 t="s">
        <v>176</v>
      </c>
      <c r="Q45" s="84">
        <v>0</v>
      </c>
      <c r="R45" s="253" t="s">
        <v>176</v>
      </c>
    </row>
    <row r="46" spans="1:19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 t="s">
        <v>176</v>
      </c>
      <c r="Q46" s="84">
        <v>0</v>
      </c>
      <c r="R46" s="253" t="s">
        <v>176</v>
      </c>
    </row>
    <row r="47" spans="1:19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 t="s">
        <v>176</v>
      </c>
      <c r="Q47" s="84">
        <v>0</v>
      </c>
      <c r="R47" s="253" t="s">
        <v>176</v>
      </c>
    </row>
    <row r="48" spans="1:19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5" t="s">
        <v>176</v>
      </c>
      <c r="K48" s="95" t="s">
        <v>176</v>
      </c>
      <c r="L48" s="95" t="s">
        <v>176</v>
      </c>
      <c r="M48" s="95" t="s">
        <v>176</v>
      </c>
      <c r="N48" s="95" t="s">
        <v>176</v>
      </c>
      <c r="O48" s="95" t="s">
        <v>176</v>
      </c>
      <c r="P48" s="95" t="s">
        <v>176</v>
      </c>
      <c r="Q48" s="92">
        <v>0</v>
      </c>
      <c r="R48" s="254" t="s">
        <v>176</v>
      </c>
    </row>
    <row r="49" spans="1:22" ht="17" thickTop="1">
      <c r="A49" s="102" t="s">
        <v>14</v>
      </c>
      <c r="B49" s="170" t="s">
        <v>176</v>
      </c>
      <c r="C49" s="171" t="s">
        <v>176</v>
      </c>
      <c r="D49" s="171" t="s">
        <v>176</v>
      </c>
      <c r="E49" s="171" t="s">
        <v>176</v>
      </c>
      <c r="F49" s="171" t="s">
        <v>176</v>
      </c>
      <c r="G49" s="171" t="s">
        <v>176</v>
      </c>
      <c r="H49" s="171" t="s">
        <v>176</v>
      </c>
      <c r="I49" s="171" t="s">
        <v>176</v>
      </c>
      <c r="J49" s="171" t="s">
        <v>176</v>
      </c>
      <c r="K49" s="171" t="s">
        <v>176</v>
      </c>
      <c r="L49" s="171" t="s">
        <v>176</v>
      </c>
      <c r="M49" s="171" t="s">
        <v>176</v>
      </c>
      <c r="N49" s="171" t="s">
        <v>176</v>
      </c>
      <c r="O49" s="171" t="s">
        <v>176</v>
      </c>
      <c r="P49" s="171" t="s">
        <v>176</v>
      </c>
      <c r="Q49" s="282">
        <f>SUM(Q37:Q48)</f>
        <v>-212</v>
      </c>
      <c r="R49" s="278">
        <f t="shared" ref="R49" si="2">SUM(R37:R48)</f>
        <v>-280</v>
      </c>
    </row>
    <row r="50" spans="1:22" s="196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2" s="206" customFormat="1" ht="14">
      <c r="A51" s="337" t="s">
        <v>288</v>
      </c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337"/>
      <c r="T51" s="307"/>
    </row>
    <row r="52" spans="1:22" s="7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80"/>
    </row>
    <row r="53" spans="1:22" s="7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2">
      <c r="R54" s="48"/>
    </row>
  </sheetData>
  <mergeCells count="11">
    <mergeCell ref="A50:R50"/>
    <mergeCell ref="A51:S51"/>
    <mergeCell ref="A52:U52"/>
    <mergeCell ref="A53:R53"/>
    <mergeCell ref="A1:X1"/>
    <mergeCell ref="A3:S3"/>
    <mergeCell ref="A19:S19"/>
    <mergeCell ref="A35:S35"/>
    <mergeCell ref="A2:R2"/>
    <mergeCell ref="A18:R18"/>
    <mergeCell ref="A34:R3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X54"/>
  <sheetViews>
    <sheetView showGridLines="0" workbookViewId="0">
      <pane ySplit="1" topLeftCell="A2" activePane="bottomLeft" state="frozen"/>
      <selection pane="bottomLeft" sqref="A1:X1"/>
    </sheetView>
  </sheetViews>
  <sheetFormatPr baseColWidth="10" defaultColWidth="8.83203125" defaultRowHeight="15"/>
  <cols>
    <col min="1" max="1" width="13.5" customWidth="1"/>
    <col min="2" max="16" width="12.5" hidden="1" customWidth="1"/>
    <col min="17" max="17" width="12.5" customWidth="1"/>
    <col min="18" max="18" width="13.6640625" style="81" bestFit="1" customWidth="1"/>
  </cols>
  <sheetData>
    <row r="1" spans="1:24" ht="21">
      <c r="A1" s="338" t="s">
        <v>265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4" ht="19">
      <c r="A3" s="339" t="s">
        <v>278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</row>
    <row r="4" spans="1:24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4" ht="16">
      <c r="A5" s="105" t="s">
        <v>1</v>
      </c>
      <c r="B5" s="195" t="s">
        <v>176</v>
      </c>
      <c r="C5" s="84" t="s">
        <v>176</v>
      </c>
      <c r="D5" s="84" t="s">
        <v>176</v>
      </c>
      <c r="E5" s="84" t="s">
        <v>176</v>
      </c>
      <c r="F5" s="84" t="s">
        <v>176</v>
      </c>
      <c r="G5" s="84" t="s">
        <v>176</v>
      </c>
      <c r="H5" s="84" t="s">
        <v>176</v>
      </c>
      <c r="I5" s="84" t="s">
        <v>176</v>
      </c>
      <c r="J5" s="84" t="s">
        <v>176</v>
      </c>
      <c r="K5" s="84" t="s">
        <v>176</v>
      </c>
      <c r="L5" s="84" t="s">
        <v>176</v>
      </c>
      <c r="M5" s="84" t="s">
        <v>176</v>
      </c>
      <c r="N5" s="84" t="s">
        <v>176</v>
      </c>
      <c r="O5" s="84" t="s">
        <v>176</v>
      </c>
      <c r="P5" s="84" t="s">
        <v>176</v>
      </c>
      <c r="Q5" s="260">
        <v>546</v>
      </c>
      <c r="R5" s="255">
        <v>515544</v>
      </c>
    </row>
    <row r="6" spans="1:24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261">
        <v>287974</v>
      </c>
      <c r="R6" s="256">
        <v>405968</v>
      </c>
    </row>
    <row r="7" spans="1:24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262">
        <v>345404</v>
      </c>
      <c r="R7" s="257">
        <v>363294</v>
      </c>
    </row>
    <row r="8" spans="1:24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 t="s">
        <v>176</v>
      </c>
      <c r="Q8" s="262">
        <v>383834</v>
      </c>
      <c r="R8" s="257">
        <v>398346</v>
      </c>
    </row>
    <row r="9" spans="1:24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 t="s">
        <v>176</v>
      </c>
      <c r="Q9" s="263">
        <v>385870</v>
      </c>
      <c r="R9" s="258">
        <v>462524</v>
      </c>
    </row>
    <row r="10" spans="1:24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 t="s">
        <v>176</v>
      </c>
      <c r="Q10" s="264">
        <v>459349</v>
      </c>
      <c r="R10" s="259">
        <v>516683</v>
      </c>
    </row>
    <row r="11" spans="1:24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 t="s">
        <v>176</v>
      </c>
      <c r="Q11" s="84">
        <v>414898</v>
      </c>
      <c r="R11" s="252" t="s">
        <v>176</v>
      </c>
    </row>
    <row r="12" spans="1:24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 t="s">
        <v>176</v>
      </c>
      <c r="Q12" s="84">
        <v>515767</v>
      </c>
      <c r="R12" s="253" t="s">
        <v>176</v>
      </c>
    </row>
    <row r="13" spans="1:24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 t="s">
        <v>176</v>
      </c>
      <c r="Q13" s="84">
        <v>483113</v>
      </c>
      <c r="R13" s="253" t="s">
        <v>176</v>
      </c>
    </row>
    <row r="14" spans="1:24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 t="s">
        <v>176</v>
      </c>
      <c r="Q14" s="84">
        <v>477840</v>
      </c>
      <c r="R14" s="253" t="s">
        <v>176</v>
      </c>
    </row>
    <row r="15" spans="1:24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 t="s">
        <v>176</v>
      </c>
      <c r="Q15" s="84">
        <v>448499</v>
      </c>
      <c r="R15" s="253" t="s">
        <v>176</v>
      </c>
    </row>
    <row r="16" spans="1:24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5" t="s">
        <v>176</v>
      </c>
      <c r="K16" s="95" t="s">
        <v>176</v>
      </c>
      <c r="L16" s="95" t="s">
        <v>176</v>
      </c>
      <c r="M16" s="95" t="s">
        <v>176</v>
      </c>
      <c r="N16" s="95" t="s">
        <v>176</v>
      </c>
      <c r="O16" s="95" t="s">
        <v>176</v>
      </c>
      <c r="P16" s="95" t="s">
        <v>176</v>
      </c>
      <c r="Q16" s="92">
        <v>430582</v>
      </c>
      <c r="R16" s="254" t="s">
        <v>176</v>
      </c>
    </row>
    <row r="17" spans="1:19" ht="17" thickTop="1">
      <c r="A17" s="102" t="s">
        <v>14</v>
      </c>
      <c r="B17" s="170" t="s">
        <v>176</v>
      </c>
      <c r="C17" s="171" t="s">
        <v>176</v>
      </c>
      <c r="D17" s="171" t="s">
        <v>176</v>
      </c>
      <c r="E17" s="171" t="s">
        <v>176</v>
      </c>
      <c r="F17" s="171" t="s">
        <v>176</v>
      </c>
      <c r="G17" s="171" t="s">
        <v>176</v>
      </c>
      <c r="H17" s="171" t="s">
        <v>176</v>
      </c>
      <c r="I17" s="171" t="s">
        <v>176</v>
      </c>
      <c r="J17" s="171" t="s">
        <v>176</v>
      </c>
      <c r="K17" s="171" t="s">
        <v>176</v>
      </c>
      <c r="L17" s="171" t="s">
        <v>176</v>
      </c>
      <c r="M17" s="171" t="s">
        <v>176</v>
      </c>
      <c r="N17" s="171" t="s">
        <v>176</v>
      </c>
      <c r="O17" s="171" t="s">
        <v>176</v>
      </c>
      <c r="P17" s="171" t="s">
        <v>176</v>
      </c>
      <c r="Q17" s="171">
        <f>SUM(Q5:Q16)</f>
        <v>4633676</v>
      </c>
      <c r="R17" s="172">
        <f t="shared" ref="R17" si="0">SUM(R5:R16)</f>
        <v>2662359</v>
      </c>
    </row>
    <row r="18" spans="1:19" s="196" customFormat="1" ht="8">
      <c r="A18" s="306" t="s">
        <v>212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47"/>
    </row>
    <row r="19" spans="1:19" ht="19">
      <c r="A19" s="339" t="s">
        <v>279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ht="16">
      <c r="A21" s="105" t="s">
        <v>1</v>
      </c>
      <c r="B21" s="195" t="s">
        <v>176</v>
      </c>
      <c r="C21" s="84" t="s">
        <v>176</v>
      </c>
      <c r="D21" s="84" t="s">
        <v>176</v>
      </c>
      <c r="E21" s="84" t="s">
        <v>176</v>
      </c>
      <c r="F21" s="84" t="s">
        <v>176</v>
      </c>
      <c r="G21" s="84" t="s">
        <v>176</v>
      </c>
      <c r="H21" s="84" t="s">
        <v>176</v>
      </c>
      <c r="I21" s="84" t="s">
        <v>176</v>
      </c>
      <c r="J21" s="84" t="s">
        <v>176</v>
      </c>
      <c r="K21" s="84" t="s">
        <v>176</v>
      </c>
      <c r="L21" s="84" t="s">
        <v>176</v>
      </c>
      <c r="M21" s="84" t="s">
        <v>176</v>
      </c>
      <c r="N21" s="84" t="s">
        <v>176</v>
      </c>
      <c r="O21" s="84" t="s">
        <v>176</v>
      </c>
      <c r="P21" s="84" t="s">
        <v>176</v>
      </c>
      <c r="Q21" s="270">
        <v>24</v>
      </c>
      <c r="R21" s="265">
        <v>29798</v>
      </c>
    </row>
    <row r="22" spans="1:19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271">
        <v>15432</v>
      </c>
      <c r="R22" s="266">
        <v>19118</v>
      </c>
    </row>
    <row r="23" spans="1:19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272">
        <v>20651</v>
      </c>
      <c r="R23" s="267">
        <v>21398</v>
      </c>
    </row>
    <row r="24" spans="1:19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 t="s">
        <v>176</v>
      </c>
      <c r="Q24" s="273">
        <v>21338</v>
      </c>
      <c r="R24" s="268">
        <v>31145</v>
      </c>
    </row>
    <row r="25" spans="1:19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 t="s">
        <v>176</v>
      </c>
      <c r="Q25" s="272">
        <v>41350</v>
      </c>
      <c r="R25" s="267">
        <v>20289</v>
      </c>
    </row>
    <row r="26" spans="1:19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 t="s">
        <v>176</v>
      </c>
      <c r="Q26" s="274">
        <v>21389</v>
      </c>
      <c r="R26" s="269">
        <v>20146</v>
      </c>
    </row>
    <row r="27" spans="1:19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 t="s">
        <v>176</v>
      </c>
      <c r="Q27" s="84">
        <v>46255</v>
      </c>
      <c r="R27" s="252" t="s">
        <v>176</v>
      </c>
    </row>
    <row r="28" spans="1:19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 t="s">
        <v>176</v>
      </c>
      <c r="Q28" s="84">
        <v>25447</v>
      </c>
      <c r="R28" s="253" t="s">
        <v>176</v>
      </c>
    </row>
    <row r="29" spans="1:19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 t="s">
        <v>176</v>
      </c>
      <c r="Q29" s="84">
        <v>21035</v>
      </c>
      <c r="R29" s="253" t="s">
        <v>176</v>
      </c>
    </row>
    <row r="30" spans="1:19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 t="s">
        <v>176</v>
      </c>
      <c r="Q30" s="84">
        <v>25845</v>
      </c>
      <c r="R30" s="253" t="s">
        <v>176</v>
      </c>
    </row>
    <row r="31" spans="1:19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 t="s">
        <v>176</v>
      </c>
      <c r="Q31" s="84">
        <v>28870</v>
      </c>
      <c r="R31" s="253" t="s">
        <v>176</v>
      </c>
    </row>
    <row r="32" spans="1:19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5" t="s">
        <v>176</v>
      </c>
      <c r="K32" s="95" t="s">
        <v>176</v>
      </c>
      <c r="L32" s="95" t="s">
        <v>176</v>
      </c>
      <c r="M32" s="95" t="s">
        <v>176</v>
      </c>
      <c r="N32" s="95" t="s">
        <v>176</v>
      </c>
      <c r="O32" s="95" t="s">
        <v>176</v>
      </c>
      <c r="P32" s="95" t="s">
        <v>176</v>
      </c>
      <c r="Q32" s="285">
        <v>28618</v>
      </c>
      <c r="R32" s="254" t="s">
        <v>176</v>
      </c>
    </row>
    <row r="33" spans="1:19" ht="17" thickTop="1">
      <c r="A33" s="102" t="s">
        <v>14</v>
      </c>
      <c r="B33" s="170" t="s">
        <v>176</v>
      </c>
      <c r="C33" s="171" t="s">
        <v>176</v>
      </c>
      <c r="D33" s="171" t="s">
        <v>176</v>
      </c>
      <c r="E33" s="171" t="s">
        <v>176</v>
      </c>
      <c r="F33" s="171" t="s">
        <v>176</v>
      </c>
      <c r="G33" s="171" t="s">
        <v>176</v>
      </c>
      <c r="H33" s="171" t="s">
        <v>176</v>
      </c>
      <c r="I33" s="171" t="s">
        <v>176</v>
      </c>
      <c r="J33" s="171" t="s">
        <v>176</v>
      </c>
      <c r="K33" s="171" t="s">
        <v>176</v>
      </c>
      <c r="L33" s="171" t="s">
        <v>176</v>
      </c>
      <c r="M33" s="171" t="s">
        <v>176</v>
      </c>
      <c r="N33" s="171" t="s">
        <v>176</v>
      </c>
      <c r="O33" s="171" t="s">
        <v>176</v>
      </c>
      <c r="P33" s="171" t="s">
        <v>176</v>
      </c>
      <c r="Q33" s="286">
        <f>SUM(Q21:Q32)</f>
        <v>296254</v>
      </c>
      <c r="R33" s="172">
        <f t="shared" ref="R33" si="1">SUM(R21:R32)</f>
        <v>141894</v>
      </c>
    </row>
    <row r="34" spans="1:19" s="196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ht="19">
      <c r="A35" s="339" t="s">
        <v>270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ht="16">
      <c r="A37" s="105" t="s">
        <v>1</v>
      </c>
      <c r="B37" s="195" t="s">
        <v>176</v>
      </c>
      <c r="C37" s="84" t="s">
        <v>176</v>
      </c>
      <c r="D37" s="84" t="s">
        <v>176</v>
      </c>
      <c r="E37" s="84" t="s">
        <v>176</v>
      </c>
      <c r="F37" s="84" t="s">
        <v>176</v>
      </c>
      <c r="G37" s="84" t="s">
        <v>176</v>
      </c>
      <c r="H37" s="84" t="s">
        <v>176</v>
      </c>
      <c r="I37" s="84" t="s">
        <v>176</v>
      </c>
      <c r="J37" s="84" t="s">
        <v>176</v>
      </c>
      <c r="K37" s="84" t="s">
        <v>176</v>
      </c>
      <c r="L37" s="84" t="s">
        <v>176</v>
      </c>
      <c r="M37" s="84" t="s">
        <v>176</v>
      </c>
      <c r="N37" s="84" t="s">
        <v>176</v>
      </c>
      <c r="O37" s="84" t="s">
        <v>176</v>
      </c>
      <c r="P37" s="84" t="s">
        <v>176</v>
      </c>
      <c r="Q37" s="279">
        <v>0</v>
      </c>
      <c r="R37" s="275">
        <v>-15</v>
      </c>
    </row>
    <row r="38" spans="1:19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281">
        <v>0</v>
      </c>
      <c r="R38" s="281">
        <v>0</v>
      </c>
    </row>
    <row r="39" spans="1:19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281">
        <v>0</v>
      </c>
      <c r="R39" s="276">
        <v>-774</v>
      </c>
    </row>
    <row r="40" spans="1:19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 t="s">
        <v>176</v>
      </c>
      <c r="Q40" s="281">
        <v>0</v>
      </c>
      <c r="R40" s="281">
        <v>0</v>
      </c>
    </row>
    <row r="41" spans="1:19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 t="s">
        <v>176</v>
      </c>
      <c r="Q41" s="281">
        <v>0</v>
      </c>
      <c r="R41" s="277">
        <v>-3643</v>
      </c>
    </row>
    <row r="42" spans="1:19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 t="s">
        <v>176</v>
      </c>
      <c r="Q42" s="281">
        <v>-53</v>
      </c>
      <c r="R42" s="277">
        <v>-492</v>
      </c>
    </row>
    <row r="43" spans="1:19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 t="s">
        <v>176</v>
      </c>
      <c r="Q43" s="84">
        <v>-111</v>
      </c>
      <c r="R43" s="252" t="s">
        <v>176</v>
      </c>
    </row>
    <row r="44" spans="1:19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 t="s">
        <v>176</v>
      </c>
      <c r="Q44" s="84">
        <v>0</v>
      </c>
      <c r="R44" s="253" t="s">
        <v>176</v>
      </c>
    </row>
    <row r="45" spans="1:19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 t="s">
        <v>176</v>
      </c>
      <c r="Q45" s="84">
        <v>0</v>
      </c>
      <c r="R45" s="253" t="s">
        <v>176</v>
      </c>
    </row>
    <row r="46" spans="1:19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 t="s">
        <v>176</v>
      </c>
      <c r="Q46" s="84">
        <v>0</v>
      </c>
      <c r="R46" s="253" t="s">
        <v>176</v>
      </c>
    </row>
    <row r="47" spans="1:19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 t="s">
        <v>176</v>
      </c>
      <c r="Q47" s="84">
        <v>-323</v>
      </c>
      <c r="R47" s="253" t="s">
        <v>176</v>
      </c>
    </row>
    <row r="48" spans="1:19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5" t="s">
        <v>176</v>
      </c>
      <c r="K48" s="95" t="s">
        <v>176</v>
      </c>
      <c r="L48" s="95" t="s">
        <v>176</v>
      </c>
      <c r="M48" s="95" t="s">
        <v>176</v>
      </c>
      <c r="N48" s="95" t="s">
        <v>176</v>
      </c>
      <c r="O48" s="95" t="s">
        <v>176</v>
      </c>
      <c r="P48" s="95" t="s">
        <v>176</v>
      </c>
      <c r="Q48" s="92">
        <v>0</v>
      </c>
      <c r="R48" s="254" t="s">
        <v>176</v>
      </c>
    </row>
    <row r="49" spans="1:22" ht="17" thickTop="1">
      <c r="A49" s="102" t="s">
        <v>14</v>
      </c>
      <c r="B49" s="170" t="s">
        <v>176</v>
      </c>
      <c r="C49" s="171" t="s">
        <v>176</v>
      </c>
      <c r="D49" s="171" t="s">
        <v>176</v>
      </c>
      <c r="E49" s="171" t="s">
        <v>176</v>
      </c>
      <c r="F49" s="171" t="s">
        <v>176</v>
      </c>
      <c r="G49" s="171" t="s">
        <v>176</v>
      </c>
      <c r="H49" s="171" t="s">
        <v>176</v>
      </c>
      <c r="I49" s="171" t="s">
        <v>176</v>
      </c>
      <c r="J49" s="171" t="s">
        <v>176</v>
      </c>
      <c r="K49" s="171" t="s">
        <v>176</v>
      </c>
      <c r="L49" s="171" t="s">
        <v>176</v>
      </c>
      <c r="M49" s="171" t="s">
        <v>176</v>
      </c>
      <c r="N49" s="171" t="s">
        <v>176</v>
      </c>
      <c r="O49" s="171" t="s">
        <v>176</v>
      </c>
      <c r="P49" s="171" t="s">
        <v>176</v>
      </c>
      <c r="Q49" s="282">
        <f>SUM(Q37:Q48)</f>
        <v>-487</v>
      </c>
      <c r="R49" s="278">
        <f t="shared" ref="R49" si="2">SUM(R37:R48)</f>
        <v>-4924</v>
      </c>
    </row>
    <row r="50" spans="1:22" s="196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2" s="206" customFormat="1" ht="14">
      <c r="A51" s="337" t="s">
        <v>288</v>
      </c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337"/>
      <c r="T51" s="307"/>
    </row>
    <row r="52" spans="1:22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80"/>
    </row>
    <row r="53" spans="1:22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2">
      <c r="R54" s="48"/>
    </row>
  </sheetData>
  <mergeCells count="10">
    <mergeCell ref="A50:R50"/>
    <mergeCell ref="A51:S51"/>
    <mergeCell ref="A52:U52"/>
    <mergeCell ref="A53:R53"/>
    <mergeCell ref="A1:X1"/>
    <mergeCell ref="A19:S19"/>
    <mergeCell ref="A3:T3"/>
    <mergeCell ref="A35:S35"/>
    <mergeCell ref="A2:R2"/>
    <mergeCell ref="A34:R3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X54"/>
  <sheetViews>
    <sheetView showGridLines="0" workbookViewId="0">
      <pane ySplit="1" topLeftCell="A2" activePane="bottomLeft" state="frozen"/>
      <selection pane="bottomLeft" sqref="A1:X1"/>
    </sheetView>
  </sheetViews>
  <sheetFormatPr baseColWidth="10" defaultColWidth="8.83203125" defaultRowHeight="15"/>
  <cols>
    <col min="1" max="1" width="13.5" customWidth="1"/>
    <col min="2" max="16" width="12.5" hidden="1" customWidth="1"/>
    <col min="17" max="17" width="12.5" customWidth="1"/>
    <col min="18" max="18" width="13.6640625" style="81" bestFit="1" customWidth="1"/>
  </cols>
  <sheetData>
    <row r="1" spans="1:24" ht="21">
      <c r="A1" s="338" t="s">
        <v>264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4" ht="19">
      <c r="A3" s="339" t="s">
        <v>280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4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4" ht="16">
      <c r="A5" s="105" t="s">
        <v>1</v>
      </c>
      <c r="B5" s="195" t="s">
        <v>176</v>
      </c>
      <c r="C5" s="84" t="s">
        <v>176</v>
      </c>
      <c r="D5" s="84" t="s">
        <v>176</v>
      </c>
      <c r="E5" s="84" t="s">
        <v>176</v>
      </c>
      <c r="F5" s="84" t="s">
        <v>176</v>
      </c>
      <c r="G5" s="84" t="s">
        <v>176</v>
      </c>
      <c r="H5" s="84" t="s">
        <v>176</v>
      </c>
      <c r="I5" s="84" t="s">
        <v>176</v>
      </c>
      <c r="J5" s="84" t="s">
        <v>176</v>
      </c>
      <c r="K5" s="84" t="s">
        <v>176</v>
      </c>
      <c r="L5" s="84" t="s">
        <v>176</v>
      </c>
      <c r="M5" s="84" t="s">
        <v>176</v>
      </c>
      <c r="N5" s="84" t="s">
        <v>176</v>
      </c>
      <c r="O5" s="84" t="s">
        <v>176</v>
      </c>
      <c r="P5" s="84" t="s">
        <v>176</v>
      </c>
      <c r="Q5" s="84" t="s">
        <v>176</v>
      </c>
      <c r="R5" s="255">
        <v>69318</v>
      </c>
    </row>
    <row r="6" spans="1:24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60852</v>
      </c>
    </row>
    <row r="7" spans="1:24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53427</v>
      </c>
    </row>
    <row r="8" spans="1:24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 t="s">
        <v>176</v>
      </c>
      <c r="Q8" s="284">
        <v>0</v>
      </c>
      <c r="R8" s="257">
        <v>58596</v>
      </c>
    </row>
    <row r="9" spans="1:24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 t="s">
        <v>176</v>
      </c>
      <c r="Q9" s="281">
        <v>50312</v>
      </c>
      <c r="R9" s="258">
        <v>66469</v>
      </c>
    </row>
    <row r="10" spans="1:24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 t="s">
        <v>176</v>
      </c>
      <c r="Q10" s="264">
        <v>57094</v>
      </c>
      <c r="R10" s="259">
        <v>72190</v>
      </c>
    </row>
    <row r="11" spans="1:24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 t="s">
        <v>176</v>
      </c>
      <c r="Q11" s="84">
        <v>64706</v>
      </c>
      <c r="R11" s="252" t="s">
        <v>176</v>
      </c>
    </row>
    <row r="12" spans="1:24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 t="s">
        <v>176</v>
      </c>
      <c r="Q12" s="84">
        <v>69557</v>
      </c>
      <c r="R12" s="253" t="s">
        <v>176</v>
      </c>
    </row>
    <row r="13" spans="1:24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 t="s">
        <v>176</v>
      </c>
      <c r="Q13" s="84">
        <v>64782</v>
      </c>
      <c r="R13" s="253" t="s">
        <v>176</v>
      </c>
    </row>
    <row r="14" spans="1:24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 t="s">
        <v>176</v>
      </c>
      <c r="Q14" s="84">
        <v>70996</v>
      </c>
      <c r="R14" s="253" t="s">
        <v>176</v>
      </c>
    </row>
    <row r="15" spans="1:24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 t="s">
        <v>176</v>
      </c>
      <c r="Q15" s="84">
        <v>61079</v>
      </c>
      <c r="R15" s="253" t="s">
        <v>176</v>
      </c>
    </row>
    <row r="16" spans="1:24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5" t="s">
        <v>176</v>
      </c>
      <c r="K16" s="95" t="s">
        <v>176</v>
      </c>
      <c r="L16" s="95" t="s">
        <v>176</v>
      </c>
      <c r="M16" s="95" t="s">
        <v>176</v>
      </c>
      <c r="N16" s="95" t="s">
        <v>176</v>
      </c>
      <c r="O16" s="95" t="s">
        <v>176</v>
      </c>
      <c r="P16" s="95" t="s">
        <v>176</v>
      </c>
      <c r="Q16" s="92">
        <v>66853</v>
      </c>
      <c r="R16" s="254" t="s">
        <v>176</v>
      </c>
    </row>
    <row r="17" spans="1:19" ht="17" thickTop="1">
      <c r="A17" s="102" t="s">
        <v>14</v>
      </c>
      <c r="B17" s="170" t="s">
        <v>176</v>
      </c>
      <c r="C17" s="171" t="s">
        <v>176</v>
      </c>
      <c r="D17" s="171" t="s">
        <v>176</v>
      </c>
      <c r="E17" s="171" t="s">
        <v>176</v>
      </c>
      <c r="F17" s="171" t="s">
        <v>176</v>
      </c>
      <c r="G17" s="171" t="s">
        <v>176</v>
      </c>
      <c r="H17" s="171" t="s">
        <v>176</v>
      </c>
      <c r="I17" s="171" t="s">
        <v>176</v>
      </c>
      <c r="J17" s="171" t="s">
        <v>176</v>
      </c>
      <c r="K17" s="171" t="s">
        <v>176</v>
      </c>
      <c r="L17" s="171" t="s">
        <v>176</v>
      </c>
      <c r="M17" s="171" t="s">
        <v>176</v>
      </c>
      <c r="N17" s="171" t="s">
        <v>176</v>
      </c>
      <c r="O17" s="171" t="s">
        <v>176</v>
      </c>
      <c r="P17" s="171" t="s">
        <v>176</v>
      </c>
      <c r="Q17" s="171">
        <f>SUM(Q5:Q16)</f>
        <v>505379</v>
      </c>
      <c r="R17" s="172">
        <f t="shared" ref="R17" si="0">SUM(R5:R16)</f>
        <v>380852</v>
      </c>
    </row>
    <row r="18" spans="1:19" s="196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9" ht="19">
      <c r="A19" s="339" t="s">
        <v>281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ht="16">
      <c r="A21" s="105" t="s">
        <v>1</v>
      </c>
      <c r="B21" s="195" t="s">
        <v>176</v>
      </c>
      <c r="C21" s="84" t="s">
        <v>176</v>
      </c>
      <c r="D21" s="84" t="s">
        <v>176</v>
      </c>
      <c r="E21" s="84" t="s">
        <v>176</v>
      </c>
      <c r="F21" s="84" t="s">
        <v>176</v>
      </c>
      <c r="G21" s="84" t="s">
        <v>176</v>
      </c>
      <c r="H21" s="84" t="s">
        <v>176</v>
      </c>
      <c r="I21" s="84" t="s">
        <v>176</v>
      </c>
      <c r="J21" s="84" t="s">
        <v>176</v>
      </c>
      <c r="K21" s="84" t="s">
        <v>176</v>
      </c>
      <c r="L21" s="84" t="s">
        <v>176</v>
      </c>
      <c r="M21" s="84" t="s">
        <v>176</v>
      </c>
      <c r="N21" s="84" t="s">
        <v>176</v>
      </c>
      <c r="O21" s="84" t="s">
        <v>176</v>
      </c>
      <c r="P21" s="84" t="s">
        <v>176</v>
      </c>
      <c r="Q21" s="84" t="s">
        <v>176</v>
      </c>
      <c r="R21" s="265">
        <v>2409</v>
      </c>
    </row>
    <row r="22" spans="1:19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3415</v>
      </c>
    </row>
    <row r="23" spans="1:19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2103</v>
      </c>
    </row>
    <row r="24" spans="1:19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 t="s">
        <v>176</v>
      </c>
      <c r="Q24" s="284">
        <v>0</v>
      </c>
      <c r="R24" s="268">
        <v>2004</v>
      </c>
    </row>
    <row r="25" spans="1:19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 t="s">
        <v>176</v>
      </c>
      <c r="Q25" s="272">
        <v>1043</v>
      </c>
      <c r="R25" s="267">
        <v>1788</v>
      </c>
    </row>
    <row r="26" spans="1:19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 t="s">
        <v>176</v>
      </c>
      <c r="Q26" s="274">
        <v>2807</v>
      </c>
      <c r="R26" s="269">
        <v>3445</v>
      </c>
    </row>
    <row r="27" spans="1:19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 t="s">
        <v>176</v>
      </c>
      <c r="Q27" s="84">
        <v>7562</v>
      </c>
      <c r="R27" s="252" t="s">
        <v>176</v>
      </c>
    </row>
    <row r="28" spans="1:19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 t="s">
        <v>176</v>
      </c>
      <c r="Q28" s="84">
        <v>1878</v>
      </c>
      <c r="R28" s="253" t="s">
        <v>176</v>
      </c>
    </row>
    <row r="29" spans="1:19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 t="s">
        <v>176</v>
      </c>
      <c r="Q29" s="84">
        <v>4460</v>
      </c>
      <c r="R29" s="253" t="s">
        <v>176</v>
      </c>
    </row>
    <row r="30" spans="1:19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 t="s">
        <v>176</v>
      </c>
      <c r="Q30" s="84">
        <v>4366</v>
      </c>
      <c r="R30" s="253" t="s">
        <v>176</v>
      </c>
    </row>
    <row r="31" spans="1:19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 t="s">
        <v>176</v>
      </c>
      <c r="Q31" s="84">
        <v>2640</v>
      </c>
      <c r="R31" s="253" t="s">
        <v>176</v>
      </c>
    </row>
    <row r="32" spans="1:19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5" t="s">
        <v>176</v>
      </c>
      <c r="K32" s="95" t="s">
        <v>176</v>
      </c>
      <c r="L32" s="95" t="s">
        <v>176</v>
      </c>
      <c r="M32" s="95" t="s">
        <v>176</v>
      </c>
      <c r="N32" s="95" t="s">
        <v>176</v>
      </c>
      <c r="O32" s="95" t="s">
        <v>176</v>
      </c>
      <c r="P32" s="95" t="s">
        <v>176</v>
      </c>
      <c r="Q32" s="285">
        <v>2256</v>
      </c>
      <c r="R32" s="254" t="s">
        <v>176</v>
      </c>
    </row>
    <row r="33" spans="1:19" ht="17" thickTop="1">
      <c r="A33" s="102" t="s">
        <v>14</v>
      </c>
      <c r="B33" s="170" t="s">
        <v>176</v>
      </c>
      <c r="C33" s="171" t="s">
        <v>176</v>
      </c>
      <c r="D33" s="171" t="s">
        <v>176</v>
      </c>
      <c r="E33" s="171" t="s">
        <v>176</v>
      </c>
      <c r="F33" s="171" t="s">
        <v>176</v>
      </c>
      <c r="G33" s="171" t="s">
        <v>176</v>
      </c>
      <c r="H33" s="171" t="s">
        <v>176</v>
      </c>
      <c r="I33" s="171" t="s">
        <v>176</v>
      </c>
      <c r="J33" s="171" t="s">
        <v>176</v>
      </c>
      <c r="K33" s="171" t="s">
        <v>176</v>
      </c>
      <c r="L33" s="171" t="s">
        <v>176</v>
      </c>
      <c r="M33" s="171" t="s">
        <v>176</v>
      </c>
      <c r="N33" s="171" t="s">
        <v>176</v>
      </c>
      <c r="O33" s="171" t="s">
        <v>176</v>
      </c>
      <c r="P33" s="171" t="s">
        <v>176</v>
      </c>
      <c r="Q33" s="286">
        <f>SUM(Q21:Q32)</f>
        <v>27012</v>
      </c>
      <c r="R33" s="172">
        <f t="shared" ref="R33" si="1">SUM(R21:R32)</f>
        <v>15164</v>
      </c>
    </row>
    <row r="34" spans="1:19" s="196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ht="19">
      <c r="A35" s="339" t="s">
        <v>269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ht="16">
      <c r="A37" s="105" t="s">
        <v>1</v>
      </c>
      <c r="B37" s="195" t="s">
        <v>176</v>
      </c>
      <c r="C37" s="84" t="s">
        <v>176</v>
      </c>
      <c r="D37" s="84" t="s">
        <v>176</v>
      </c>
      <c r="E37" s="84" t="s">
        <v>176</v>
      </c>
      <c r="F37" s="84" t="s">
        <v>176</v>
      </c>
      <c r="G37" s="84" t="s">
        <v>176</v>
      </c>
      <c r="H37" s="84" t="s">
        <v>176</v>
      </c>
      <c r="I37" s="84" t="s">
        <v>176</v>
      </c>
      <c r="J37" s="84" t="s">
        <v>176</v>
      </c>
      <c r="K37" s="84" t="s">
        <v>176</v>
      </c>
      <c r="L37" s="84" t="s">
        <v>176</v>
      </c>
      <c r="M37" s="84" t="s">
        <v>176</v>
      </c>
      <c r="N37" s="84" t="s">
        <v>176</v>
      </c>
      <c r="O37" s="84" t="s">
        <v>176</v>
      </c>
      <c r="P37" s="84" t="s">
        <v>176</v>
      </c>
      <c r="Q37" s="283" t="s">
        <v>176</v>
      </c>
      <c r="R37" s="275">
        <v>0</v>
      </c>
    </row>
    <row r="38" spans="1:19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9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6">
        <v>-72</v>
      </c>
    </row>
    <row r="40" spans="1:19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 t="s">
        <v>176</v>
      </c>
      <c r="Q40" s="284">
        <v>0</v>
      </c>
      <c r="R40" s="277">
        <v>-102</v>
      </c>
    </row>
    <row r="41" spans="1:19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 t="s">
        <v>176</v>
      </c>
      <c r="Q41" s="281">
        <v>0</v>
      </c>
      <c r="R41" s="277">
        <v>0</v>
      </c>
    </row>
    <row r="42" spans="1:19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 t="s">
        <v>176</v>
      </c>
      <c r="Q42" s="281">
        <v>0</v>
      </c>
      <c r="R42" s="277">
        <v>-7</v>
      </c>
    </row>
    <row r="43" spans="1:19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 t="s">
        <v>176</v>
      </c>
      <c r="Q43" s="84">
        <v>0</v>
      </c>
      <c r="R43" s="252" t="s">
        <v>176</v>
      </c>
    </row>
    <row r="44" spans="1:19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 t="s">
        <v>176</v>
      </c>
      <c r="Q44" s="84">
        <v>-20</v>
      </c>
      <c r="R44" s="253" t="s">
        <v>176</v>
      </c>
    </row>
    <row r="45" spans="1:19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 t="s">
        <v>176</v>
      </c>
      <c r="Q45" s="84">
        <v>0</v>
      </c>
      <c r="R45" s="253" t="s">
        <v>176</v>
      </c>
    </row>
    <row r="46" spans="1:19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 t="s">
        <v>176</v>
      </c>
      <c r="Q46" s="84">
        <v>0</v>
      </c>
      <c r="R46" s="253" t="s">
        <v>176</v>
      </c>
    </row>
    <row r="47" spans="1:19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 t="s">
        <v>176</v>
      </c>
      <c r="Q47" s="84">
        <v>0</v>
      </c>
      <c r="R47" s="253" t="s">
        <v>176</v>
      </c>
    </row>
    <row r="48" spans="1:19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5" t="s">
        <v>176</v>
      </c>
      <c r="K48" s="95" t="s">
        <v>176</v>
      </c>
      <c r="L48" s="95" t="s">
        <v>176</v>
      </c>
      <c r="M48" s="95" t="s">
        <v>176</v>
      </c>
      <c r="N48" s="95" t="s">
        <v>176</v>
      </c>
      <c r="O48" s="95" t="s">
        <v>176</v>
      </c>
      <c r="P48" s="95" t="s">
        <v>176</v>
      </c>
      <c r="Q48" s="92">
        <v>-102</v>
      </c>
      <c r="R48" s="254" t="s">
        <v>176</v>
      </c>
    </row>
    <row r="49" spans="1:22" ht="17" thickTop="1">
      <c r="A49" s="102" t="s">
        <v>14</v>
      </c>
      <c r="B49" s="170" t="s">
        <v>176</v>
      </c>
      <c r="C49" s="171" t="s">
        <v>176</v>
      </c>
      <c r="D49" s="171" t="s">
        <v>176</v>
      </c>
      <c r="E49" s="171" t="s">
        <v>176</v>
      </c>
      <c r="F49" s="171" t="s">
        <v>176</v>
      </c>
      <c r="G49" s="171" t="s">
        <v>176</v>
      </c>
      <c r="H49" s="171" t="s">
        <v>176</v>
      </c>
      <c r="I49" s="171" t="s">
        <v>176</v>
      </c>
      <c r="J49" s="171" t="s">
        <v>176</v>
      </c>
      <c r="K49" s="171" t="s">
        <v>176</v>
      </c>
      <c r="L49" s="171" t="s">
        <v>176</v>
      </c>
      <c r="M49" s="171" t="s">
        <v>176</v>
      </c>
      <c r="N49" s="171" t="s">
        <v>176</v>
      </c>
      <c r="O49" s="171" t="s">
        <v>176</v>
      </c>
      <c r="P49" s="171" t="s">
        <v>176</v>
      </c>
      <c r="Q49" s="282">
        <f>SUM(Q37:Q48)</f>
        <v>-122</v>
      </c>
      <c r="R49" s="278">
        <f t="shared" ref="R49" si="2">SUM(R37:R48)</f>
        <v>-181</v>
      </c>
    </row>
    <row r="50" spans="1:22" s="196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2" s="206" customFormat="1" ht="14">
      <c r="A51" s="337" t="s">
        <v>288</v>
      </c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337"/>
      <c r="T51" s="307"/>
    </row>
    <row r="52" spans="1:22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80"/>
    </row>
    <row r="53" spans="1:22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2">
      <c r="R54" s="48"/>
    </row>
  </sheetData>
  <mergeCells count="11">
    <mergeCell ref="A50:R50"/>
    <mergeCell ref="A51:S51"/>
    <mergeCell ref="A52:U52"/>
    <mergeCell ref="A53:R53"/>
    <mergeCell ref="A1:X1"/>
    <mergeCell ref="A3:S3"/>
    <mergeCell ref="A19:S19"/>
    <mergeCell ref="A35:S35"/>
    <mergeCell ref="A2:R2"/>
    <mergeCell ref="A18:R18"/>
    <mergeCell ref="A34:R3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1"/>
  <dimension ref="A1:X54"/>
  <sheetViews>
    <sheetView showGridLines="0" workbookViewId="0">
      <pane ySplit="1" topLeftCell="A2" activePane="bottomLeft" state="frozen"/>
      <selection pane="bottomLeft" sqref="A1:X1"/>
    </sheetView>
  </sheetViews>
  <sheetFormatPr baseColWidth="10" defaultColWidth="8.83203125" defaultRowHeight="15"/>
  <cols>
    <col min="1" max="1" width="13.5" customWidth="1"/>
    <col min="2" max="16" width="12.5" hidden="1" customWidth="1"/>
    <col min="17" max="17" width="12.5" customWidth="1"/>
    <col min="18" max="18" width="13.6640625" style="81" bestFit="1" customWidth="1"/>
  </cols>
  <sheetData>
    <row r="1" spans="1:24" ht="21">
      <c r="A1" s="338" t="s">
        <v>263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4" ht="19">
      <c r="A3" s="339" t="s">
        <v>272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4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4" ht="16">
      <c r="A5" s="105" t="s">
        <v>1</v>
      </c>
      <c r="B5" s="195" t="s">
        <v>176</v>
      </c>
      <c r="C5" s="84" t="s">
        <v>176</v>
      </c>
      <c r="D5" s="84" t="s">
        <v>176</v>
      </c>
      <c r="E5" s="84" t="s">
        <v>176</v>
      </c>
      <c r="F5" s="84" t="s">
        <v>176</v>
      </c>
      <c r="G5" s="84" t="s">
        <v>176</v>
      </c>
      <c r="H5" s="84" t="s">
        <v>176</v>
      </c>
      <c r="I5" s="84" t="s">
        <v>176</v>
      </c>
      <c r="J5" s="84" t="s">
        <v>176</v>
      </c>
      <c r="K5" s="84" t="s">
        <v>176</v>
      </c>
      <c r="L5" s="84" t="s">
        <v>176</v>
      </c>
      <c r="M5" s="84" t="s">
        <v>176</v>
      </c>
      <c r="N5" s="84" t="s">
        <v>176</v>
      </c>
      <c r="O5" s="84" t="s">
        <v>176</v>
      </c>
      <c r="P5" s="84" t="s">
        <v>176</v>
      </c>
      <c r="Q5" s="283" t="s">
        <v>176</v>
      </c>
      <c r="R5" s="255">
        <v>82612</v>
      </c>
    </row>
    <row r="6" spans="1:24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60741</v>
      </c>
    </row>
    <row r="7" spans="1:24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57072</v>
      </c>
    </row>
    <row r="8" spans="1:24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 t="s">
        <v>176</v>
      </c>
      <c r="Q8" s="284">
        <v>35</v>
      </c>
      <c r="R8" s="257">
        <v>65693</v>
      </c>
    </row>
    <row r="9" spans="1:24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 t="s">
        <v>176</v>
      </c>
      <c r="Q9" s="281">
        <v>55805</v>
      </c>
      <c r="R9" s="258">
        <v>65897</v>
      </c>
    </row>
    <row r="10" spans="1:24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 t="s">
        <v>176</v>
      </c>
      <c r="Q10" s="281">
        <v>65799</v>
      </c>
      <c r="R10" s="259">
        <v>81855</v>
      </c>
    </row>
    <row r="11" spans="1:24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 t="s">
        <v>176</v>
      </c>
      <c r="Q11" s="84">
        <v>70527</v>
      </c>
      <c r="R11" s="252" t="s">
        <v>176</v>
      </c>
    </row>
    <row r="12" spans="1:24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 t="s">
        <v>176</v>
      </c>
      <c r="Q12" s="84">
        <v>78095</v>
      </c>
      <c r="R12" s="253" t="s">
        <v>176</v>
      </c>
    </row>
    <row r="13" spans="1:24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 t="s">
        <v>176</v>
      </c>
      <c r="Q13" s="84">
        <v>82309</v>
      </c>
      <c r="R13" s="253" t="s">
        <v>176</v>
      </c>
    </row>
    <row r="14" spans="1:24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 t="s">
        <v>176</v>
      </c>
      <c r="Q14" s="84">
        <v>75070</v>
      </c>
      <c r="R14" s="253" t="s">
        <v>176</v>
      </c>
    </row>
    <row r="15" spans="1:24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 t="s">
        <v>176</v>
      </c>
      <c r="Q15" s="84">
        <v>78692</v>
      </c>
      <c r="R15" s="253" t="s">
        <v>176</v>
      </c>
    </row>
    <row r="16" spans="1:24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5" t="s">
        <v>176</v>
      </c>
      <c r="K16" s="95" t="s">
        <v>176</v>
      </c>
      <c r="L16" s="95" t="s">
        <v>176</v>
      </c>
      <c r="M16" s="95" t="s">
        <v>176</v>
      </c>
      <c r="N16" s="95" t="s">
        <v>176</v>
      </c>
      <c r="O16" s="95" t="s">
        <v>176</v>
      </c>
      <c r="P16" s="95" t="s">
        <v>176</v>
      </c>
      <c r="Q16" s="92">
        <v>70836</v>
      </c>
      <c r="R16" s="254" t="s">
        <v>176</v>
      </c>
    </row>
    <row r="17" spans="1:19" ht="17" thickTop="1">
      <c r="A17" s="102" t="s">
        <v>14</v>
      </c>
      <c r="B17" s="170" t="s">
        <v>176</v>
      </c>
      <c r="C17" s="171" t="s">
        <v>176</v>
      </c>
      <c r="D17" s="171" t="s">
        <v>176</v>
      </c>
      <c r="E17" s="171" t="s">
        <v>176</v>
      </c>
      <c r="F17" s="171" t="s">
        <v>176</v>
      </c>
      <c r="G17" s="171" t="s">
        <v>176</v>
      </c>
      <c r="H17" s="171" t="s">
        <v>176</v>
      </c>
      <c r="I17" s="171" t="s">
        <v>176</v>
      </c>
      <c r="J17" s="171" t="s">
        <v>176</v>
      </c>
      <c r="K17" s="171" t="s">
        <v>176</v>
      </c>
      <c r="L17" s="171" t="s">
        <v>176</v>
      </c>
      <c r="M17" s="171" t="s">
        <v>176</v>
      </c>
      <c r="N17" s="171" t="s">
        <v>176</v>
      </c>
      <c r="O17" s="171" t="s">
        <v>176</v>
      </c>
      <c r="P17" s="171" t="s">
        <v>176</v>
      </c>
      <c r="Q17" s="171">
        <f>SUM(Q5:Q16)</f>
        <v>577168</v>
      </c>
      <c r="R17" s="172">
        <f t="shared" ref="R17" si="0">SUM(R5:R16)</f>
        <v>413870</v>
      </c>
    </row>
    <row r="18" spans="1:19" s="196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9" ht="19">
      <c r="A19" s="339" t="s">
        <v>273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ht="16">
      <c r="A21" s="105" t="s">
        <v>1</v>
      </c>
      <c r="B21" s="195" t="s">
        <v>176</v>
      </c>
      <c r="C21" s="84" t="s">
        <v>176</v>
      </c>
      <c r="D21" s="84" t="s">
        <v>176</v>
      </c>
      <c r="E21" s="84" t="s">
        <v>176</v>
      </c>
      <c r="F21" s="84" t="s">
        <v>176</v>
      </c>
      <c r="G21" s="84" t="s">
        <v>176</v>
      </c>
      <c r="H21" s="84" t="s">
        <v>176</v>
      </c>
      <c r="I21" s="84" t="s">
        <v>176</v>
      </c>
      <c r="J21" s="84" t="s">
        <v>176</v>
      </c>
      <c r="K21" s="84" t="s">
        <v>176</v>
      </c>
      <c r="L21" s="84" t="s">
        <v>176</v>
      </c>
      <c r="M21" s="84" t="s">
        <v>176</v>
      </c>
      <c r="N21" s="84" t="s">
        <v>176</v>
      </c>
      <c r="O21" s="84" t="s">
        <v>176</v>
      </c>
      <c r="P21" s="84" t="s">
        <v>176</v>
      </c>
      <c r="Q21" s="283" t="s">
        <v>176</v>
      </c>
      <c r="R21" s="265">
        <v>2262</v>
      </c>
    </row>
    <row r="22" spans="1:19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1826</v>
      </c>
    </row>
    <row r="23" spans="1:19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1335</v>
      </c>
    </row>
    <row r="24" spans="1:19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 t="s">
        <v>176</v>
      </c>
      <c r="Q24" s="284">
        <v>0</v>
      </c>
      <c r="R24" s="268">
        <v>2005</v>
      </c>
    </row>
    <row r="25" spans="1:19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 t="s">
        <v>176</v>
      </c>
      <c r="Q25" s="281">
        <v>1224</v>
      </c>
      <c r="R25" s="267">
        <v>1294</v>
      </c>
    </row>
    <row r="26" spans="1:19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 t="s">
        <v>176</v>
      </c>
      <c r="Q26" s="281">
        <v>1274</v>
      </c>
      <c r="R26" s="269">
        <v>1293</v>
      </c>
    </row>
    <row r="27" spans="1:19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 t="s">
        <v>176</v>
      </c>
      <c r="Q27" s="84">
        <v>2371</v>
      </c>
      <c r="R27" s="252" t="s">
        <v>176</v>
      </c>
    </row>
    <row r="28" spans="1:19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 t="s">
        <v>176</v>
      </c>
      <c r="Q28" s="84">
        <v>2665</v>
      </c>
      <c r="R28" s="253" t="s">
        <v>176</v>
      </c>
    </row>
    <row r="29" spans="1:19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 t="s">
        <v>176</v>
      </c>
      <c r="Q29" s="84">
        <v>3475</v>
      </c>
      <c r="R29" s="253" t="s">
        <v>176</v>
      </c>
    </row>
    <row r="30" spans="1:19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 t="s">
        <v>176</v>
      </c>
      <c r="Q30" s="84">
        <v>4544</v>
      </c>
      <c r="R30" s="253" t="s">
        <v>176</v>
      </c>
    </row>
    <row r="31" spans="1:19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 t="s">
        <v>176</v>
      </c>
      <c r="Q31" s="84">
        <v>1207</v>
      </c>
      <c r="R31" s="253" t="s">
        <v>176</v>
      </c>
    </row>
    <row r="32" spans="1:19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5" t="s">
        <v>176</v>
      </c>
      <c r="K32" s="95" t="s">
        <v>176</v>
      </c>
      <c r="L32" s="95" t="s">
        <v>176</v>
      </c>
      <c r="M32" s="95" t="s">
        <v>176</v>
      </c>
      <c r="N32" s="95" t="s">
        <v>176</v>
      </c>
      <c r="O32" s="95" t="s">
        <v>176</v>
      </c>
      <c r="P32" s="95" t="s">
        <v>176</v>
      </c>
      <c r="Q32" s="285">
        <v>1124</v>
      </c>
      <c r="R32" s="254" t="s">
        <v>176</v>
      </c>
    </row>
    <row r="33" spans="1:19" ht="17" thickTop="1">
      <c r="A33" s="102" t="s">
        <v>14</v>
      </c>
      <c r="B33" s="170" t="s">
        <v>176</v>
      </c>
      <c r="C33" s="171" t="s">
        <v>176</v>
      </c>
      <c r="D33" s="171" t="s">
        <v>176</v>
      </c>
      <c r="E33" s="171" t="s">
        <v>176</v>
      </c>
      <c r="F33" s="171" t="s">
        <v>176</v>
      </c>
      <c r="G33" s="171" t="s">
        <v>176</v>
      </c>
      <c r="H33" s="171" t="s">
        <v>176</v>
      </c>
      <c r="I33" s="171" t="s">
        <v>176</v>
      </c>
      <c r="J33" s="171" t="s">
        <v>176</v>
      </c>
      <c r="K33" s="171" t="s">
        <v>176</v>
      </c>
      <c r="L33" s="171" t="s">
        <v>176</v>
      </c>
      <c r="M33" s="171" t="s">
        <v>176</v>
      </c>
      <c r="N33" s="171" t="s">
        <v>176</v>
      </c>
      <c r="O33" s="171" t="s">
        <v>176</v>
      </c>
      <c r="P33" s="171" t="s">
        <v>176</v>
      </c>
      <c r="Q33" s="286">
        <f>SUM(Q21:Q32)</f>
        <v>17884</v>
      </c>
      <c r="R33" s="172">
        <f t="shared" ref="R33" si="1">SUM(R21:R32)</f>
        <v>10015</v>
      </c>
    </row>
    <row r="34" spans="1:19" s="196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ht="19">
      <c r="A35" s="339" t="s">
        <v>268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ht="16">
      <c r="A37" s="105" t="s">
        <v>1</v>
      </c>
      <c r="B37" s="195" t="s">
        <v>176</v>
      </c>
      <c r="C37" s="84" t="s">
        <v>176</v>
      </c>
      <c r="D37" s="84" t="s">
        <v>176</v>
      </c>
      <c r="E37" s="84" t="s">
        <v>176</v>
      </c>
      <c r="F37" s="84" t="s">
        <v>176</v>
      </c>
      <c r="G37" s="84" t="s">
        <v>176</v>
      </c>
      <c r="H37" s="84" t="s">
        <v>176</v>
      </c>
      <c r="I37" s="84" t="s">
        <v>176</v>
      </c>
      <c r="J37" s="84" t="s">
        <v>176</v>
      </c>
      <c r="K37" s="84" t="s">
        <v>176</v>
      </c>
      <c r="L37" s="84" t="s">
        <v>176</v>
      </c>
      <c r="M37" s="84" t="s">
        <v>176</v>
      </c>
      <c r="N37" s="84" t="s">
        <v>176</v>
      </c>
      <c r="O37" s="84" t="s">
        <v>176</v>
      </c>
      <c r="P37" s="84" t="s">
        <v>176</v>
      </c>
      <c r="Q37" s="283" t="s">
        <v>176</v>
      </c>
      <c r="R37" s="275">
        <v>0</v>
      </c>
    </row>
    <row r="38" spans="1:19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9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6">
        <v>-2</v>
      </c>
    </row>
    <row r="40" spans="1:19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 t="s">
        <v>176</v>
      </c>
      <c r="Q40" s="284">
        <v>0</v>
      </c>
      <c r="R40" s="277">
        <v>0</v>
      </c>
    </row>
    <row r="41" spans="1:19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 t="s">
        <v>176</v>
      </c>
      <c r="Q41" s="281">
        <v>0</v>
      </c>
      <c r="R41" s="277">
        <v>0</v>
      </c>
    </row>
    <row r="42" spans="1:19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 t="s">
        <v>176</v>
      </c>
      <c r="Q42" s="281">
        <v>0</v>
      </c>
      <c r="R42" s="277">
        <v>-2</v>
      </c>
    </row>
    <row r="43" spans="1:19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 t="s">
        <v>176</v>
      </c>
      <c r="Q43" s="84">
        <v>0</v>
      </c>
      <c r="R43" s="252" t="s">
        <v>176</v>
      </c>
    </row>
    <row r="44" spans="1:19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 t="s">
        <v>176</v>
      </c>
      <c r="Q44" s="84">
        <v>0</v>
      </c>
      <c r="R44" s="253" t="s">
        <v>176</v>
      </c>
    </row>
    <row r="45" spans="1:19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 t="s">
        <v>176</v>
      </c>
      <c r="Q45" s="84">
        <v>0</v>
      </c>
      <c r="R45" s="253" t="s">
        <v>176</v>
      </c>
    </row>
    <row r="46" spans="1:19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 t="s">
        <v>176</v>
      </c>
      <c r="Q46" s="84">
        <v>0</v>
      </c>
      <c r="R46" s="253" t="s">
        <v>176</v>
      </c>
    </row>
    <row r="47" spans="1:19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 t="s">
        <v>176</v>
      </c>
      <c r="Q47" s="84">
        <v>0</v>
      </c>
      <c r="R47" s="253" t="s">
        <v>176</v>
      </c>
    </row>
    <row r="48" spans="1:19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5" t="s">
        <v>176</v>
      </c>
      <c r="K48" s="95" t="s">
        <v>176</v>
      </c>
      <c r="L48" s="95" t="s">
        <v>176</v>
      </c>
      <c r="M48" s="95" t="s">
        <v>176</v>
      </c>
      <c r="N48" s="95" t="s">
        <v>176</v>
      </c>
      <c r="O48" s="95" t="s">
        <v>176</v>
      </c>
      <c r="P48" s="95" t="s">
        <v>176</v>
      </c>
      <c r="Q48" s="92">
        <v>0</v>
      </c>
      <c r="R48" s="254" t="s">
        <v>176</v>
      </c>
    </row>
    <row r="49" spans="1:22" ht="17" thickTop="1">
      <c r="A49" s="102" t="s">
        <v>14</v>
      </c>
      <c r="B49" s="170" t="s">
        <v>176</v>
      </c>
      <c r="C49" s="171" t="s">
        <v>176</v>
      </c>
      <c r="D49" s="171" t="s">
        <v>176</v>
      </c>
      <c r="E49" s="171" t="s">
        <v>176</v>
      </c>
      <c r="F49" s="171" t="s">
        <v>176</v>
      </c>
      <c r="G49" s="171" t="s">
        <v>176</v>
      </c>
      <c r="H49" s="171" t="s">
        <v>176</v>
      </c>
      <c r="I49" s="171" t="s">
        <v>176</v>
      </c>
      <c r="J49" s="171" t="s">
        <v>176</v>
      </c>
      <c r="K49" s="171" t="s">
        <v>176</v>
      </c>
      <c r="L49" s="171" t="s">
        <v>176</v>
      </c>
      <c r="M49" s="171" t="s">
        <v>176</v>
      </c>
      <c r="N49" s="171" t="s">
        <v>176</v>
      </c>
      <c r="O49" s="171" t="s">
        <v>176</v>
      </c>
      <c r="P49" s="171" t="s">
        <v>176</v>
      </c>
      <c r="Q49" s="282">
        <f>SUM(Q37:Q48)</f>
        <v>0</v>
      </c>
      <c r="R49" s="278">
        <f t="shared" ref="R49" si="2">SUM(R37:R48)</f>
        <v>-4</v>
      </c>
    </row>
    <row r="50" spans="1:22" s="196" customFormat="1" ht="8">
      <c r="A50" s="341" t="s">
        <v>212</v>
      </c>
      <c r="B50" s="341"/>
      <c r="C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  <c r="P50" s="341"/>
      <c r="Q50" s="341"/>
      <c r="R50" s="341"/>
    </row>
    <row r="51" spans="1:22" s="205" customFormat="1" ht="14">
      <c r="A51" s="337" t="s">
        <v>288</v>
      </c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337"/>
      <c r="T51" s="307"/>
    </row>
    <row r="52" spans="1:22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80"/>
    </row>
    <row r="53" spans="1:22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2">
      <c r="R54" s="48"/>
    </row>
  </sheetData>
  <mergeCells count="11">
    <mergeCell ref="A50:R50"/>
    <mergeCell ref="A51:S51"/>
    <mergeCell ref="A52:U52"/>
    <mergeCell ref="A53:R53"/>
    <mergeCell ref="A1:X1"/>
    <mergeCell ref="A3:S3"/>
    <mergeCell ref="A19:S19"/>
    <mergeCell ref="A35:S35"/>
    <mergeCell ref="A2:R2"/>
    <mergeCell ref="A18:R18"/>
    <mergeCell ref="A34:R3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0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226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125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0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0</v>
      </c>
      <c r="P5" s="174">
        <v>236044</v>
      </c>
      <c r="Q5" s="174">
        <v>270705</v>
      </c>
      <c r="R5" s="255">
        <v>294485</v>
      </c>
    </row>
    <row r="6" spans="1:20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146065</v>
      </c>
      <c r="P6" s="84">
        <v>200393</v>
      </c>
      <c r="Q6" s="84">
        <v>207447</v>
      </c>
      <c r="R6" s="256">
        <v>230662</v>
      </c>
    </row>
    <row r="7" spans="1:20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166411</v>
      </c>
      <c r="P7" s="84">
        <v>172740</v>
      </c>
      <c r="Q7" s="84">
        <v>207493</v>
      </c>
      <c r="R7" s="257">
        <v>202626</v>
      </c>
    </row>
    <row r="8" spans="1:20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>
        <v>196559</v>
      </c>
      <c r="P8" s="84">
        <v>209371</v>
      </c>
      <c r="Q8" s="84">
        <v>223053</v>
      </c>
      <c r="R8" s="257">
        <v>217017</v>
      </c>
    </row>
    <row r="9" spans="1:20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>
        <v>199685</v>
      </c>
      <c r="P9" s="84">
        <v>197653</v>
      </c>
      <c r="Q9" s="84">
        <v>227737</v>
      </c>
      <c r="R9" s="258">
        <v>209631</v>
      </c>
    </row>
    <row r="10" spans="1:20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>
        <v>238977</v>
      </c>
      <c r="P10" s="84">
        <v>236427</v>
      </c>
      <c r="Q10" s="84">
        <v>255436</v>
      </c>
      <c r="R10" s="259">
        <v>252046</v>
      </c>
    </row>
    <row r="11" spans="1:20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>
        <v>191635</v>
      </c>
      <c r="P11" s="84">
        <v>205593</v>
      </c>
      <c r="Q11" s="84">
        <v>242974</v>
      </c>
      <c r="R11" s="252" t="s">
        <v>176</v>
      </c>
    </row>
    <row r="12" spans="1:20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254950</v>
      </c>
      <c r="P12" s="84">
        <v>273910</v>
      </c>
      <c r="Q12" s="84">
        <v>282716</v>
      </c>
      <c r="R12" s="253" t="s">
        <v>176</v>
      </c>
    </row>
    <row r="13" spans="1:20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241983</v>
      </c>
      <c r="P13" s="84">
        <v>269109</v>
      </c>
      <c r="Q13" s="84">
        <v>289486</v>
      </c>
      <c r="R13" s="253" t="s">
        <v>176</v>
      </c>
    </row>
    <row r="14" spans="1:20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225865</v>
      </c>
      <c r="P14" s="84">
        <v>233619</v>
      </c>
      <c r="Q14" s="84">
        <v>253936</v>
      </c>
      <c r="R14" s="253" t="s">
        <v>176</v>
      </c>
    </row>
    <row r="15" spans="1:20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218681</v>
      </c>
      <c r="P15" s="84">
        <v>246276</v>
      </c>
      <c r="Q15" s="84">
        <v>260037</v>
      </c>
      <c r="R15" s="253" t="s">
        <v>176</v>
      </c>
    </row>
    <row r="16" spans="1:20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208793</v>
      </c>
      <c r="P16" s="92">
        <v>248267</v>
      </c>
      <c r="Q16" s="92">
        <v>240340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2289604</v>
      </c>
      <c r="P17" s="168">
        <f>SUM(P5:P16)</f>
        <v>2729402</v>
      </c>
      <c r="Q17" s="168">
        <f>SUM(Q5:Q16)</f>
        <v>2961360</v>
      </c>
      <c r="R17" s="172">
        <f t="shared" ref="R17" si="0">SUM(R5:R16)</f>
        <v>1406467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126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0</v>
      </c>
      <c r="P21" s="174">
        <v>10204</v>
      </c>
      <c r="Q21" s="174">
        <v>26040</v>
      </c>
      <c r="R21" s="265">
        <v>32225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10856</v>
      </c>
      <c r="P22" s="84">
        <v>14880</v>
      </c>
      <c r="Q22" s="84">
        <v>19685</v>
      </c>
      <c r="R22" s="266">
        <v>22626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7948</v>
      </c>
      <c r="P23" s="84">
        <v>16345</v>
      </c>
      <c r="Q23" s="84">
        <v>20292</v>
      </c>
      <c r="R23" s="267">
        <v>9161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>
        <v>37638</v>
      </c>
      <c r="P24" s="84">
        <v>31580</v>
      </c>
      <c r="Q24" s="84">
        <v>14584</v>
      </c>
      <c r="R24" s="268">
        <v>19783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>
        <v>12575</v>
      </c>
      <c r="P25" s="84">
        <v>13836</v>
      </c>
      <c r="Q25" s="84">
        <v>13615</v>
      </c>
      <c r="R25" s="267">
        <v>10077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>
        <v>17980</v>
      </c>
      <c r="P26" s="84">
        <v>35306</v>
      </c>
      <c r="Q26" s="84">
        <v>35710</v>
      </c>
      <c r="R26" s="269">
        <v>12532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>
        <v>40248</v>
      </c>
      <c r="P27" s="84">
        <v>17978</v>
      </c>
      <c r="Q27" s="84">
        <v>18840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13308</v>
      </c>
      <c r="P28" s="84">
        <v>15487</v>
      </c>
      <c r="Q28" s="84">
        <v>19353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28283</v>
      </c>
      <c r="P29" s="84">
        <v>17140</v>
      </c>
      <c r="Q29" s="84">
        <v>34911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33276</v>
      </c>
      <c r="P30" s="84">
        <v>13760</v>
      </c>
      <c r="Q30" s="84">
        <v>31878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18466</v>
      </c>
      <c r="P31" s="84">
        <v>14261</v>
      </c>
      <c r="Q31" s="84">
        <v>2350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17163</v>
      </c>
      <c r="P32" s="92">
        <v>18859</v>
      </c>
      <c r="Q32" s="92">
        <v>18547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237741</v>
      </c>
      <c r="P33" s="168">
        <f>SUM(P21:P32)</f>
        <v>219636</v>
      </c>
      <c r="Q33" s="168">
        <f>SUM(Q21:Q32)</f>
        <v>255805</v>
      </c>
      <c r="R33" s="172">
        <f t="shared" ref="R33" si="1">SUM(R21:R32)</f>
        <v>106404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127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-4</v>
      </c>
      <c r="Q37" s="174">
        <v>-412</v>
      </c>
      <c r="R37" s="275">
        <v>-587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0</v>
      </c>
      <c r="Q38" s="84">
        <v>0</v>
      </c>
      <c r="R38" s="266">
        <v>-4726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-573</v>
      </c>
      <c r="Q39" s="84">
        <v>0</v>
      </c>
      <c r="R39" s="276">
        <v>-6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>
        <v>0</v>
      </c>
      <c r="P40" s="84">
        <v>-4</v>
      </c>
      <c r="Q40" s="84">
        <v>-1046</v>
      </c>
      <c r="R40" s="266">
        <v>-527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>
        <v>0</v>
      </c>
      <c r="P41" s="84">
        <v>0</v>
      </c>
      <c r="Q41" s="84">
        <v>0</v>
      </c>
      <c r="R41" s="277">
        <v>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>
        <v>0</v>
      </c>
      <c r="P42" s="84">
        <v>-1</v>
      </c>
      <c r="Q42" s="84">
        <v>0</v>
      </c>
      <c r="R42" s="277">
        <v>-905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>
        <v>0</v>
      </c>
      <c r="P43" s="84">
        <v>-3</v>
      </c>
      <c r="Q43" s="84">
        <v>-3135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0</v>
      </c>
      <c r="Q44" s="84">
        <v>-250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0</v>
      </c>
      <c r="Q46" s="84">
        <v>-3174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-707</v>
      </c>
      <c r="Q47" s="84">
        <v>-5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-82</v>
      </c>
      <c r="P48" s="92">
        <v>-39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-82</v>
      </c>
      <c r="P49" s="168">
        <f>SUM(P37:P48)</f>
        <v>-1331</v>
      </c>
      <c r="Q49" s="168">
        <f>SUM(Q37:Q48)</f>
        <v>-8022</v>
      </c>
      <c r="R49" s="278">
        <f t="shared" ref="R49" si="2">SUM(R37:R48)</f>
        <v>-6751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T1"/>
    <mergeCell ref="A2:R2"/>
    <mergeCell ref="A3:R3"/>
    <mergeCell ref="A18:R18"/>
    <mergeCell ref="A19:R19"/>
  </mergeCells>
  <pageMargins left="0.7" right="0.7" top="0.75" bottom="0.75" header="0.3" footer="0.3"/>
  <pageSetup scale="8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5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227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122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0</v>
      </c>
      <c r="P5" s="174">
        <v>79047</v>
      </c>
      <c r="Q5" s="174">
        <v>90202</v>
      </c>
      <c r="R5" s="255">
        <v>114367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64002</v>
      </c>
      <c r="P6" s="84">
        <v>65723</v>
      </c>
      <c r="Q6" s="84">
        <v>85141</v>
      </c>
      <c r="R6" s="256">
        <v>93256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60096</v>
      </c>
      <c r="P7" s="84">
        <v>59685</v>
      </c>
      <c r="Q7" s="84">
        <v>79835</v>
      </c>
      <c r="R7" s="257">
        <v>86945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>
        <v>68767</v>
      </c>
      <c r="P8" s="84">
        <v>69045</v>
      </c>
      <c r="Q8" s="84">
        <v>91934</v>
      </c>
      <c r="R8" s="257">
        <v>93291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>
        <v>68484</v>
      </c>
      <c r="P9" s="84">
        <v>67000</v>
      </c>
      <c r="Q9" s="84">
        <v>92549</v>
      </c>
      <c r="R9" s="258">
        <v>102633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>
        <v>83093</v>
      </c>
      <c r="P10" s="84">
        <v>88500</v>
      </c>
      <c r="Q10" s="84">
        <v>111043</v>
      </c>
      <c r="R10" s="259">
        <v>142248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>
        <v>80871</v>
      </c>
      <c r="P11" s="84">
        <v>97936</v>
      </c>
      <c r="Q11" s="84">
        <v>116217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102927</v>
      </c>
      <c r="P12" s="84">
        <v>123273</v>
      </c>
      <c r="Q12" s="84">
        <v>130960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92968</v>
      </c>
      <c r="P13" s="84">
        <v>103520</v>
      </c>
      <c r="Q13" s="84">
        <v>126040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89860</v>
      </c>
      <c r="P14" s="84">
        <v>94951</v>
      </c>
      <c r="Q14" s="84">
        <v>123355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78129</v>
      </c>
      <c r="P15" s="84">
        <v>93644</v>
      </c>
      <c r="Q15" s="84">
        <v>108020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73600</v>
      </c>
      <c r="P16" s="92">
        <v>84061</v>
      </c>
      <c r="Q16" s="92">
        <v>104267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862797</v>
      </c>
      <c r="P17" s="168">
        <f>SUM(P5:P16)</f>
        <v>1026385</v>
      </c>
      <c r="Q17" s="168">
        <f>SUM(Q5:Q16)</f>
        <v>1259563</v>
      </c>
      <c r="R17" s="172">
        <f t="shared" ref="R17" si="0">SUM(R5:R16)</f>
        <v>632740</v>
      </c>
    </row>
    <row r="18" spans="1:18" s="47" customFormat="1" ht="8">
      <c r="A18" s="345" t="s">
        <v>212</v>
      </c>
      <c r="B18" s="345"/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</row>
    <row r="19" spans="1:18" s="45" customFormat="1" ht="19">
      <c r="A19" s="343" t="s">
        <v>123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0</v>
      </c>
      <c r="P21" s="174">
        <v>2964</v>
      </c>
      <c r="Q21" s="174">
        <v>7659</v>
      </c>
      <c r="R21" s="265">
        <v>4634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1250</v>
      </c>
      <c r="P22" s="84">
        <v>3692</v>
      </c>
      <c r="Q22" s="84">
        <v>3692</v>
      </c>
      <c r="R22" s="266">
        <v>4929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2030</v>
      </c>
      <c r="P23" s="84">
        <v>2382</v>
      </c>
      <c r="Q23" s="84">
        <v>3536</v>
      </c>
      <c r="R23" s="267">
        <v>2605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>
        <v>2104</v>
      </c>
      <c r="P24" s="84">
        <v>2841</v>
      </c>
      <c r="Q24" s="84">
        <v>2434</v>
      </c>
      <c r="R24" s="268">
        <v>3175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>
        <v>2462</v>
      </c>
      <c r="P25" s="84">
        <v>3969</v>
      </c>
      <c r="Q25" s="84">
        <v>2732</v>
      </c>
      <c r="R25" s="267">
        <v>2410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>
        <v>2444</v>
      </c>
      <c r="P26" s="84">
        <v>4705</v>
      </c>
      <c r="Q26" s="84">
        <v>2562</v>
      </c>
      <c r="R26" s="269">
        <v>5888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>
        <v>7794</v>
      </c>
      <c r="P27" s="84">
        <v>4357</v>
      </c>
      <c r="Q27" s="84">
        <v>4369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4068</v>
      </c>
      <c r="P28" s="84">
        <v>4105</v>
      </c>
      <c r="Q28" s="84">
        <v>4373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3366</v>
      </c>
      <c r="P29" s="84">
        <v>6211</v>
      </c>
      <c r="Q29" s="84">
        <v>4019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3209</v>
      </c>
      <c r="P30" s="84">
        <v>7263</v>
      </c>
      <c r="Q30" s="84">
        <v>3508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2427</v>
      </c>
      <c r="P31" s="84">
        <v>6676</v>
      </c>
      <c r="Q31" s="84">
        <v>5874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2789</v>
      </c>
      <c r="P32" s="92">
        <v>10890</v>
      </c>
      <c r="Q32" s="92">
        <v>2968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33943</v>
      </c>
      <c r="P33" s="168">
        <f>SUM(P21:P32)</f>
        <v>60055</v>
      </c>
      <c r="Q33" s="168">
        <f>SUM(Q21:Q32)</f>
        <v>47726</v>
      </c>
      <c r="R33" s="172">
        <f t="shared" ref="R33" si="1">SUM(R21:R32)</f>
        <v>23641</v>
      </c>
    </row>
    <row r="34" spans="1:18" s="47" customFormat="1" ht="8">
      <c r="A34" s="345" t="s">
        <v>212</v>
      </c>
      <c r="B34" s="345"/>
      <c r="C34" s="345"/>
      <c r="D34" s="345"/>
      <c r="E34" s="345"/>
      <c r="F34" s="345"/>
      <c r="G34" s="345"/>
      <c r="H34" s="345"/>
      <c r="I34" s="345"/>
      <c r="J34" s="345"/>
      <c r="K34" s="345"/>
      <c r="L34" s="345"/>
      <c r="M34" s="345"/>
      <c r="N34" s="345"/>
      <c r="O34" s="345"/>
      <c r="P34" s="345"/>
      <c r="Q34" s="345"/>
      <c r="R34" s="345"/>
    </row>
    <row r="35" spans="1:18" s="45" customFormat="1" ht="19">
      <c r="A35" s="343" t="s">
        <v>124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-2</v>
      </c>
      <c r="Q37" s="174">
        <v>0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0</v>
      </c>
      <c r="Q38" s="84">
        <v>0</v>
      </c>
      <c r="R38" s="266">
        <v>-503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0</v>
      </c>
      <c r="Q39" s="84">
        <v>-1</v>
      </c>
      <c r="R39" s="277">
        <v>0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>
        <v>0</v>
      </c>
      <c r="P40" s="84">
        <v>0</v>
      </c>
      <c r="Q40" s="84">
        <v>0</v>
      </c>
      <c r="R40" s="277">
        <v>0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>
        <v>0</v>
      </c>
      <c r="P41" s="84">
        <v>-1</v>
      </c>
      <c r="Q41" s="84">
        <v>0</v>
      </c>
      <c r="R41" s="277">
        <v>0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>
        <v>0</v>
      </c>
      <c r="P42" s="84">
        <v>-2</v>
      </c>
      <c r="Q42" s="84">
        <v>0</v>
      </c>
      <c r="R42" s="277">
        <v>-503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>
        <v>0</v>
      </c>
      <c r="P43" s="84">
        <v>-946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0</v>
      </c>
      <c r="P49" s="168">
        <v>0</v>
      </c>
      <c r="Q49" s="168">
        <v>0</v>
      </c>
      <c r="R49" s="278">
        <f t="shared" ref="R49" si="2">SUM(R37:R48)</f>
        <v>-1006</v>
      </c>
    </row>
    <row r="50" spans="1:18" s="47" customFormat="1" ht="8">
      <c r="A50" s="345" t="s">
        <v>212</v>
      </c>
      <c r="B50" s="345"/>
      <c r="C50" s="345"/>
      <c r="D50" s="345"/>
      <c r="E50" s="345"/>
      <c r="F50" s="345"/>
      <c r="G50" s="345"/>
      <c r="H50" s="345"/>
      <c r="I50" s="345"/>
      <c r="J50" s="345"/>
      <c r="K50" s="345"/>
      <c r="L50" s="345"/>
      <c r="M50" s="345"/>
      <c r="N50" s="345"/>
      <c r="O50" s="345"/>
      <c r="P50" s="345"/>
      <c r="Q50" s="345"/>
      <c r="R50" s="345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T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7" right="0.7" top="0.75" bottom="0.75" header="0.3" footer="0.3"/>
  <pageSetup scale="8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9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baseColWidth="10" defaultColWidth="12.5" defaultRowHeight="15"/>
  <cols>
    <col min="1" max="1" width="12.5" style="121"/>
    <col min="2" max="15" width="0" style="120" hidden="1" customWidth="1"/>
    <col min="16" max="17" width="12.5" style="120"/>
    <col min="18" max="18" width="13.6640625" style="81" bestFit="1" customWidth="1"/>
    <col min="19" max="16384" width="12.5" style="120"/>
  </cols>
  <sheetData>
    <row r="1" spans="1:21" s="44" customFormat="1" ht="21">
      <c r="A1" s="333" t="s">
        <v>228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</row>
    <row r="2" spans="1:21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1" s="45" customFormat="1" ht="19">
      <c r="A3" s="346" t="s">
        <v>201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1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1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203</v>
      </c>
      <c r="Q5" s="174">
        <v>63369</v>
      </c>
      <c r="R5" s="255">
        <v>69931</v>
      </c>
    </row>
    <row r="6" spans="1:21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36195</v>
      </c>
      <c r="Q6" s="84">
        <v>57733</v>
      </c>
      <c r="R6" s="256">
        <v>55115</v>
      </c>
    </row>
    <row r="7" spans="1:21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40009</v>
      </c>
      <c r="Q7" s="84">
        <v>49563</v>
      </c>
      <c r="R7" s="257">
        <v>51147</v>
      </c>
    </row>
    <row r="8" spans="1:21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49415</v>
      </c>
      <c r="Q8" s="84">
        <v>58022</v>
      </c>
      <c r="R8" s="257">
        <v>63541</v>
      </c>
    </row>
    <row r="9" spans="1:21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50309</v>
      </c>
      <c r="Q9" s="84">
        <v>58696</v>
      </c>
      <c r="R9" s="258">
        <v>57763</v>
      </c>
    </row>
    <row r="10" spans="1:21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56897</v>
      </c>
      <c r="Q10" s="84">
        <v>69237</v>
      </c>
      <c r="R10" s="259">
        <v>68471</v>
      </c>
    </row>
    <row r="11" spans="1:21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58595</v>
      </c>
      <c r="Q11" s="84">
        <v>69744</v>
      </c>
      <c r="R11" s="252" t="s">
        <v>176</v>
      </c>
    </row>
    <row r="12" spans="1:21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64928</v>
      </c>
      <c r="Q12" s="84">
        <v>78316</v>
      </c>
      <c r="R12" s="253" t="s">
        <v>176</v>
      </c>
    </row>
    <row r="13" spans="1:21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64758</v>
      </c>
      <c r="Q13" s="84">
        <v>68744</v>
      </c>
      <c r="R13" s="253" t="s">
        <v>176</v>
      </c>
    </row>
    <row r="14" spans="1:21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>
        <v>66052</v>
      </c>
      <c r="Q14" s="84">
        <v>66555</v>
      </c>
      <c r="R14" s="253" t="s">
        <v>176</v>
      </c>
    </row>
    <row r="15" spans="1:21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>
        <v>58974</v>
      </c>
      <c r="Q15" s="84">
        <v>63725</v>
      </c>
      <c r="R15" s="253" t="s">
        <v>176</v>
      </c>
    </row>
    <row r="16" spans="1:21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 t="s">
        <v>176</v>
      </c>
      <c r="P16" s="92">
        <v>58205</v>
      </c>
      <c r="Q16" s="92">
        <v>64726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04" t="s">
        <v>176</v>
      </c>
      <c r="P17" s="168">
        <f>SUM(P5:P16)</f>
        <v>604540</v>
      </c>
      <c r="Q17" s="168">
        <f>SUM(Q5:Q16)</f>
        <v>768430</v>
      </c>
      <c r="R17" s="172">
        <f t="shared" ref="R17" si="0">SUM(R5:R16)</f>
        <v>365968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202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0</v>
      </c>
      <c r="Q21" s="174">
        <v>5557</v>
      </c>
      <c r="R21" s="265">
        <v>4987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2272</v>
      </c>
      <c r="Q22" s="84">
        <v>3252</v>
      </c>
      <c r="R22" s="266">
        <v>4028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5979</v>
      </c>
      <c r="Q23" s="84">
        <v>5072</v>
      </c>
      <c r="R23" s="267">
        <v>3778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4589</v>
      </c>
      <c r="Q24" s="84">
        <v>7979</v>
      </c>
      <c r="R24" s="268">
        <v>5881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3361</v>
      </c>
      <c r="Q25" s="84">
        <v>5902</v>
      </c>
      <c r="R25" s="267">
        <v>-3462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3329</v>
      </c>
      <c r="Q26" s="84">
        <v>5693</v>
      </c>
      <c r="R26" s="269">
        <v>4817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3781</v>
      </c>
      <c r="Q27" s="84">
        <v>11008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6111</v>
      </c>
      <c r="Q28" s="84">
        <v>8582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5202</v>
      </c>
      <c r="Q29" s="84">
        <v>7301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>
        <v>7056</v>
      </c>
      <c r="Q30" s="84">
        <v>6420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>
        <v>5061</v>
      </c>
      <c r="Q31" s="84">
        <v>8076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 t="s">
        <v>176</v>
      </c>
      <c r="P32" s="92">
        <v>4983</v>
      </c>
      <c r="Q32" s="92">
        <v>3731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04" t="s">
        <v>176</v>
      </c>
      <c r="P33" s="168">
        <f>SUM(P21:P32)</f>
        <v>51724</v>
      </c>
      <c r="Q33" s="168">
        <f>SUM(Q21:Q32)</f>
        <v>78573</v>
      </c>
      <c r="R33" s="172">
        <f t="shared" ref="R33" si="1">SUM(R21:R32)</f>
        <v>20029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203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0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0</v>
      </c>
      <c r="R38" s="84">
        <v>0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-4988</v>
      </c>
      <c r="R39" s="276">
        <v>-1180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-2</v>
      </c>
      <c r="Q40" s="84">
        <v>0</v>
      </c>
      <c r="R40" s="84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0</v>
      </c>
      <c r="R41" s="277">
        <v>-819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-3561</v>
      </c>
      <c r="R42" s="277">
        <v>-4266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0</v>
      </c>
      <c r="Q44" s="84">
        <v>-10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>
        <v>-109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 t="s">
        <v>176</v>
      </c>
      <c r="P48" s="92">
        <v>0</v>
      </c>
      <c r="Q48" s="92">
        <v>0</v>
      </c>
      <c r="R48" s="254" t="s">
        <v>176</v>
      </c>
    </row>
    <row r="49" spans="1:19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04" t="s">
        <v>176</v>
      </c>
      <c r="P49" s="168">
        <f>SUM(P37:P48)</f>
        <v>-111</v>
      </c>
      <c r="Q49" s="168">
        <f>SUM(Q37:Q48)</f>
        <v>-8559</v>
      </c>
      <c r="R49" s="278">
        <f t="shared" ref="R49" si="2">SUM(R37:R48)</f>
        <v>-6265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48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</row>
    <row r="53" spans="1:19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9">
      <c r="R54" s="48"/>
    </row>
  </sheetData>
  <mergeCells count="11">
    <mergeCell ref="A52:S52"/>
    <mergeCell ref="A53:R53"/>
    <mergeCell ref="A1:U1"/>
    <mergeCell ref="A51:R51"/>
    <mergeCell ref="A2:R2"/>
    <mergeCell ref="A18:R18"/>
    <mergeCell ref="A19:R19"/>
    <mergeCell ref="A34:R34"/>
    <mergeCell ref="A35:R35"/>
    <mergeCell ref="A50:R50"/>
    <mergeCell ref="A3:R3"/>
  </mergeCells>
  <pageMargins left="0.7" right="0.7" top="0.75" bottom="0.75" header="0.3" footer="0.3"/>
  <pageSetup scale="8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0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47" t="s">
        <v>229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116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0</v>
      </c>
      <c r="P5" s="174">
        <v>85144</v>
      </c>
      <c r="Q5" s="174">
        <v>101480</v>
      </c>
      <c r="R5" s="255">
        <v>125788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64242</v>
      </c>
      <c r="P6" s="84">
        <v>81297</v>
      </c>
      <c r="Q6" s="84">
        <v>95384</v>
      </c>
      <c r="R6" s="256">
        <v>104831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64691</v>
      </c>
      <c r="P7" s="84">
        <v>68392</v>
      </c>
      <c r="Q7" s="84">
        <v>84457</v>
      </c>
      <c r="R7" s="257">
        <v>100190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>
        <v>75415</v>
      </c>
      <c r="P8" s="84">
        <v>79678</v>
      </c>
      <c r="Q8" s="84">
        <v>102499</v>
      </c>
      <c r="R8" s="257">
        <v>105542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>
        <v>71437</v>
      </c>
      <c r="P9" s="84">
        <v>76045</v>
      </c>
      <c r="Q9" s="84">
        <v>98368</v>
      </c>
      <c r="R9" s="258">
        <v>111043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>
        <v>92305</v>
      </c>
      <c r="P10" s="84">
        <v>102239</v>
      </c>
      <c r="Q10" s="84">
        <v>123690</v>
      </c>
      <c r="R10" s="259">
        <v>149444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>
        <v>85352</v>
      </c>
      <c r="P11" s="84">
        <v>99021</v>
      </c>
      <c r="Q11" s="84">
        <v>120421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112929</v>
      </c>
      <c r="P12" s="84">
        <v>120455</v>
      </c>
      <c r="Q12" s="84">
        <v>149979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94473</v>
      </c>
      <c r="P13" s="84">
        <v>103491</v>
      </c>
      <c r="Q13" s="84">
        <v>134602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94682</v>
      </c>
      <c r="P14" s="84">
        <v>109077</v>
      </c>
      <c r="Q14" s="84">
        <v>125689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80603</v>
      </c>
      <c r="P15" s="84">
        <v>96749</v>
      </c>
      <c r="Q15" s="84">
        <v>118382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77678</v>
      </c>
      <c r="P16" s="92">
        <v>90576</v>
      </c>
      <c r="Q16" s="92">
        <v>107914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913807</v>
      </c>
      <c r="P17" s="168">
        <f>SUM(P5:P16)</f>
        <v>1112164</v>
      </c>
      <c r="Q17" s="168">
        <f>SUM(Q5:Q16)</f>
        <v>1362865</v>
      </c>
      <c r="R17" s="172">
        <f t="shared" ref="R17" si="0">SUM(R5:R16)</f>
        <v>696838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117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0</v>
      </c>
      <c r="P21" s="174">
        <v>6748</v>
      </c>
      <c r="Q21" s="174">
        <v>5480</v>
      </c>
      <c r="R21" s="265">
        <v>9118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2112</v>
      </c>
      <c r="P22" s="84">
        <v>4254</v>
      </c>
      <c r="Q22" s="84">
        <v>4701</v>
      </c>
      <c r="R22" s="266">
        <v>13176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3293</v>
      </c>
      <c r="P23" s="84">
        <v>3120</v>
      </c>
      <c r="Q23" s="84">
        <v>3396</v>
      </c>
      <c r="R23" s="267">
        <v>3825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>
        <v>4549</v>
      </c>
      <c r="P24" s="84">
        <v>3752</v>
      </c>
      <c r="Q24" s="84">
        <v>6135</v>
      </c>
      <c r="R24" s="268">
        <v>3060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>
        <v>4269</v>
      </c>
      <c r="P25" s="84">
        <v>2578</v>
      </c>
      <c r="Q25" s="84">
        <v>4724</v>
      </c>
      <c r="R25" s="267">
        <v>8233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>
        <v>4656</v>
      </c>
      <c r="P26" s="84">
        <v>5306</v>
      </c>
      <c r="Q26" s="84">
        <v>6829</v>
      </c>
      <c r="R26" s="269">
        <v>3453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>
        <v>6784</v>
      </c>
      <c r="P27" s="84">
        <v>4270</v>
      </c>
      <c r="Q27" s="84">
        <v>6621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7563</v>
      </c>
      <c r="P28" s="84">
        <v>8288</v>
      </c>
      <c r="Q28" s="84">
        <v>8603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6915</v>
      </c>
      <c r="P29" s="84">
        <v>4815</v>
      </c>
      <c r="Q29" s="84">
        <v>-1240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6561</v>
      </c>
      <c r="P30" s="84">
        <v>4600</v>
      </c>
      <c r="Q30" s="84">
        <v>10308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4490</v>
      </c>
      <c r="P31" s="84">
        <v>5508</v>
      </c>
      <c r="Q31" s="84">
        <v>5455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4169</v>
      </c>
      <c r="P32" s="92">
        <v>4035</v>
      </c>
      <c r="Q32" s="92">
        <v>2812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55361</v>
      </c>
      <c r="P33" s="168">
        <f>SUM(P21:P32)</f>
        <v>57274</v>
      </c>
      <c r="Q33" s="168">
        <f>SUM(Q21:Q32)</f>
        <v>63824</v>
      </c>
      <c r="R33" s="172">
        <f t="shared" ref="R33" si="1">SUM(R21:R32)</f>
        <v>40865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118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-9</v>
      </c>
      <c r="Q37" s="174">
        <v>-148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0</v>
      </c>
      <c r="Q38" s="84">
        <v>-2</v>
      </c>
      <c r="R38" s="277">
        <v>-270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-78</v>
      </c>
      <c r="Q39" s="84">
        <v>-131</v>
      </c>
      <c r="R39" s="276">
        <v>-239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>
        <v>0</v>
      </c>
      <c r="P40" s="84">
        <v>-11</v>
      </c>
      <c r="Q40" s="84">
        <v>0</v>
      </c>
      <c r="R40" s="277">
        <v>0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>
        <v>0</v>
      </c>
      <c r="P41" s="84">
        <v>0</v>
      </c>
      <c r="Q41" s="84">
        <v>0</v>
      </c>
      <c r="R41" s="277">
        <v>0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>
        <v>0</v>
      </c>
      <c r="P42" s="84">
        <v>0</v>
      </c>
      <c r="Q42" s="84">
        <v>0</v>
      </c>
      <c r="R42" s="277">
        <v>-198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-58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-6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-270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-62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-68</v>
      </c>
      <c r="P49" s="168">
        <f>SUM(P37:P48)</f>
        <v>-156</v>
      </c>
      <c r="Q49" s="168">
        <f>SUM(Q37:Q48)</f>
        <v>-551</v>
      </c>
      <c r="R49" s="278">
        <f t="shared" ref="R49" si="2">SUM(R37:R48)</f>
        <v>-707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220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3:R53"/>
    <mergeCell ref="A1:T1"/>
    <mergeCell ref="A2:R2"/>
    <mergeCell ref="A3:R3"/>
    <mergeCell ref="A18:R18"/>
    <mergeCell ref="A19:R19"/>
    <mergeCell ref="A34:R34"/>
    <mergeCell ref="A35:R35"/>
    <mergeCell ref="A50:R50"/>
    <mergeCell ref="A51:R51"/>
    <mergeCell ref="A52:R52"/>
  </mergeCells>
  <pageMargins left="0.7" right="0.7" top="0.75" bottom="0.75" header="0.3" footer="0.3"/>
  <pageSetup scale="8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1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5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230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119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55111</v>
      </c>
      <c r="Q5" s="174">
        <v>63297</v>
      </c>
      <c r="R5" s="255">
        <v>65515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41170</v>
      </c>
      <c r="Q6" s="84">
        <v>52411</v>
      </c>
      <c r="R6" s="256">
        <v>51387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38918</v>
      </c>
      <c r="Q7" s="84">
        <v>52788</v>
      </c>
      <c r="R7" s="257">
        <v>52824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176">
        <v>0</v>
      </c>
      <c r="P8" s="84">
        <v>44056</v>
      </c>
      <c r="Q8" s="84">
        <v>54590</v>
      </c>
      <c r="R8" s="257">
        <v>59249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>
        <v>31927</v>
      </c>
      <c r="P9" s="84">
        <v>38560</v>
      </c>
      <c r="Q9" s="84">
        <v>52053</v>
      </c>
      <c r="R9" s="258">
        <v>48521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>
        <v>48905</v>
      </c>
      <c r="P10" s="84">
        <v>53828</v>
      </c>
      <c r="Q10" s="84">
        <v>61307</v>
      </c>
      <c r="R10" s="259">
        <v>59569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>
        <v>60172</v>
      </c>
      <c r="P11" s="84">
        <v>66480</v>
      </c>
      <c r="Q11" s="84">
        <v>83197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73576</v>
      </c>
      <c r="P12" s="84">
        <v>92773</v>
      </c>
      <c r="Q12" s="84">
        <v>92803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74571</v>
      </c>
      <c r="P13" s="84">
        <v>87422</v>
      </c>
      <c r="Q13" s="84">
        <v>93066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73075</v>
      </c>
      <c r="P14" s="84">
        <v>82695</v>
      </c>
      <c r="Q14" s="84">
        <v>84580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59049</v>
      </c>
      <c r="P15" s="84">
        <v>74787</v>
      </c>
      <c r="Q15" s="84">
        <v>68470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53532</v>
      </c>
      <c r="P16" s="92">
        <v>54814</v>
      </c>
      <c r="Q16" s="92">
        <v>58662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474807</v>
      </c>
      <c r="P17" s="168">
        <f>SUM(P5:P16)</f>
        <v>730614</v>
      </c>
      <c r="Q17" s="168">
        <f>SUM(Q5:Q16)</f>
        <v>817224</v>
      </c>
      <c r="R17" s="172">
        <f t="shared" ref="R17" si="0">SUM(R5:R16)</f>
        <v>337065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120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42" t="s">
        <v>0</v>
      </c>
      <c r="B20" s="143">
        <v>2004</v>
      </c>
      <c r="C20" s="144">
        <v>2005</v>
      </c>
      <c r="D20" s="144">
        <v>2006</v>
      </c>
      <c r="E20" s="144">
        <v>2007</v>
      </c>
      <c r="F20" s="144">
        <v>2008</v>
      </c>
      <c r="G20" s="144">
        <v>2009</v>
      </c>
      <c r="H20" s="144">
        <v>2010</v>
      </c>
      <c r="I20" s="144">
        <v>2011</v>
      </c>
      <c r="J20" s="144">
        <v>2012</v>
      </c>
      <c r="K20" s="144">
        <v>2013</v>
      </c>
      <c r="L20" s="144">
        <v>2014</v>
      </c>
      <c r="M20" s="144">
        <v>2015</v>
      </c>
      <c r="N20" s="144">
        <v>2016</v>
      </c>
      <c r="O20" s="144">
        <v>2017</v>
      </c>
      <c r="P20" s="144">
        <v>2018</v>
      </c>
      <c r="Q20" s="144">
        <v>2019</v>
      </c>
      <c r="R20" s="119">
        <v>2020</v>
      </c>
    </row>
    <row r="21" spans="1:18" s="46" customFormat="1" ht="16">
      <c r="A21" s="215" t="s">
        <v>1</v>
      </c>
      <c r="B21" s="219" t="s">
        <v>176</v>
      </c>
      <c r="C21" s="220" t="s">
        <v>176</v>
      </c>
      <c r="D21" s="220" t="s">
        <v>176</v>
      </c>
      <c r="E21" s="220" t="s">
        <v>176</v>
      </c>
      <c r="F21" s="220" t="s">
        <v>176</v>
      </c>
      <c r="G21" s="220" t="s">
        <v>176</v>
      </c>
      <c r="H21" s="220" t="s">
        <v>176</v>
      </c>
      <c r="I21" s="220" t="s">
        <v>176</v>
      </c>
      <c r="J21" s="220" t="s">
        <v>176</v>
      </c>
      <c r="K21" s="220" t="s">
        <v>176</v>
      </c>
      <c r="L21" s="220" t="s">
        <v>176</v>
      </c>
      <c r="M21" s="220" t="s">
        <v>176</v>
      </c>
      <c r="N21" s="220" t="s">
        <v>176</v>
      </c>
      <c r="O21" s="220" t="s">
        <v>176</v>
      </c>
      <c r="P21" s="221">
        <v>7921</v>
      </c>
      <c r="Q21" s="221">
        <v>25713</v>
      </c>
      <c r="R21" s="265">
        <v>19549</v>
      </c>
    </row>
    <row r="22" spans="1:18" s="46" customFormat="1" ht="16">
      <c r="A22" s="105" t="s">
        <v>2</v>
      </c>
      <c r="B22" s="141" t="s">
        <v>176</v>
      </c>
      <c r="C22" s="136" t="s">
        <v>176</v>
      </c>
      <c r="D22" s="136" t="s">
        <v>176</v>
      </c>
      <c r="E22" s="136" t="s">
        <v>176</v>
      </c>
      <c r="F22" s="136" t="s">
        <v>176</v>
      </c>
      <c r="G22" s="136" t="s">
        <v>176</v>
      </c>
      <c r="H22" s="136" t="s">
        <v>176</v>
      </c>
      <c r="I22" s="136" t="s">
        <v>176</v>
      </c>
      <c r="J22" s="136" t="s">
        <v>176</v>
      </c>
      <c r="K22" s="136" t="s">
        <v>176</v>
      </c>
      <c r="L22" s="136" t="s">
        <v>176</v>
      </c>
      <c r="M22" s="136" t="s">
        <v>176</v>
      </c>
      <c r="N22" s="136" t="s">
        <v>176</v>
      </c>
      <c r="O22" s="136" t="s">
        <v>176</v>
      </c>
      <c r="P22" s="136">
        <v>7974</v>
      </c>
      <c r="Q22" s="136">
        <v>21329</v>
      </c>
      <c r="R22" s="266">
        <v>10084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7697</v>
      </c>
      <c r="Q23" s="84">
        <v>12586</v>
      </c>
      <c r="R23" s="267">
        <v>7809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176">
        <v>0</v>
      </c>
      <c r="P24" s="84">
        <v>9537</v>
      </c>
      <c r="Q24" s="84">
        <v>20897</v>
      </c>
      <c r="R24" s="268">
        <v>10007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>
        <v>6448</v>
      </c>
      <c r="P25" s="84">
        <v>21397</v>
      </c>
      <c r="Q25" s="84">
        <v>15299</v>
      </c>
      <c r="R25" s="267">
        <v>5639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>
        <v>10602</v>
      </c>
      <c r="P26" s="84">
        <v>8264</v>
      </c>
      <c r="Q26" s="84">
        <v>8206</v>
      </c>
      <c r="R26" s="269">
        <v>3366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>
        <v>6644</v>
      </c>
      <c r="P27" s="84">
        <v>8952</v>
      </c>
      <c r="Q27" s="84">
        <v>9358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4356</v>
      </c>
      <c r="P28" s="84">
        <v>32846</v>
      </c>
      <c r="Q28" s="84">
        <v>12370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9719</v>
      </c>
      <c r="P29" s="84">
        <v>10530</v>
      </c>
      <c r="Q29" s="84">
        <v>8097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7713</v>
      </c>
      <c r="P30" s="84">
        <v>24632</v>
      </c>
      <c r="Q30" s="84">
        <v>7688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7907</v>
      </c>
      <c r="P31" s="84">
        <v>34852</v>
      </c>
      <c r="Q31" s="84">
        <v>7505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6120</v>
      </c>
      <c r="P32" s="92">
        <v>13572</v>
      </c>
      <c r="Q32" s="92">
        <v>6712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59509</v>
      </c>
      <c r="P33" s="168">
        <f>SUM(P21:P32)</f>
        <v>188174</v>
      </c>
      <c r="Q33" s="168">
        <f>SUM(Q21:Q32)</f>
        <v>155760</v>
      </c>
      <c r="R33" s="172">
        <f t="shared" ref="R33" si="1">SUM(R21:R32)</f>
        <v>56454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121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0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0</v>
      </c>
      <c r="R38" s="277">
        <v>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0</v>
      </c>
      <c r="R39" s="276">
        <v>-8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176">
        <v>0</v>
      </c>
      <c r="P40" s="84">
        <v>0</v>
      </c>
      <c r="Q40" s="84">
        <v>0</v>
      </c>
      <c r="R40" s="266">
        <v>-167355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>
        <v>0</v>
      </c>
      <c r="P41" s="84">
        <v>0</v>
      </c>
      <c r="Q41" s="84">
        <v>0</v>
      </c>
      <c r="R41" s="277">
        <v>-1075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>
        <v>0</v>
      </c>
      <c r="P42" s="84">
        <v>0</v>
      </c>
      <c r="Q42" s="84">
        <v>0</v>
      </c>
      <c r="R42" s="277">
        <v>-8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0</v>
      </c>
      <c r="P49" s="168">
        <f>SUM(P37:P48)</f>
        <v>0</v>
      </c>
      <c r="Q49" s="168">
        <f>SUM(Q37:Q48)</f>
        <v>0</v>
      </c>
      <c r="R49" s="278">
        <f t="shared" ref="R49" si="2">SUM(R37:R48)</f>
        <v>-168446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T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7" right="0.7" top="0.75" bottom="0.75" header="0.3" footer="0.3"/>
  <pageSetup scale="8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6640625" style="120" hidden="1" customWidth="1"/>
    <col min="15" max="15" width="12.6640625" style="120" bestFit="1" customWidth="1"/>
    <col min="16" max="17" width="13.5" style="120" bestFit="1" customWidth="1"/>
    <col min="18" max="18" width="13.6640625" style="81" bestFit="1" customWidth="1"/>
    <col min="19" max="16384" width="12.5" style="120"/>
  </cols>
  <sheetData>
    <row r="1" spans="1:20" s="44" customFormat="1" ht="21">
      <c r="A1" s="333" t="s">
        <v>231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154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912390</v>
      </c>
      <c r="Q5" s="174">
        <v>1001604</v>
      </c>
      <c r="R5" s="255">
        <v>1077717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749197</v>
      </c>
      <c r="Q6" s="84">
        <v>780360</v>
      </c>
      <c r="R6" s="256">
        <v>846438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685732</v>
      </c>
      <c r="Q7" s="84">
        <v>723522</v>
      </c>
      <c r="R7" s="257">
        <v>796512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826900</v>
      </c>
      <c r="Q8" s="84">
        <v>871289</v>
      </c>
      <c r="R8" s="257">
        <v>881440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795716</v>
      </c>
      <c r="Q9" s="84">
        <v>896742</v>
      </c>
      <c r="R9" s="258">
        <v>865232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958110</v>
      </c>
      <c r="Q10" s="84">
        <v>996328</v>
      </c>
      <c r="R10" s="259">
        <v>1033117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12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176">
        <v>0</v>
      </c>
      <c r="P11" s="83">
        <v>826085</v>
      </c>
      <c r="Q11" s="83">
        <v>925038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0</v>
      </c>
      <c r="P12" s="84">
        <v>1066250</v>
      </c>
      <c r="Q12" s="84">
        <v>1090077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14</v>
      </c>
      <c r="P13" s="84">
        <v>937821</v>
      </c>
      <c r="Q13" s="84">
        <v>1016436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352</v>
      </c>
      <c r="P14" s="84">
        <v>898433</v>
      </c>
      <c r="Q14" s="84">
        <v>988481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781505</v>
      </c>
      <c r="P15" s="84">
        <v>923714</v>
      </c>
      <c r="Q15" s="84">
        <v>975579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834628</v>
      </c>
      <c r="P16" s="92">
        <v>923252</v>
      </c>
      <c r="Q16" s="92">
        <v>947268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1616499</v>
      </c>
      <c r="P17" s="168">
        <f>SUM(P5:P16)</f>
        <v>10503600</v>
      </c>
      <c r="Q17" s="168">
        <f>SUM(Q5:Q16)</f>
        <v>11212724</v>
      </c>
      <c r="R17" s="172">
        <f t="shared" ref="R17" si="0">SUM(R5:R16)</f>
        <v>5500456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155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56108</v>
      </c>
      <c r="Q21" s="174">
        <v>59777</v>
      </c>
      <c r="R21" s="265">
        <v>63089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48938</v>
      </c>
      <c r="Q22" s="84">
        <v>43945</v>
      </c>
      <c r="R22" s="266">
        <v>45082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35128</v>
      </c>
      <c r="Q23" s="84">
        <v>30461</v>
      </c>
      <c r="R23" s="267">
        <v>36784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41890</v>
      </c>
      <c r="Q24" s="84">
        <v>45954</v>
      </c>
      <c r="R24" s="268">
        <v>56222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38920</v>
      </c>
      <c r="Q25" s="84">
        <v>50311</v>
      </c>
      <c r="R25" s="267">
        <v>46181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51455</v>
      </c>
      <c r="Q26" s="84">
        <v>46457</v>
      </c>
      <c r="R26" s="269">
        <v>39301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12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176">
        <v>802</v>
      </c>
      <c r="P27" s="214">
        <v>50810</v>
      </c>
      <c r="Q27" s="214">
        <v>48198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0</v>
      </c>
      <c r="P28" s="84">
        <v>46315</v>
      </c>
      <c r="Q28" s="84">
        <v>69014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0</v>
      </c>
      <c r="P29" s="84">
        <v>43322</v>
      </c>
      <c r="Q29" s="84">
        <v>56178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487</v>
      </c>
      <c r="P30" s="84">
        <v>53109</v>
      </c>
      <c r="Q30" s="84">
        <v>53249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36695</v>
      </c>
      <c r="P31" s="84">
        <v>46787</v>
      </c>
      <c r="Q31" s="84">
        <v>50116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36878</v>
      </c>
      <c r="P32" s="92">
        <v>43103</v>
      </c>
      <c r="Q32" s="92">
        <v>45182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74862</v>
      </c>
      <c r="P33" s="168">
        <f>SUM(P21:P32)</f>
        <v>555885</v>
      </c>
      <c r="Q33" s="168">
        <f>SUM(Q21:Q32)</f>
        <v>598842</v>
      </c>
      <c r="R33" s="172">
        <f t="shared" ref="R33" si="1">SUM(R21:R32)</f>
        <v>286659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144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-231</v>
      </c>
      <c r="Q37" s="174">
        <v>-245</v>
      </c>
      <c r="R37" s="275">
        <v>-951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-4185</v>
      </c>
      <c r="R38" s="266">
        <v>-3966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-10</v>
      </c>
      <c r="Q39" s="84">
        <v>-479</v>
      </c>
      <c r="R39" s="276">
        <v>-15843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-95</v>
      </c>
      <c r="Q40" s="84">
        <v>-4748</v>
      </c>
      <c r="R40" s="266">
        <v>-1105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-251</v>
      </c>
      <c r="Q41" s="84">
        <v>-1176</v>
      </c>
      <c r="R41" s="277">
        <v>-7267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-31</v>
      </c>
      <c r="Q42" s="84">
        <v>-90</v>
      </c>
      <c r="R42" s="277">
        <v>-9340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12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176">
        <v>0</v>
      </c>
      <c r="P43" s="83">
        <v>-719</v>
      </c>
      <c r="Q43" s="83">
        <v>-531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-227</v>
      </c>
      <c r="Q44" s="84">
        <v>-943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-712</v>
      </c>
      <c r="Q45" s="84">
        <v>-176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-107</v>
      </c>
      <c r="Q46" s="84">
        <v>-1222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-99</v>
      </c>
      <c r="P47" s="84">
        <v>-21</v>
      </c>
      <c r="Q47" s="84">
        <v>-3031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-1</v>
      </c>
      <c r="P48" s="92">
        <v>-8660</v>
      </c>
      <c r="Q48" s="92">
        <v>-750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-100</v>
      </c>
      <c r="P49" s="168">
        <f>SUM(P37:P48)</f>
        <v>-11064</v>
      </c>
      <c r="Q49" s="168">
        <f>SUM(Q37:Q48)</f>
        <v>-17576</v>
      </c>
      <c r="R49" s="278">
        <f t="shared" ref="R49" si="2">SUM(R37:R48)</f>
        <v>-38472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3:R53"/>
    <mergeCell ref="A1:T1"/>
    <mergeCell ref="A2:R2"/>
    <mergeCell ref="A3:R3"/>
    <mergeCell ref="A18:R18"/>
    <mergeCell ref="A19:R19"/>
    <mergeCell ref="A34:R34"/>
    <mergeCell ref="A35:R35"/>
    <mergeCell ref="A50:R50"/>
    <mergeCell ref="A51:R51"/>
    <mergeCell ref="A52:R52"/>
  </mergeCells>
  <pageMargins left="0.7" right="0.7" top="0.75" bottom="0.75" header="0.3" footer="0.3"/>
  <pageSetup scale="8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0" style="120" hidden="1" customWidth="1"/>
    <col min="12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232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26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174">
        <v>159340</v>
      </c>
      <c r="N5" s="174">
        <v>179816</v>
      </c>
      <c r="O5" s="174">
        <v>180937</v>
      </c>
      <c r="P5" s="174">
        <v>176175</v>
      </c>
      <c r="Q5" s="174">
        <v>203332</v>
      </c>
      <c r="R5" s="255">
        <v>203709</v>
      </c>
    </row>
    <row r="6" spans="1:18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>
        <v>127198</v>
      </c>
      <c r="N6" s="84">
        <v>121226</v>
      </c>
      <c r="O6" s="84">
        <v>139194</v>
      </c>
      <c r="P6" s="84">
        <v>147484</v>
      </c>
      <c r="Q6" s="84">
        <v>152367</v>
      </c>
      <c r="R6" s="256">
        <v>178871</v>
      </c>
    </row>
    <row r="7" spans="1:18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>
        <v>132717</v>
      </c>
      <c r="N7" s="84">
        <v>120286</v>
      </c>
      <c r="O7" s="84">
        <v>136501</v>
      </c>
      <c r="P7" s="84">
        <v>119616</v>
      </c>
      <c r="Q7" s="84">
        <v>147717</v>
      </c>
      <c r="R7" s="257">
        <v>185015</v>
      </c>
    </row>
    <row r="8" spans="1:18" s="46" customFormat="1" ht="16">
      <c r="A8" s="106" t="s">
        <v>4</v>
      </c>
      <c r="B8" s="87" t="s">
        <v>176</v>
      </c>
      <c r="C8" s="84" t="s">
        <v>176</v>
      </c>
      <c r="D8" s="83" t="s">
        <v>176</v>
      </c>
      <c r="E8" s="84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>
        <v>149302</v>
      </c>
      <c r="N8" s="84">
        <v>146615</v>
      </c>
      <c r="O8" s="84">
        <v>159923</v>
      </c>
      <c r="P8" s="84">
        <v>163213</v>
      </c>
      <c r="Q8" s="84">
        <v>180745</v>
      </c>
      <c r="R8" s="257">
        <v>174928</v>
      </c>
    </row>
    <row r="9" spans="1:18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>
        <v>157083</v>
      </c>
      <c r="N9" s="84">
        <v>160947</v>
      </c>
      <c r="O9" s="84">
        <v>188513</v>
      </c>
      <c r="P9" s="84">
        <v>164730</v>
      </c>
      <c r="Q9" s="84">
        <v>188651</v>
      </c>
      <c r="R9" s="258">
        <v>198083</v>
      </c>
    </row>
    <row r="10" spans="1:18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>
        <v>182924</v>
      </c>
      <c r="N10" s="84">
        <v>192464</v>
      </c>
      <c r="O10" s="84">
        <v>215357</v>
      </c>
      <c r="P10" s="84">
        <v>248228</v>
      </c>
      <c r="Q10" s="84">
        <v>241235</v>
      </c>
      <c r="R10" s="259">
        <v>268456</v>
      </c>
    </row>
    <row r="11" spans="1:18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176">
        <v>125</v>
      </c>
      <c r="M11" s="84">
        <v>169827</v>
      </c>
      <c r="N11" s="84">
        <v>175124</v>
      </c>
      <c r="O11" s="84">
        <v>197779</v>
      </c>
      <c r="P11" s="84">
        <v>204029</v>
      </c>
      <c r="Q11" s="84">
        <v>258852</v>
      </c>
      <c r="R11" s="252" t="s">
        <v>176</v>
      </c>
    </row>
    <row r="12" spans="1:18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>
        <v>165479</v>
      </c>
      <c r="M12" s="84">
        <v>245966</v>
      </c>
      <c r="N12" s="84">
        <v>275360</v>
      </c>
      <c r="O12" s="84">
        <v>292885</v>
      </c>
      <c r="P12" s="84">
        <v>452260</v>
      </c>
      <c r="Q12" s="84">
        <v>287662</v>
      </c>
      <c r="R12" s="253" t="s">
        <v>176</v>
      </c>
    </row>
    <row r="13" spans="1:18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>
        <v>194749</v>
      </c>
      <c r="M13" s="84">
        <v>190904</v>
      </c>
      <c r="N13" s="84">
        <v>212174</v>
      </c>
      <c r="O13" s="84">
        <v>223944</v>
      </c>
      <c r="P13" s="84">
        <v>247904</v>
      </c>
      <c r="Q13" s="84">
        <v>265030</v>
      </c>
      <c r="R13" s="253" t="s">
        <v>176</v>
      </c>
    </row>
    <row r="14" spans="1:18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>
        <v>166407</v>
      </c>
      <c r="M14" s="84">
        <v>185436</v>
      </c>
      <c r="N14" s="84">
        <v>194615</v>
      </c>
      <c r="O14" s="84">
        <v>202783</v>
      </c>
      <c r="P14" s="84">
        <v>213514</v>
      </c>
      <c r="Q14" s="84">
        <v>229811</v>
      </c>
      <c r="R14" s="253" t="s">
        <v>176</v>
      </c>
    </row>
    <row r="15" spans="1:18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>
        <v>176918</v>
      </c>
      <c r="M15" s="84">
        <v>161583</v>
      </c>
      <c r="N15" s="84">
        <v>162216</v>
      </c>
      <c r="O15" s="84">
        <v>186443</v>
      </c>
      <c r="P15" s="84">
        <v>202920</v>
      </c>
      <c r="Q15" s="84">
        <v>212412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>
        <v>141400</v>
      </c>
      <c r="M16" s="92">
        <v>143660</v>
      </c>
      <c r="N16" s="92">
        <v>156367</v>
      </c>
      <c r="O16" s="92">
        <v>158392</v>
      </c>
      <c r="P16" s="92">
        <v>180405</v>
      </c>
      <c r="Q16" s="92">
        <v>197008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Q17" si="0">SUM(L5:L16)</f>
        <v>845078</v>
      </c>
      <c r="M17" s="168">
        <f t="shared" si="0"/>
        <v>2005940</v>
      </c>
      <c r="N17" s="168">
        <f t="shared" si="0"/>
        <v>2097210</v>
      </c>
      <c r="O17" s="168">
        <f t="shared" si="0"/>
        <v>2282651</v>
      </c>
      <c r="P17" s="168">
        <f t="shared" si="0"/>
        <v>2520478</v>
      </c>
      <c r="Q17" s="168">
        <f t="shared" si="0"/>
        <v>2564822</v>
      </c>
      <c r="R17" s="172">
        <f t="shared" ref="R17" si="1">SUM(R5:R16)</f>
        <v>1209062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27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174">
        <v>11841</v>
      </c>
      <c r="N21" s="174">
        <v>9688</v>
      </c>
      <c r="O21" s="174">
        <v>8955</v>
      </c>
      <c r="P21" s="174">
        <v>17171</v>
      </c>
      <c r="Q21" s="174">
        <v>15104</v>
      </c>
      <c r="R21" s="265">
        <v>13270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>
        <v>7770</v>
      </c>
      <c r="N22" s="84">
        <v>7583</v>
      </c>
      <c r="O22" s="84">
        <v>9122</v>
      </c>
      <c r="P22" s="84">
        <v>28753</v>
      </c>
      <c r="Q22" s="84">
        <v>9043</v>
      </c>
      <c r="R22" s="266">
        <v>12279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>
        <v>10194</v>
      </c>
      <c r="N23" s="84">
        <v>5019</v>
      </c>
      <c r="O23" s="84">
        <v>4443</v>
      </c>
      <c r="P23" s="84">
        <v>6854</v>
      </c>
      <c r="Q23" s="84">
        <v>9497</v>
      </c>
      <c r="R23" s="267">
        <v>7100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3" t="s">
        <v>176</v>
      </c>
      <c r="E24" s="84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>
        <v>13724</v>
      </c>
      <c r="N24" s="84">
        <v>5619</v>
      </c>
      <c r="O24" s="84">
        <v>6292</v>
      </c>
      <c r="P24" s="84">
        <v>7199</v>
      </c>
      <c r="Q24" s="84">
        <v>8062</v>
      </c>
      <c r="R24" s="268">
        <v>8198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>
        <v>10353</v>
      </c>
      <c r="N25" s="84">
        <v>6372</v>
      </c>
      <c r="O25" s="84">
        <v>5241</v>
      </c>
      <c r="P25" s="84">
        <v>6846</v>
      </c>
      <c r="Q25" s="84">
        <v>7787</v>
      </c>
      <c r="R25" s="267">
        <v>7085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>
        <v>20818</v>
      </c>
      <c r="N26" s="84">
        <v>9418</v>
      </c>
      <c r="O26" s="84">
        <v>12805</v>
      </c>
      <c r="P26" s="84">
        <v>9514</v>
      </c>
      <c r="Q26" s="84">
        <v>9473</v>
      </c>
      <c r="R26" s="269">
        <v>10780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176">
        <v>0</v>
      </c>
      <c r="M27" s="84">
        <v>11778</v>
      </c>
      <c r="N27" s="84">
        <v>9387</v>
      </c>
      <c r="O27" s="84">
        <v>12645</v>
      </c>
      <c r="P27" s="84">
        <v>11276</v>
      </c>
      <c r="Q27" s="84">
        <v>12062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>
        <v>9291</v>
      </c>
      <c r="M28" s="84">
        <v>11077</v>
      </c>
      <c r="N28" s="84">
        <v>11144</v>
      </c>
      <c r="O28" s="84">
        <v>13898</v>
      </c>
      <c r="P28" s="84">
        <v>14802</v>
      </c>
      <c r="Q28" s="84">
        <v>19172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>
        <v>6793</v>
      </c>
      <c r="M29" s="84">
        <v>7544</v>
      </c>
      <c r="N29" s="84">
        <v>7023</v>
      </c>
      <c r="O29" s="84">
        <v>10741</v>
      </c>
      <c r="P29" s="84">
        <v>9501</v>
      </c>
      <c r="Q29" s="84">
        <v>10892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>
        <v>14467</v>
      </c>
      <c r="M30" s="84">
        <v>8340</v>
      </c>
      <c r="N30" s="84">
        <v>6934</v>
      </c>
      <c r="O30" s="84">
        <v>10523</v>
      </c>
      <c r="P30" s="84">
        <v>9783</v>
      </c>
      <c r="Q30" s="84">
        <v>11515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>
        <v>7579</v>
      </c>
      <c r="M31" s="84">
        <v>8764</v>
      </c>
      <c r="N31" s="84">
        <v>5525</v>
      </c>
      <c r="O31" s="84">
        <v>8010</v>
      </c>
      <c r="P31" s="84">
        <v>13256</v>
      </c>
      <c r="Q31" s="84">
        <v>12844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>
        <v>8413</v>
      </c>
      <c r="M32" s="92">
        <v>4758</v>
      </c>
      <c r="N32" s="92">
        <v>5896</v>
      </c>
      <c r="O32" s="92">
        <v>14348</v>
      </c>
      <c r="P32" s="92">
        <v>12654</v>
      </c>
      <c r="Q32" s="92">
        <v>7463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Q33" si="2">SUM(L21:L32)</f>
        <v>46543</v>
      </c>
      <c r="M33" s="168">
        <f t="shared" si="2"/>
        <v>126961</v>
      </c>
      <c r="N33" s="168">
        <f t="shared" si="2"/>
        <v>89608</v>
      </c>
      <c r="O33" s="168">
        <f t="shared" si="2"/>
        <v>117023</v>
      </c>
      <c r="P33" s="168">
        <f t="shared" si="2"/>
        <v>147609</v>
      </c>
      <c r="Q33" s="168">
        <f t="shared" si="2"/>
        <v>132914</v>
      </c>
      <c r="R33" s="172">
        <f t="shared" ref="R33" si="3">SUM(R21:R32)</f>
        <v>58712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93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174">
        <v>0</v>
      </c>
      <c r="N37" s="174">
        <v>-79</v>
      </c>
      <c r="O37" s="174">
        <v>-8</v>
      </c>
      <c r="P37" s="174">
        <v>-4</v>
      </c>
      <c r="Q37" s="174">
        <v>0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>
        <v>-2205</v>
      </c>
      <c r="N38" s="84">
        <v>-3899</v>
      </c>
      <c r="O38" s="84">
        <v>-68</v>
      </c>
      <c r="P38" s="84">
        <v>0</v>
      </c>
      <c r="Q38" s="84">
        <v>-11</v>
      </c>
      <c r="R38" s="266">
        <v>-588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>
        <v>0</v>
      </c>
      <c r="N39" s="84">
        <v>-389</v>
      </c>
      <c r="O39" s="84">
        <v>0</v>
      </c>
      <c r="P39" s="84">
        <v>0</v>
      </c>
      <c r="Q39" s="84">
        <v>0</v>
      </c>
      <c r="R39" s="276">
        <v>-39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3" t="s">
        <v>176</v>
      </c>
      <c r="E40" s="84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>
        <v>-9</v>
      </c>
      <c r="N40" s="84">
        <v>-15340</v>
      </c>
      <c r="O40" s="84">
        <v>0</v>
      </c>
      <c r="P40" s="84">
        <v>-40</v>
      </c>
      <c r="Q40" s="84">
        <v>-3278</v>
      </c>
      <c r="R40" s="266">
        <v>0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3" t="s">
        <v>176</v>
      </c>
      <c r="M41" s="84">
        <v>0</v>
      </c>
      <c r="N41" s="84">
        <v>0</v>
      </c>
      <c r="O41" s="84">
        <v>0</v>
      </c>
      <c r="P41" s="84">
        <v>-123</v>
      </c>
      <c r="Q41" s="84">
        <v>0</v>
      </c>
      <c r="R41" s="277">
        <v>-55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>
        <v>-11</v>
      </c>
      <c r="N42" s="84">
        <v>-333</v>
      </c>
      <c r="O42" s="84">
        <v>-561</v>
      </c>
      <c r="P42" s="84">
        <v>-372</v>
      </c>
      <c r="Q42" s="84">
        <v>0</v>
      </c>
      <c r="R42" s="277">
        <v>0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176">
        <v>0</v>
      </c>
      <c r="M43" s="84">
        <v>-3037</v>
      </c>
      <c r="N43" s="84">
        <v>-498</v>
      </c>
      <c r="O43" s="84">
        <v>0</v>
      </c>
      <c r="P43" s="84">
        <v>-249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>
        <v>0</v>
      </c>
      <c r="M44" s="84">
        <v>-1042</v>
      </c>
      <c r="N44" s="84">
        <v>0</v>
      </c>
      <c r="O44" s="84">
        <v>-152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>
        <v>0</v>
      </c>
      <c r="M45" s="84">
        <v>-1</v>
      </c>
      <c r="N45" s="84">
        <v>-5397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>
        <v>0</v>
      </c>
      <c r="M46" s="84">
        <v>0</v>
      </c>
      <c r="N46" s="84">
        <v>0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>
        <v>0</v>
      </c>
      <c r="M47" s="84">
        <v>0</v>
      </c>
      <c r="N47" s="84">
        <v>0</v>
      </c>
      <c r="O47" s="84">
        <v>-740</v>
      </c>
      <c r="P47" s="84">
        <v>0</v>
      </c>
      <c r="Q47" s="84">
        <v>-588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>
        <v>-2941</v>
      </c>
      <c r="M48" s="92">
        <v>0</v>
      </c>
      <c r="N48" s="92">
        <v>-53</v>
      </c>
      <c r="O48" s="92">
        <v>-61</v>
      </c>
      <c r="P48" s="92">
        <v>-12</v>
      </c>
      <c r="Q48" s="92">
        <v>-39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Q49" si="4">SUM(L37:L48)</f>
        <v>-2941</v>
      </c>
      <c r="M49" s="168">
        <f t="shared" si="4"/>
        <v>-6305</v>
      </c>
      <c r="N49" s="168">
        <f t="shared" si="4"/>
        <v>-25988</v>
      </c>
      <c r="O49" s="168">
        <f t="shared" si="4"/>
        <v>-1590</v>
      </c>
      <c r="P49" s="168">
        <f t="shared" si="4"/>
        <v>-800</v>
      </c>
      <c r="Q49" s="168">
        <f t="shared" si="4"/>
        <v>-3916</v>
      </c>
      <c r="R49" s="278">
        <f t="shared" ref="R49" si="5">SUM(R37:R48)</f>
        <v>-682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8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>
    <pageSetUpPr fitToPage="1"/>
  </sheetPr>
  <dimension ref="A1:R68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0" style="120" hidden="1" customWidth="1"/>
    <col min="12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233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29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174">
        <v>255003</v>
      </c>
      <c r="N5" s="174">
        <v>277762</v>
      </c>
      <c r="O5" s="174">
        <v>278259</v>
      </c>
      <c r="P5" s="174">
        <v>271869</v>
      </c>
      <c r="Q5" s="174">
        <v>306104</v>
      </c>
      <c r="R5" s="255">
        <v>315370</v>
      </c>
    </row>
    <row r="6" spans="1:18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>
        <v>206003</v>
      </c>
      <c r="N6" s="84">
        <v>207425</v>
      </c>
      <c r="O6" s="84">
        <v>209164</v>
      </c>
      <c r="P6" s="84">
        <v>213817</v>
      </c>
      <c r="Q6" s="84">
        <v>236072</v>
      </c>
      <c r="R6" s="256">
        <v>237216</v>
      </c>
    </row>
    <row r="7" spans="1:18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>
        <v>220091</v>
      </c>
      <c r="N7" s="84">
        <v>204900</v>
      </c>
      <c r="O7" s="84">
        <v>204569</v>
      </c>
      <c r="P7" s="84">
        <v>202314</v>
      </c>
      <c r="Q7" s="84">
        <v>220589</v>
      </c>
      <c r="R7" s="257">
        <v>236686</v>
      </c>
    </row>
    <row r="8" spans="1:18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3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>
        <v>219466</v>
      </c>
      <c r="N8" s="84">
        <v>237455</v>
      </c>
      <c r="O8" s="84">
        <v>234070</v>
      </c>
      <c r="P8" s="84">
        <v>264245</v>
      </c>
      <c r="Q8" s="84">
        <v>264117</v>
      </c>
      <c r="R8" s="257">
        <v>245540</v>
      </c>
    </row>
    <row r="9" spans="1:18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176">
        <v>170028</v>
      </c>
      <c r="M9" s="84">
        <v>222213</v>
      </c>
      <c r="N9" s="84">
        <v>228718</v>
      </c>
      <c r="O9" s="84">
        <v>236548</v>
      </c>
      <c r="P9" s="84">
        <v>242478</v>
      </c>
      <c r="Q9" s="84">
        <v>262542</v>
      </c>
      <c r="R9" s="258">
        <v>259089</v>
      </c>
    </row>
    <row r="10" spans="1:18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>
        <v>243203</v>
      </c>
      <c r="M10" s="84">
        <v>261085</v>
      </c>
      <c r="N10" s="84">
        <v>261493</v>
      </c>
      <c r="O10" s="84">
        <v>271459</v>
      </c>
      <c r="P10" s="84">
        <v>303750</v>
      </c>
      <c r="Q10" s="84">
        <v>316287</v>
      </c>
      <c r="R10" s="259">
        <v>331902</v>
      </c>
    </row>
    <row r="11" spans="1:18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>
        <v>230301</v>
      </c>
      <c r="M11" s="84">
        <v>235717</v>
      </c>
      <c r="N11" s="84">
        <v>248048</v>
      </c>
      <c r="O11" s="84">
        <v>254255</v>
      </c>
      <c r="P11" s="84">
        <v>264870</v>
      </c>
      <c r="Q11" s="84">
        <v>314021</v>
      </c>
      <c r="R11" s="252" t="s">
        <v>176</v>
      </c>
    </row>
    <row r="12" spans="1:18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>
        <v>285126</v>
      </c>
      <c r="M12" s="84">
        <v>332290</v>
      </c>
      <c r="N12" s="84">
        <v>312714</v>
      </c>
      <c r="O12" s="84">
        <v>328176</v>
      </c>
      <c r="P12" s="84">
        <v>360354</v>
      </c>
      <c r="Q12" s="84">
        <v>357376</v>
      </c>
      <c r="R12" s="253" t="s">
        <v>176</v>
      </c>
    </row>
    <row r="13" spans="1:18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>
        <v>252907</v>
      </c>
      <c r="M13" s="84">
        <v>274125</v>
      </c>
      <c r="N13" s="84">
        <v>273145</v>
      </c>
      <c r="O13" s="84">
        <v>287655</v>
      </c>
      <c r="P13" s="84">
        <v>304481</v>
      </c>
      <c r="Q13" s="84">
        <v>325557</v>
      </c>
      <c r="R13" s="253" t="s">
        <v>176</v>
      </c>
    </row>
    <row r="14" spans="1:18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>
        <v>252324</v>
      </c>
      <c r="M14" s="84">
        <v>263421</v>
      </c>
      <c r="N14" s="84">
        <v>271404</v>
      </c>
      <c r="O14" s="84">
        <v>269817</v>
      </c>
      <c r="P14" s="84">
        <v>284915</v>
      </c>
      <c r="Q14" s="84">
        <v>311551</v>
      </c>
      <c r="R14" s="253" t="s">
        <v>176</v>
      </c>
    </row>
    <row r="15" spans="1:18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>
        <v>236177</v>
      </c>
      <c r="M15" s="84">
        <v>249186</v>
      </c>
      <c r="N15" s="84">
        <v>253745</v>
      </c>
      <c r="O15" s="84">
        <v>253605</v>
      </c>
      <c r="P15" s="84">
        <v>278586</v>
      </c>
      <c r="Q15" s="84">
        <v>287829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>
        <v>225613</v>
      </c>
      <c r="M16" s="92">
        <v>220934</v>
      </c>
      <c r="N16" s="92">
        <v>237455</v>
      </c>
      <c r="O16" s="92">
        <v>245306</v>
      </c>
      <c r="P16" s="92">
        <v>266524</v>
      </c>
      <c r="Q16" s="92">
        <v>265060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Q17" si="0">SUM(L5:L16)</f>
        <v>1895679</v>
      </c>
      <c r="M17" s="168">
        <f t="shared" si="0"/>
        <v>2959534</v>
      </c>
      <c r="N17" s="168">
        <f t="shared" si="0"/>
        <v>3014264</v>
      </c>
      <c r="O17" s="168">
        <f t="shared" si="0"/>
        <v>3072883</v>
      </c>
      <c r="P17" s="168">
        <f t="shared" si="0"/>
        <v>3258203</v>
      </c>
      <c r="Q17" s="168">
        <f t="shared" si="0"/>
        <v>3467105</v>
      </c>
      <c r="R17" s="172">
        <f t="shared" ref="R17" si="1">SUM(R5:R16)</f>
        <v>1625803</v>
      </c>
    </row>
    <row r="18" spans="1:18" s="47" customFormat="1" ht="8">
      <c r="A18" s="345" t="s">
        <v>212</v>
      </c>
      <c r="B18" s="345"/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</row>
    <row r="19" spans="1:18" s="45" customFormat="1" ht="19">
      <c r="A19" s="348" t="s">
        <v>30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174">
        <v>31539</v>
      </c>
      <c r="N21" s="174">
        <v>138189</v>
      </c>
      <c r="O21" s="174">
        <v>14699</v>
      </c>
      <c r="P21" s="174">
        <v>10072</v>
      </c>
      <c r="Q21" s="174">
        <v>25727</v>
      </c>
      <c r="R21" s="265">
        <v>17350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>
        <v>181035</v>
      </c>
      <c r="N22" s="84">
        <v>19076</v>
      </c>
      <c r="O22" s="84">
        <v>11757</v>
      </c>
      <c r="P22" s="84">
        <v>8541</v>
      </c>
      <c r="Q22" s="84">
        <v>11982</v>
      </c>
      <c r="R22" s="266">
        <v>17099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>
        <v>9310</v>
      </c>
      <c r="N23" s="84">
        <v>50353</v>
      </c>
      <c r="O23" s="84">
        <v>6802</v>
      </c>
      <c r="P23" s="84">
        <v>7605</v>
      </c>
      <c r="Q23" s="84">
        <v>13653</v>
      </c>
      <c r="R23" s="267">
        <v>6963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3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>
        <v>12159</v>
      </c>
      <c r="N24" s="84">
        <v>296187</v>
      </c>
      <c r="O24" s="84">
        <v>207476</v>
      </c>
      <c r="P24" s="84">
        <v>11274</v>
      </c>
      <c r="Q24" s="84">
        <v>8772</v>
      </c>
      <c r="R24" s="268">
        <v>7554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176">
        <v>6463</v>
      </c>
      <c r="M25" s="84">
        <v>94917</v>
      </c>
      <c r="N25" s="84">
        <v>38493</v>
      </c>
      <c r="O25" s="84">
        <v>9661</v>
      </c>
      <c r="P25" s="84">
        <v>15076</v>
      </c>
      <c r="Q25" s="84">
        <v>8886</v>
      </c>
      <c r="R25" s="267">
        <v>6356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>
        <v>10156</v>
      </c>
      <c r="M26" s="84">
        <v>15463</v>
      </c>
      <c r="N26" s="84">
        <v>18761</v>
      </c>
      <c r="O26" s="84">
        <v>23255</v>
      </c>
      <c r="P26" s="84">
        <v>11573</v>
      </c>
      <c r="Q26" s="84">
        <v>8669</v>
      </c>
      <c r="R26" s="269">
        <v>7387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>
        <v>12385</v>
      </c>
      <c r="M27" s="84">
        <v>16842</v>
      </c>
      <c r="N27" s="84">
        <v>21866</v>
      </c>
      <c r="O27" s="84">
        <v>12946</v>
      </c>
      <c r="P27" s="84">
        <v>11257</v>
      </c>
      <c r="Q27" s="84">
        <v>25427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>
        <v>22159</v>
      </c>
      <c r="M28" s="84">
        <v>15710</v>
      </c>
      <c r="N28" s="84">
        <v>13659</v>
      </c>
      <c r="O28" s="84">
        <v>13036</v>
      </c>
      <c r="P28" s="84">
        <v>15749</v>
      </c>
      <c r="Q28" s="84">
        <v>14047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>
        <v>19874</v>
      </c>
      <c r="M29" s="84">
        <v>10368</v>
      </c>
      <c r="N29" s="84">
        <v>14009</v>
      </c>
      <c r="O29" s="84">
        <v>53827</v>
      </c>
      <c r="P29" s="84">
        <v>9338</v>
      </c>
      <c r="Q29" s="84">
        <v>18098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>
        <v>23451</v>
      </c>
      <c r="M30" s="84">
        <v>15945</v>
      </c>
      <c r="N30" s="84">
        <v>15824</v>
      </c>
      <c r="O30" s="84">
        <v>13078</v>
      </c>
      <c r="P30" s="84">
        <v>17209</v>
      </c>
      <c r="Q30" s="84">
        <v>28596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>
        <v>15477</v>
      </c>
      <c r="M31" s="84">
        <v>35302</v>
      </c>
      <c r="N31" s="84">
        <v>9308</v>
      </c>
      <c r="O31" s="84">
        <v>14842</v>
      </c>
      <c r="P31" s="84">
        <v>19421</v>
      </c>
      <c r="Q31" s="84">
        <v>25767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>
        <v>14050</v>
      </c>
      <c r="M32" s="92">
        <v>24553</v>
      </c>
      <c r="N32" s="92">
        <v>8657</v>
      </c>
      <c r="O32" s="92">
        <v>10888</v>
      </c>
      <c r="P32" s="92">
        <v>13320</v>
      </c>
      <c r="Q32" s="92">
        <v>16497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Q33" si="2">SUM(L21:L32)</f>
        <v>124015</v>
      </c>
      <c r="M33" s="168">
        <f t="shared" si="2"/>
        <v>463143</v>
      </c>
      <c r="N33" s="168">
        <f t="shared" si="2"/>
        <v>644382</v>
      </c>
      <c r="O33" s="168">
        <f t="shared" si="2"/>
        <v>392267</v>
      </c>
      <c r="P33" s="168">
        <f t="shared" si="2"/>
        <v>150435</v>
      </c>
      <c r="Q33" s="168">
        <f t="shared" si="2"/>
        <v>206121</v>
      </c>
      <c r="R33" s="172">
        <f t="shared" ref="R33" si="3">SUM(R21:R32)</f>
        <v>62709</v>
      </c>
    </row>
    <row r="34" spans="1:18" s="47" customFormat="1" ht="8">
      <c r="A34" s="345" t="s">
        <v>212</v>
      </c>
      <c r="B34" s="345"/>
      <c r="C34" s="345"/>
      <c r="D34" s="345"/>
      <c r="E34" s="345"/>
      <c r="F34" s="345"/>
      <c r="G34" s="345"/>
      <c r="H34" s="345"/>
      <c r="I34" s="345"/>
      <c r="J34" s="345"/>
      <c r="K34" s="345"/>
      <c r="L34" s="345"/>
      <c r="M34" s="345"/>
      <c r="N34" s="345"/>
      <c r="O34" s="345"/>
      <c r="P34" s="345"/>
      <c r="Q34" s="345"/>
      <c r="R34" s="345"/>
    </row>
    <row r="35" spans="1:18" s="45" customFormat="1" ht="19">
      <c r="A35" s="348" t="s">
        <v>94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174">
        <v>0</v>
      </c>
      <c r="N37" s="174">
        <v>-22</v>
      </c>
      <c r="O37" s="174">
        <v>-8</v>
      </c>
      <c r="P37" s="174">
        <v>-89</v>
      </c>
      <c r="Q37" s="174">
        <v>-6</v>
      </c>
      <c r="R37" s="275">
        <v>-15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>
        <v>0</v>
      </c>
      <c r="N38" s="84">
        <v>-439</v>
      </c>
      <c r="O38" s="84">
        <v>-153</v>
      </c>
      <c r="P38" s="84">
        <v>0</v>
      </c>
      <c r="Q38" s="84">
        <v>-258</v>
      </c>
      <c r="R38" s="266">
        <v>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>
        <v>-510</v>
      </c>
      <c r="N39" s="84">
        <v>-397</v>
      </c>
      <c r="O39" s="84">
        <v>-2719</v>
      </c>
      <c r="P39" s="84">
        <v>-9409</v>
      </c>
      <c r="Q39" s="84">
        <v>0</v>
      </c>
      <c r="R39" s="276">
        <v>-77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3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>
        <v>0</v>
      </c>
      <c r="N40" s="84">
        <v>-146</v>
      </c>
      <c r="O40" s="84">
        <v>-6444</v>
      </c>
      <c r="P40" s="84">
        <v>-149</v>
      </c>
      <c r="Q40" s="84">
        <v>-63</v>
      </c>
      <c r="R40" s="266">
        <v>-15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176">
        <v>0</v>
      </c>
      <c r="M41" s="84">
        <v>-15</v>
      </c>
      <c r="N41" s="84">
        <v>0</v>
      </c>
      <c r="O41" s="84">
        <v>-13720</v>
      </c>
      <c r="P41" s="84">
        <v>-449</v>
      </c>
      <c r="Q41" s="84">
        <v>0</v>
      </c>
      <c r="R41" s="277">
        <v>-77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>
        <v>0</v>
      </c>
      <c r="M42" s="84">
        <v>-90</v>
      </c>
      <c r="N42" s="84">
        <v>-2826</v>
      </c>
      <c r="O42" s="84">
        <v>-4974</v>
      </c>
      <c r="P42" s="84">
        <v>-64</v>
      </c>
      <c r="Q42" s="84">
        <v>-1</v>
      </c>
      <c r="R42" s="277">
        <v>-264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>
        <v>0</v>
      </c>
      <c r="M43" s="84">
        <v>0</v>
      </c>
      <c r="N43" s="84">
        <v>0</v>
      </c>
      <c r="O43" s="84">
        <v>-51</v>
      </c>
      <c r="P43" s="84">
        <v>0</v>
      </c>
      <c r="Q43" s="84">
        <v>-1041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>
        <v>0</v>
      </c>
      <c r="M44" s="84">
        <v>-35</v>
      </c>
      <c r="N44" s="84">
        <v>-1083</v>
      </c>
      <c r="O44" s="84">
        <v>-70</v>
      </c>
      <c r="P44" s="84">
        <v>0</v>
      </c>
      <c r="Q44" s="84">
        <v>-405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>
        <v>0</v>
      </c>
      <c r="M45" s="84">
        <v>-1</v>
      </c>
      <c r="N45" s="84">
        <v>-806</v>
      </c>
      <c r="O45" s="84">
        <v>-2821</v>
      </c>
      <c r="P45" s="84">
        <v>0</v>
      </c>
      <c r="Q45" s="84">
        <v>-1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>
        <v>-1260</v>
      </c>
      <c r="M46" s="84">
        <v>-1695</v>
      </c>
      <c r="N46" s="84">
        <v>-60</v>
      </c>
      <c r="O46" s="84">
        <v>-197</v>
      </c>
      <c r="P46" s="84">
        <v>-90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>
        <v>0</v>
      </c>
      <c r="M47" s="84">
        <v>0</v>
      </c>
      <c r="N47" s="84">
        <v>0</v>
      </c>
      <c r="O47" s="84">
        <v>-39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>
        <v>-11488</v>
      </c>
      <c r="M48" s="92">
        <v>-5635</v>
      </c>
      <c r="N48" s="92">
        <v>0</v>
      </c>
      <c r="O48" s="92">
        <v>-1498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Q49" si="4">SUM(L37:L48)</f>
        <v>-12748</v>
      </c>
      <c r="M49" s="168">
        <f t="shared" si="4"/>
        <v>-7981</v>
      </c>
      <c r="N49" s="168">
        <f t="shared" si="4"/>
        <v>-5779</v>
      </c>
      <c r="O49" s="168">
        <f t="shared" si="4"/>
        <v>-32694</v>
      </c>
      <c r="P49" s="168">
        <f t="shared" si="4"/>
        <v>-10250</v>
      </c>
      <c r="Q49" s="168">
        <f t="shared" si="4"/>
        <v>-1775</v>
      </c>
      <c r="R49" s="278">
        <f t="shared" ref="R49" si="5">SUM(R37:R48)</f>
        <v>-448</v>
      </c>
    </row>
    <row r="50" spans="1:18" s="47" customFormat="1" ht="8">
      <c r="A50" s="345" t="s">
        <v>212</v>
      </c>
      <c r="B50" s="345"/>
      <c r="C50" s="345"/>
      <c r="D50" s="345"/>
      <c r="E50" s="345"/>
      <c r="F50" s="345"/>
      <c r="G50" s="345"/>
      <c r="H50" s="345"/>
      <c r="I50" s="345"/>
      <c r="J50" s="345"/>
      <c r="K50" s="345"/>
      <c r="L50" s="345"/>
      <c r="M50" s="345"/>
      <c r="N50" s="345"/>
      <c r="O50" s="345"/>
      <c r="P50" s="345"/>
      <c r="Q50" s="345"/>
      <c r="R50" s="345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  <row r="68" spans="1:10">
      <c r="A68" s="129"/>
      <c r="B68" s="129"/>
      <c r="C68" s="129"/>
      <c r="D68" s="129"/>
      <c r="E68" s="129"/>
      <c r="F68" s="129"/>
      <c r="G68" s="129"/>
      <c r="H68" s="129"/>
      <c r="I68" s="129"/>
      <c r="J68" s="129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86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pageSetUpPr fitToPage="1"/>
  </sheetPr>
  <dimension ref="A1:R68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12.5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32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137209</v>
      </c>
      <c r="O5" s="174">
        <v>148276</v>
      </c>
      <c r="P5" s="174">
        <v>143142</v>
      </c>
      <c r="Q5" s="174">
        <v>149544</v>
      </c>
      <c r="R5" s="255">
        <v>176267</v>
      </c>
    </row>
    <row r="6" spans="1:18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109839</v>
      </c>
      <c r="O6" s="84">
        <v>111975</v>
      </c>
      <c r="P6" s="84">
        <v>107318</v>
      </c>
      <c r="Q6" s="84">
        <v>124761</v>
      </c>
      <c r="R6" s="256">
        <v>130136</v>
      </c>
    </row>
    <row r="7" spans="1:18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105126</v>
      </c>
      <c r="O7" s="84">
        <v>100880</v>
      </c>
      <c r="P7" s="84">
        <v>98738</v>
      </c>
      <c r="Q7" s="84">
        <v>113832</v>
      </c>
      <c r="R7" s="257">
        <v>117400</v>
      </c>
    </row>
    <row r="8" spans="1:18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176">
        <v>20</v>
      </c>
      <c r="N8" s="84">
        <v>118932</v>
      </c>
      <c r="O8" s="84">
        <v>117962</v>
      </c>
      <c r="P8" s="84">
        <v>125946</v>
      </c>
      <c r="Q8" s="84">
        <v>129078</v>
      </c>
      <c r="R8" s="257">
        <v>142537</v>
      </c>
    </row>
    <row r="9" spans="1:18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>
        <v>89191</v>
      </c>
      <c r="N9" s="84">
        <v>114819</v>
      </c>
      <c r="O9" s="84">
        <v>114579</v>
      </c>
      <c r="P9" s="84">
        <v>111947</v>
      </c>
      <c r="Q9" s="84">
        <v>127781</v>
      </c>
      <c r="R9" s="258">
        <v>136351</v>
      </c>
    </row>
    <row r="10" spans="1:18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>
        <v>117427</v>
      </c>
      <c r="N10" s="84">
        <v>131430</v>
      </c>
      <c r="O10" s="84">
        <v>134829</v>
      </c>
      <c r="P10" s="84">
        <v>149757</v>
      </c>
      <c r="Q10" s="84">
        <v>157285</v>
      </c>
      <c r="R10" s="259">
        <v>181078</v>
      </c>
    </row>
    <row r="11" spans="1:18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>
        <v>116923</v>
      </c>
      <c r="N11" s="84">
        <v>132300</v>
      </c>
      <c r="O11" s="84">
        <v>147750</v>
      </c>
      <c r="P11" s="84">
        <v>142475</v>
      </c>
      <c r="Q11" s="84">
        <v>157464</v>
      </c>
      <c r="R11" s="252" t="s">
        <v>176</v>
      </c>
    </row>
    <row r="12" spans="1:18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>
        <v>131805</v>
      </c>
      <c r="N12" s="84">
        <v>146105</v>
      </c>
      <c r="O12" s="84">
        <v>147496</v>
      </c>
      <c r="P12" s="84">
        <v>156554</v>
      </c>
      <c r="Q12" s="84">
        <v>164732</v>
      </c>
      <c r="R12" s="253" t="s">
        <v>176</v>
      </c>
    </row>
    <row r="13" spans="1:18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>
        <v>123123</v>
      </c>
      <c r="N13" s="84">
        <v>134871</v>
      </c>
      <c r="O13" s="84">
        <v>141742</v>
      </c>
      <c r="P13" s="84">
        <v>144815</v>
      </c>
      <c r="Q13" s="84">
        <v>157219</v>
      </c>
      <c r="R13" s="253" t="s">
        <v>176</v>
      </c>
    </row>
    <row r="14" spans="1:18" s="46" customFormat="1" ht="16">
      <c r="A14" s="106" t="s">
        <v>10</v>
      </c>
      <c r="B14" s="87" t="s">
        <v>176</v>
      </c>
      <c r="C14" s="84" t="s">
        <v>176</v>
      </c>
      <c r="D14" s="83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>
        <v>130075</v>
      </c>
      <c r="N14" s="84">
        <v>136313</v>
      </c>
      <c r="O14" s="84">
        <v>152505</v>
      </c>
      <c r="P14" s="84">
        <v>145877</v>
      </c>
      <c r="Q14" s="84">
        <v>149984</v>
      </c>
      <c r="R14" s="253" t="s">
        <v>176</v>
      </c>
    </row>
    <row r="15" spans="1:18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>
        <v>127257</v>
      </c>
      <c r="N15" s="84">
        <v>131088</v>
      </c>
      <c r="O15" s="84">
        <v>128102</v>
      </c>
      <c r="P15" s="84">
        <v>153428</v>
      </c>
      <c r="Q15" s="84">
        <v>144400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>
        <v>112479</v>
      </c>
      <c r="N16" s="92">
        <v>129006</v>
      </c>
      <c r="O16" s="92">
        <v>122169</v>
      </c>
      <c r="P16" s="92">
        <v>134814</v>
      </c>
      <c r="Q16" s="92">
        <v>144564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948300</v>
      </c>
      <c r="N17" s="168">
        <f>SUM(N5:N16)</f>
        <v>1527038</v>
      </c>
      <c r="O17" s="168">
        <f>SUM(O5:O16)</f>
        <v>1568265</v>
      </c>
      <c r="P17" s="168">
        <f>SUM(P5:P16)</f>
        <v>1614811</v>
      </c>
      <c r="Q17" s="168">
        <f>SUM(Q5:Q16)</f>
        <v>1720644</v>
      </c>
      <c r="R17" s="172">
        <f t="shared" ref="R17" si="0">SUM(R5:R16)</f>
        <v>883769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33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40427</v>
      </c>
      <c r="O21" s="174">
        <v>13951</v>
      </c>
      <c r="P21" s="174">
        <v>16286</v>
      </c>
      <c r="Q21" s="174">
        <v>15849</v>
      </c>
      <c r="R21" s="265">
        <v>14024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10342</v>
      </c>
      <c r="O22" s="84">
        <v>13191</v>
      </c>
      <c r="P22" s="84">
        <v>43911</v>
      </c>
      <c r="Q22" s="84">
        <v>15225</v>
      </c>
      <c r="R22" s="266">
        <v>7861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21037</v>
      </c>
      <c r="O23" s="84">
        <v>9874</v>
      </c>
      <c r="P23" s="84">
        <v>16365</v>
      </c>
      <c r="Q23" s="84">
        <v>33264</v>
      </c>
      <c r="R23" s="267">
        <v>11027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176">
        <v>0</v>
      </c>
      <c r="N24" s="84">
        <v>26465</v>
      </c>
      <c r="O24" s="84">
        <v>12765</v>
      </c>
      <c r="P24" s="84">
        <v>22859</v>
      </c>
      <c r="Q24" s="84">
        <v>14631</v>
      </c>
      <c r="R24" s="268">
        <v>10086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>
        <v>20944</v>
      </c>
      <c r="N25" s="84">
        <v>10891</v>
      </c>
      <c r="O25" s="84">
        <v>12828</v>
      </c>
      <c r="P25" s="84">
        <v>11625</v>
      </c>
      <c r="Q25" s="84">
        <v>10220</v>
      </c>
      <c r="R25" s="267">
        <v>7817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>
        <v>21717</v>
      </c>
      <c r="N26" s="84">
        <v>9518</v>
      </c>
      <c r="O26" s="84">
        <v>16292</v>
      </c>
      <c r="P26" s="84">
        <v>14426</v>
      </c>
      <c r="Q26" s="84">
        <v>13344</v>
      </c>
      <c r="R26" s="269">
        <v>21898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>
        <v>36033</v>
      </c>
      <c r="N27" s="84">
        <v>10653</v>
      </c>
      <c r="O27" s="84">
        <v>16678</v>
      </c>
      <c r="P27" s="84">
        <v>15282</v>
      </c>
      <c r="Q27" s="84">
        <v>10172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>
        <v>33456</v>
      </c>
      <c r="N28" s="84">
        <v>15345</v>
      </c>
      <c r="O28" s="84">
        <v>98241</v>
      </c>
      <c r="P28" s="84">
        <v>18125</v>
      </c>
      <c r="Q28" s="84">
        <v>28553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>
        <v>10052</v>
      </c>
      <c r="N29" s="84">
        <v>11313</v>
      </c>
      <c r="O29" s="84">
        <v>77804</v>
      </c>
      <c r="P29" s="84">
        <v>10886</v>
      </c>
      <c r="Q29" s="84">
        <v>13629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3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>
        <v>12059</v>
      </c>
      <c r="N30" s="84">
        <v>16247</v>
      </c>
      <c r="O30" s="84">
        <v>34115</v>
      </c>
      <c r="P30" s="84">
        <v>14119</v>
      </c>
      <c r="Q30" s="84">
        <v>25540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>
        <v>9875</v>
      </c>
      <c r="N31" s="84">
        <v>13755</v>
      </c>
      <c r="O31" s="84">
        <v>79036</v>
      </c>
      <c r="P31" s="84">
        <v>13087</v>
      </c>
      <c r="Q31" s="84">
        <v>13605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>
        <v>10322</v>
      </c>
      <c r="N32" s="92">
        <v>14771</v>
      </c>
      <c r="O32" s="92">
        <v>11620</v>
      </c>
      <c r="P32" s="92">
        <v>12096</v>
      </c>
      <c r="Q32" s="92">
        <v>10815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154458</v>
      </c>
      <c r="N33" s="168">
        <f>SUM(N21:N32)</f>
        <v>200764</v>
      </c>
      <c r="O33" s="168">
        <f>SUM(O21:O32)</f>
        <v>396395</v>
      </c>
      <c r="P33" s="168">
        <f>SUM(P21:P32)</f>
        <v>209067</v>
      </c>
      <c r="Q33" s="168">
        <f>SUM(Q21:Q32)</f>
        <v>204847</v>
      </c>
      <c r="R33" s="172">
        <f t="shared" ref="R33" si="1">SUM(R21:R32)</f>
        <v>72713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97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-39</v>
      </c>
      <c r="O37" s="174">
        <v>0</v>
      </c>
      <c r="P37" s="174">
        <v>-1</v>
      </c>
      <c r="Q37" s="174">
        <v>0</v>
      </c>
      <c r="R37" s="275">
        <v>-5520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-24495</v>
      </c>
      <c r="O38" s="84">
        <v>0</v>
      </c>
      <c r="P38" s="84">
        <v>0</v>
      </c>
      <c r="Q38" s="84">
        <v>-35</v>
      </c>
      <c r="R38" s="266">
        <v>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-52</v>
      </c>
      <c r="O39" s="84">
        <v>0</v>
      </c>
      <c r="P39" s="84">
        <v>0</v>
      </c>
      <c r="Q39" s="84">
        <v>0</v>
      </c>
      <c r="R39" s="276">
        <v>0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176">
        <v>0</v>
      </c>
      <c r="N40" s="84">
        <v>-4</v>
      </c>
      <c r="O40" s="84">
        <v>-10</v>
      </c>
      <c r="P40" s="84">
        <v>-915</v>
      </c>
      <c r="Q40" s="84">
        <v>-1993</v>
      </c>
      <c r="R40" s="266">
        <v>-611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>
        <v>0</v>
      </c>
      <c r="N41" s="84">
        <v>0</v>
      </c>
      <c r="O41" s="84">
        <v>7</v>
      </c>
      <c r="P41" s="84">
        <v>0</v>
      </c>
      <c r="Q41" s="84">
        <v>0</v>
      </c>
      <c r="R41" s="277">
        <v>-11359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>
        <v>0</v>
      </c>
      <c r="N42" s="84">
        <v>-6655</v>
      </c>
      <c r="O42" s="84">
        <v>0</v>
      </c>
      <c r="P42" s="84">
        <v>-37</v>
      </c>
      <c r="Q42" s="84">
        <v>-149</v>
      </c>
      <c r="R42" s="277">
        <v>0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>
        <v>0</v>
      </c>
      <c r="N43" s="84">
        <v>-1633</v>
      </c>
      <c r="O43" s="84">
        <v>-49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>
        <v>0</v>
      </c>
      <c r="N44" s="84">
        <v>-76</v>
      </c>
      <c r="O44" s="84">
        <v>-34</v>
      </c>
      <c r="P44" s="84">
        <v>0</v>
      </c>
      <c r="Q44" s="84">
        <v>-133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>
        <v>0</v>
      </c>
      <c r="N45" s="84">
        <v>0</v>
      </c>
      <c r="O45" s="84">
        <v>0</v>
      </c>
      <c r="P45" s="84">
        <v>0</v>
      </c>
      <c r="Q45" s="84">
        <v>-549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3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>
        <v>0</v>
      </c>
      <c r="N46" s="84">
        <v>0</v>
      </c>
      <c r="O46" s="84">
        <v>-895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>
        <v>-33</v>
      </c>
      <c r="N47" s="84">
        <v>0</v>
      </c>
      <c r="O47" s="84">
        <v>0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>
        <v>0</v>
      </c>
      <c r="N48" s="92">
        <v>0</v>
      </c>
      <c r="O48" s="92">
        <v>0</v>
      </c>
      <c r="P48" s="92">
        <v>-2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-33</v>
      </c>
      <c r="N49" s="168">
        <f>SUM(N37:N48)</f>
        <v>-32954</v>
      </c>
      <c r="O49" s="168">
        <f>SUM(O37:O48)</f>
        <v>-981</v>
      </c>
      <c r="P49" s="168">
        <f>SUM(P37:P48)</f>
        <v>-955</v>
      </c>
      <c r="Q49" s="168">
        <f>SUM(Q37:Q48)</f>
        <v>-2859</v>
      </c>
      <c r="R49" s="278">
        <f t="shared" ref="R49" si="2">SUM(R37:R48)</f>
        <v>-17490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  <row r="68" spans="1:10">
      <c r="A68" s="129"/>
      <c r="B68" s="129"/>
      <c r="C68" s="129"/>
      <c r="D68" s="129"/>
      <c r="E68" s="129"/>
      <c r="F68" s="129"/>
      <c r="G68" s="129"/>
      <c r="H68" s="129"/>
      <c r="I68" s="129"/>
      <c r="J68" s="129"/>
    </row>
  </sheetData>
  <mergeCells count="11">
    <mergeCell ref="A35:R35"/>
    <mergeCell ref="A50:R50"/>
    <mergeCell ref="A51:R51"/>
    <mergeCell ref="A52:R52"/>
    <mergeCell ref="A53:R53"/>
    <mergeCell ref="A34:R34"/>
    <mergeCell ref="A1:R1"/>
    <mergeCell ref="A2:R2"/>
    <mergeCell ref="A3:R3"/>
    <mergeCell ref="A18:R18"/>
    <mergeCell ref="A19:R19"/>
  </mergeCells>
  <pageMargins left="0" right="0" top="0.75" bottom="0.75" header="0.3" footer="0.3"/>
  <pageSetup scale="68" orientation="portrait" errors="blank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8">
    <pageSetUpPr fitToPage="1"/>
  </sheetPr>
  <dimension ref="A1:T54"/>
  <sheetViews>
    <sheetView showGridLines="0" zoomScaleNormal="10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 customWidth="1"/>
    <col min="2" max="14" width="12.5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47" t="s">
        <v>235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20" s="45" customFormat="1" ht="19">
      <c r="A2" s="346" t="str">
        <f>'Local SUT'!A2</f>
        <v>CY 2004-2020</v>
      </c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</row>
    <row r="3" spans="1:20" s="45" customFormat="1" ht="19">
      <c r="A3" s="342" t="s">
        <v>145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623312</v>
      </c>
      <c r="Q5" s="174">
        <v>779640</v>
      </c>
      <c r="R5" s="255">
        <v>1009665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441698</v>
      </c>
      <c r="Q6" s="84">
        <v>522180</v>
      </c>
      <c r="R6" s="256">
        <v>689074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529116</v>
      </c>
      <c r="Q7" s="84">
        <v>533525</v>
      </c>
      <c r="R7" s="257">
        <v>554218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522520</v>
      </c>
      <c r="Q8" s="84">
        <v>547674</v>
      </c>
      <c r="R8" s="257">
        <v>645195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445481</v>
      </c>
      <c r="Q9" s="84">
        <v>587767</v>
      </c>
      <c r="R9" s="258">
        <v>574624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545926</v>
      </c>
      <c r="Q10" s="84">
        <v>754345</v>
      </c>
      <c r="R10" s="259">
        <v>625914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490062</v>
      </c>
      <c r="Q11" s="84">
        <v>672105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633221</v>
      </c>
      <c r="Q12" s="84">
        <v>719859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598993</v>
      </c>
      <c r="Q13" s="84">
        <v>675203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76">
        <v>169</v>
      </c>
      <c r="P14" s="83">
        <v>560477</v>
      </c>
      <c r="Q14" s="83">
        <v>685939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411541</v>
      </c>
      <c r="P15" s="84">
        <v>573040</v>
      </c>
      <c r="Q15" s="84">
        <v>705539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451170</v>
      </c>
      <c r="P16" s="92">
        <v>611284</v>
      </c>
      <c r="Q16" s="92">
        <v>656676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862880</v>
      </c>
      <c r="P17" s="168">
        <f>SUM(P5:P16)</f>
        <v>6575130</v>
      </c>
      <c r="Q17" s="168">
        <f>SUM(Q5:Q16)</f>
        <v>7840452</v>
      </c>
      <c r="R17" s="172">
        <f t="shared" ref="R17" si="0">SUM(R5:R16)</f>
        <v>4098690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146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100166</v>
      </c>
      <c r="Q21" s="174">
        <v>49454</v>
      </c>
      <c r="R21" s="265">
        <v>62860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45810</v>
      </c>
      <c r="Q22" s="84">
        <v>98351</v>
      </c>
      <c r="R22" s="266">
        <v>63311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35696</v>
      </c>
      <c r="Q23" s="84">
        <v>47365</v>
      </c>
      <c r="R23" s="267">
        <v>59543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26660</v>
      </c>
      <c r="Q24" s="84">
        <v>87624</v>
      </c>
      <c r="R24" s="268">
        <v>52436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14376</v>
      </c>
      <c r="Q25" s="84">
        <v>67013</v>
      </c>
      <c r="R25" s="267">
        <v>45698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49514</v>
      </c>
      <c r="Q26" s="84">
        <v>134751</v>
      </c>
      <c r="R26" s="269">
        <v>-8136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26844</v>
      </c>
      <c r="Q27" s="84">
        <v>47121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154834</v>
      </c>
      <c r="Q28" s="84">
        <v>90645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37995</v>
      </c>
      <c r="Q29" s="84">
        <v>130292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76">
        <v>5</v>
      </c>
      <c r="P30" s="214">
        <v>34460</v>
      </c>
      <c r="Q30" s="214">
        <v>97197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15793</v>
      </c>
      <c r="P31" s="84">
        <v>63002</v>
      </c>
      <c r="Q31" s="84">
        <v>104301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13664</v>
      </c>
      <c r="P32" s="92">
        <v>52313</v>
      </c>
      <c r="Q32" s="92">
        <v>39862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29462</v>
      </c>
      <c r="P33" s="168">
        <f>SUM(P21:P32)</f>
        <v>641670</v>
      </c>
      <c r="Q33" s="168">
        <f>SUM(Q21:Q32)</f>
        <v>993976</v>
      </c>
      <c r="R33" s="172">
        <f t="shared" ref="R33" si="1">SUM(R21:R32)</f>
        <v>275712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147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-4</v>
      </c>
      <c r="Q37" s="174">
        <v>-67</v>
      </c>
      <c r="R37" s="275">
        <v>-1503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-1</v>
      </c>
      <c r="Q38" s="84">
        <v>-1</v>
      </c>
      <c r="R38" s="266">
        <v>-299053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-270</v>
      </c>
      <c r="R39" s="276">
        <v>-4912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-339</v>
      </c>
      <c r="R40" s="266">
        <v>-3978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-1812</v>
      </c>
      <c r="Q41" s="84">
        <v>0</v>
      </c>
      <c r="R41" s="277">
        <v>-142123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-1271</v>
      </c>
      <c r="Q42" s="84">
        <v>-1389</v>
      </c>
      <c r="R42" s="277">
        <v>-17843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-17</v>
      </c>
      <c r="Q43" s="84">
        <v>-5883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-4915</v>
      </c>
      <c r="Q44" s="84">
        <v>-3114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-88</v>
      </c>
      <c r="Q45" s="84">
        <v>-1103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76">
        <v>0</v>
      </c>
      <c r="P46" s="83">
        <v>-69</v>
      </c>
      <c r="Q46" s="83">
        <v>-158557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-213</v>
      </c>
      <c r="P47" s="84">
        <v>-3585</v>
      </c>
      <c r="Q47" s="84">
        <v>-2223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-3</v>
      </c>
      <c r="P48" s="92">
        <v>-18</v>
      </c>
      <c r="Q48" s="92">
        <v>-3824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-216</v>
      </c>
      <c r="P49" s="168">
        <f>SUM(P37:P48)</f>
        <v>-11780</v>
      </c>
      <c r="Q49" s="168">
        <f>SUM(Q37:Q48)</f>
        <v>-176770</v>
      </c>
      <c r="R49" s="278">
        <f t="shared" ref="R49" si="2">SUM(R37:R48)</f>
        <v>-469412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T1"/>
    <mergeCell ref="A2:R2"/>
    <mergeCell ref="A3:R3"/>
    <mergeCell ref="A18:R18"/>
    <mergeCell ref="A19:R19"/>
  </mergeCells>
  <pageMargins left="0.7" right="0.7" top="0.75" bottom="0.75" header="0.3" footer="0.3"/>
  <pageSetup scale="86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9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5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236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148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195645</v>
      </c>
      <c r="Q5" s="174">
        <v>228375</v>
      </c>
      <c r="R5" s="255">
        <v>268396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155589</v>
      </c>
      <c r="Q6" s="84">
        <v>189979</v>
      </c>
      <c r="R6" s="256">
        <v>204728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144923</v>
      </c>
      <c r="Q7" s="84">
        <v>180883</v>
      </c>
      <c r="R7" s="257">
        <v>196305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179396</v>
      </c>
      <c r="Q8" s="84">
        <v>216086</v>
      </c>
      <c r="R8" s="257">
        <v>222900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177499</v>
      </c>
      <c r="Q9" s="84">
        <v>214393</v>
      </c>
      <c r="R9" s="258">
        <v>561551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233166</v>
      </c>
      <c r="Q10" s="84">
        <v>266548</v>
      </c>
      <c r="R10" s="259">
        <v>287257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206467</v>
      </c>
      <c r="Q11" s="84">
        <v>266720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247811</v>
      </c>
      <c r="Q12" s="84">
        <v>272538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230321</v>
      </c>
      <c r="Q13" s="84">
        <v>261782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76">
        <v>171</v>
      </c>
      <c r="P14" s="84">
        <v>222981</v>
      </c>
      <c r="Q14" s="84">
        <v>269825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170558</v>
      </c>
      <c r="P15" s="84">
        <v>214068</v>
      </c>
      <c r="Q15" s="84">
        <v>251122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174366</v>
      </c>
      <c r="P16" s="92">
        <v>210932</v>
      </c>
      <c r="Q16" s="92">
        <v>249776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345095</v>
      </c>
      <c r="P17" s="168">
        <f>SUM(P5:P16)</f>
        <v>2418798</v>
      </c>
      <c r="Q17" s="168">
        <f>SUM(Q5:Q16)</f>
        <v>2868027</v>
      </c>
      <c r="R17" s="172">
        <f t="shared" ref="R17" si="0">SUM(R5:R16)</f>
        <v>1741137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149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10206</v>
      </c>
      <c r="Q21" s="174">
        <v>14843</v>
      </c>
      <c r="R21" s="265">
        <v>15090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10240</v>
      </c>
      <c r="Q22" s="84">
        <v>10998</v>
      </c>
      <c r="R22" s="266">
        <v>6615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9587</v>
      </c>
      <c r="Q23" s="84">
        <v>7891</v>
      </c>
      <c r="R23" s="267">
        <v>13605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12484</v>
      </c>
      <c r="Q24" s="84">
        <v>10830</v>
      </c>
      <c r="R24" s="268">
        <v>6933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10451</v>
      </c>
      <c r="Q25" s="84">
        <v>11140</v>
      </c>
      <c r="R25" s="267">
        <v>8143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18816</v>
      </c>
      <c r="Q26" s="84">
        <v>14326</v>
      </c>
      <c r="R26" s="269">
        <v>10262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14995</v>
      </c>
      <c r="Q27" s="84">
        <v>13157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10477</v>
      </c>
      <c r="Q28" s="84">
        <v>14797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15150</v>
      </c>
      <c r="Q29" s="84">
        <v>17094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76">
        <v>0</v>
      </c>
      <c r="P30" s="214">
        <v>10344</v>
      </c>
      <c r="Q30" s="214">
        <v>20480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8163</v>
      </c>
      <c r="P31" s="84">
        <v>12543</v>
      </c>
      <c r="Q31" s="84">
        <v>14653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7759</v>
      </c>
      <c r="P32" s="92">
        <v>11936</v>
      </c>
      <c r="Q32" s="92">
        <v>9705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15922</v>
      </c>
      <c r="P33" s="168">
        <f>SUM(P21:P32)</f>
        <v>147229</v>
      </c>
      <c r="Q33" s="168">
        <f>SUM(Q21:Q32)</f>
        <v>159914</v>
      </c>
      <c r="R33" s="172">
        <f t="shared" ref="R33" si="1">SUM(R21:R32)</f>
        <v>60648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150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-316</v>
      </c>
      <c r="R37" s="275">
        <v>-303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-187</v>
      </c>
      <c r="R38" s="266">
        <v>-1067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-121</v>
      </c>
      <c r="Q39" s="84">
        <v>-4239</v>
      </c>
      <c r="R39" s="276">
        <v>0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0</v>
      </c>
      <c r="R40" s="266">
        <v>-266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0</v>
      </c>
      <c r="R41" s="277">
        <v>-1192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-2133</v>
      </c>
      <c r="R42" s="277">
        <v>-2397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-2</v>
      </c>
      <c r="Q45" s="84">
        <v>-114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76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-1045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-16662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0</v>
      </c>
      <c r="P49" s="168">
        <f>SUM(P37:P48)</f>
        <v>-16785</v>
      </c>
      <c r="Q49" s="168">
        <f>SUM(Q37:Q48)</f>
        <v>-8034</v>
      </c>
      <c r="R49" s="278">
        <f t="shared" ref="R49" si="2">SUM(R37:R48)</f>
        <v>-5225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R51"/>
    <mergeCell ref="A52:R52"/>
    <mergeCell ref="A53:R53"/>
  </mergeCells>
  <pageMargins left="0.7" right="0.7" top="0.75" bottom="0.75" header="0.3" footer="0.3"/>
  <pageSetup scale="86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6640625" style="120" hidden="1" customWidth="1"/>
    <col min="15" max="15" width="12.6640625" style="120" bestFit="1" customWidth="1"/>
    <col min="16" max="17" width="13.5" style="120" bestFit="1" customWidth="1"/>
    <col min="18" max="18" width="13.6640625" style="81" bestFit="1" customWidth="1"/>
    <col min="19" max="16384" width="12.5" style="120"/>
  </cols>
  <sheetData>
    <row r="1" spans="1:20" s="44" customFormat="1" ht="21">
      <c r="A1" s="347" t="s">
        <v>225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151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1487078</v>
      </c>
      <c r="Q5" s="174">
        <v>1590648</v>
      </c>
      <c r="R5" s="255">
        <v>1727298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1138681</v>
      </c>
      <c r="Q6" s="84">
        <v>1193610</v>
      </c>
      <c r="R6" s="256">
        <v>1235175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1035856</v>
      </c>
      <c r="Q7" s="84">
        <v>1072098</v>
      </c>
      <c r="R7" s="257">
        <v>1190013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1208101</v>
      </c>
      <c r="Q8" s="84">
        <v>1310067</v>
      </c>
      <c r="R8" s="257">
        <v>1253015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1119966</v>
      </c>
      <c r="Q9" s="84">
        <v>1333993</v>
      </c>
      <c r="R9" s="258">
        <v>1202469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1404800</v>
      </c>
      <c r="Q10" s="84">
        <v>1450045</v>
      </c>
      <c r="R10" s="259">
        <v>1465333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1258040</v>
      </c>
      <c r="Q11" s="84">
        <v>1437109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1553366</v>
      </c>
      <c r="Q12" s="84">
        <v>1599018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1497021</v>
      </c>
      <c r="Q13" s="84">
        <v>1535620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76">
        <v>1353</v>
      </c>
      <c r="P14" s="84">
        <v>1331756</v>
      </c>
      <c r="Q14" s="84">
        <v>1474158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1169713</v>
      </c>
      <c r="P15" s="84">
        <v>1339229</v>
      </c>
      <c r="Q15" s="84">
        <v>1449065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1244482</v>
      </c>
      <c r="P16" s="92">
        <v>1379306</v>
      </c>
      <c r="Q16" s="92">
        <v>1393127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2415548</v>
      </c>
      <c r="P17" s="168">
        <f>SUM(P5:P16)</f>
        <v>15753200</v>
      </c>
      <c r="Q17" s="168">
        <f>SUM(Q5:Q16)</f>
        <v>16838558</v>
      </c>
      <c r="R17" s="172">
        <f t="shared" ref="R17" si="0">SUM(R5:R16)</f>
        <v>8073303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152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68581</v>
      </c>
      <c r="Q21" s="174">
        <v>93095</v>
      </c>
      <c r="R21" s="265">
        <v>83973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69936</v>
      </c>
      <c r="Q22" s="84">
        <v>78302</v>
      </c>
      <c r="R22" s="266">
        <v>66188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61820</v>
      </c>
      <c r="Q23" s="84">
        <v>52149</v>
      </c>
      <c r="R23" s="267">
        <v>62976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75290</v>
      </c>
      <c r="Q24" s="84">
        <v>66288</v>
      </c>
      <c r="R24" s="268">
        <v>62533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67334</v>
      </c>
      <c r="Q25" s="84">
        <v>62197</v>
      </c>
      <c r="R25" s="267">
        <v>63272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81008</v>
      </c>
      <c r="Q26" s="84">
        <v>76773</v>
      </c>
      <c r="R26" s="269">
        <v>63515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74048</v>
      </c>
      <c r="Q27" s="84">
        <v>76460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70347</v>
      </c>
      <c r="Q28" s="84">
        <v>72780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68064</v>
      </c>
      <c r="Q29" s="84">
        <v>73565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76">
        <v>22</v>
      </c>
      <c r="P30" s="84">
        <v>76262</v>
      </c>
      <c r="Q30" s="84">
        <v>80335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61581</v>
      </c>
      <c r="P31" s="84">
        <v>78343</v>
      </c>
      <c r="Q31" s="84">
        <v>83500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59842</v>
      </c>
      <c r="P32" s="92">
        <v>40851</v>
      </c>
      <c r="Q32" s="92">
        <v>63454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121445</v>
      </c>
      <c r="P33" s="168">
        <f>SUM(P21:P32)</f>
        <v>831884</v>
      </c>
      <c r="Q33" s="168">
        <f>SUM(Q21:Q32)</f>
        <v>878898</v>
      </c>
      <c r="R33" s="172">
        <f t="shared" ref="R33" si="1">SUM(R21:R32)</f>
        <v>402457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153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-207755</v>
      </c>
      <c r="R37" s="275">
        <v>-1766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-31</v>
      </c>
      <c r="Q38" s="84">
        <v>-140</v>
      </c>
      <c r="R38" s="266">
        <v>-4855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-33</v>
      </c>
      <c r="Q39" s="84">
        <v>-13876</v>
      </c>
      <c r="R39" s="276">
        <v>-5065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-8</v>
      </c>
      <c r="Q40" s="84">
        <v>-73802</v>
      </c>
      <c r="R40" s="266">
        <v>-3095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-575</v>
      </c>
      <c r="Q41" s="84">
        <v>-149</v>
      </c>
      <c r="R41" s="277">
        <v>-224672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-1100</v>
      </c>
      <c r="Q42" s="84">
        <v>-6418</v>
      </c>
      <c r="R42" s="277">
        <v>-24083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-2927</v>
      </c>
      <c r="Q43" s="84">
        <v>-237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-70</v>
      </c>
      <c r="Q44" s="84">
        <v>-1648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-150</v>
      </c>
      <c r="Q45" s="84">
        <v>-1345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76">
        <v>0</v>
      </c>
      <c r="P46" s="84">
        <v>-135</v>
      </c>
      <c r="Q46" s="84">
        <v>-750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-6</v>
      </c>
      <c r="P47" s="84">
        <v>-3869</v>
      </c>
      <c r="Q47" s="84">
        <v>-1848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-457</v>
      </c>
      <c r="Q48" s="92">
        <v>-789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-6</v>
      </c>
      <c r="P49" s="168">
        <f>SUM(P37:P48)</f>
        <v>-9355</v>
      </c>
      <c r="Q49" s="168">
        <f>SUM(Q37:Q48)</f>
        <v>-308757</v>
      </c>
      <c r="R49" s="278">
        <f t="shared" ref="R49" si="2">SUM(R37:R48)</f>
        <v>-263536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T1"/>
    <mergeCell ref="A2:R2"/>
    <mergeCell ref="A3:R3"/>
    <mergeCell ref="A18:R18"/>
    <mergeCell ref="A19:R19"/>
  </mergeCells>
  <pageMargins left="0.7" right="0.7" top="0.75" bottom="0.75" header="0.3" footer="0.3"/>
  <pageSetup scale="86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0" style="120" hidden="1" customWidth="1"/>
    <col min="12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35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174">
        <v>235315</v>
      </c>
      <c r="N5" s="174">
        <v>288703</v>
      </c>
      <c r="O5" s="174">
        <v>300566</v>
      </c>
      <c r="P5" s="174">
        <v>289391</v>
      </c>
      <c r="Q5" s="174">
        <v>300992</v>
      </c>
      <c r="R5" s="255">
        <v>324773</v>
      </c>
    </row>
    <row r="6" spans="1:18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>
        <v>189646</v>
      </c>
      <c r="N6" s="84">
        <v>204348</v>
      </c>
      <c r="O6" s="84">
        <v>212204</v>
      </c>
      <c r="P6" s="84">
        <v>215173</v>
      </c>
      <c r="Q6" s="84">
        <v>225959</v>
      </c>
      <c r="R6" s="256">
        <v>231739</v>
      </c>
    </row>
    <row r="7" spans="1:18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>
        <v>198651</v>
      </c>
      <c r="N7" s="84">
        <v>190908</v>
      </c>
      <c r="O7" s="84">
        <v>195312</v>
      </c>
      <c r="P7" s="84">
        <v>194433</v>
      </c>
      <c r="Q7" s="84">
        <v>210918</v>
      </c>
      <c r="R7" s="257">
        <v>225588</v>
      </c>
    </row>
    <row r="8" spans="1:18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>
        <v>223088</v>
      </c>
      <c r="N8" s="84">
        <v>225771</v>
      </c>
      <c r="O8" s="84">
        <v>233854</v>
      </c>
      <c r="P8" s="84">
        <v>242157</v>
      </c>
      <c r="Q8" s="84">
        <v>254627</v>
      </c>
      <c r="R8" s="257">
        <v>251149</v>
      </c>
    </row>
    <row r="9" spans="1:18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>
        <v>247518</v>
      </c>
      <c r="N9" s="84">
        <v>248961</v>
      </c>
      <c r="O9" s="84">
        <v>257305</v>
      </c>
      <c r="P9" s="84">
        <v>241777</v>
      </c>
      <c r="Q9" s="84">
        <v>263953</v>
      </c>
      <c r="R9" s="258">
        <v>273369</v>
      </c>
    </row>
    <row r="10" spans="1:18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>
        <v>275556</v>
      </c>
      <c r="N10" s="84">
        <v>275010</v>
      </c>
      <c r="O10" s="84">
        <v>296246</v>
      </c>
      <c r="P10" s="84">
        <v>311520</v>
      </c>
      <c r="Q10" s="84">
        <v>330205</v>
      </c>
      <c r="R10" s="259">
        <v>353403</v>
      </c>
    </row>
    <row r="11" spans="1:18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>
        <v>253404</v>
      </c>
      <c r="N11" s="84">
        <v>247982</v>
      </c>
      <c r="O11" s="84">
        <v>261793</v>
      </c>
      <c r="P11" s="84">
        <v>304357</v>
      </c>
      <c r="Q11" s="84">
        <v>328737</v>
      </c>
      <c r="R11" s="252" t="s">
        <v>176</v>
      </c>
    </row>
    <row r="12" spans="1:18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>
        <v>353078</v>
      </c>
      <c r="N12" s="84">
        <v>360510</v>
      </c>
      <c r="O12" s="84">
        <v>360748</v>
      </c>
      <c r="P12" s="84">
        <v>391810</v>
      </c>
      <c r="Q12" s="84">
        <v>391776</v>
      </c>
      <c r="R12" s="253" t="s">
        <v>176</v>
      </c>
    </row>
    <row r="13" spans="1:18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>
        <v>270589</v>
      </c>
      <c r="N13" s="84">
        <v>290653</v>
      </c>
      <c r="O13" s="84">
        <v>296169</v>
      </c>
      <c r="P13" s="84">
        <v>315265</v>
      </c>
      <c r="Q13" s="84">
        <v>335159</v>
      </c>
      <c r="R13" s="253" t="s">
        <v>176</v>
      </c>
    </row>
    <row r="14" spans="1:18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176">
        <v>36</v>
      </c>
      <c r="M14" s="84">
        <v>268810</v>
      </c>
      <c r="N14" s="84">
        <v>282045</v>
      </c>
      <c r="O14" s="84">
        <v>296793</v>
      </c>
      <c r="P14" s="84">
        <v>292317</v>
      </c>
      <c r="Q14" s="84">
        <v>321589</v>
      </c>
      <c r="R14" s="253" t="s">
        <v>176</v>
      </c>
    </row>
    <row r="15" spans="1:18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>
        <v>208637</v>
      </c>
      <c r="M15" s="84">
        <v>243824</v>
      </c>
      <c r="N15" s="84">
        <v>250128</v>
      </c>
      <c r="O15" s="84">
        <v>274204</v>
      </c>
      <c r="P15" s="84">
        <v>287614</v>
      </c>
      <c r="Q15" s="84">
        <v>292765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>
        <v>203852</v>
      </c>
      <c r="M16" s="92">
        <v>224376</v>
      </c>
      <c r="N16" s="92">
        <v>240447</v>
      </c>
      <c r="O16" s="92">
        <v>253635</v>
      </c>
      <c r="P16" s="92">
        <v>275182</v>
      </c>
      <c r="Q16" s="92">
        <v>270091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Q17" si="0">SUM(L5:L16)</f>
        <v>412525</v>
      </c>
      <c r="M17" s="168">
        <f t="shared" si="0"/>
        <v>2983855</v>
      </c>
      <c r="N17" s="168">
        <f t="shared" si="0"/>
        <v>3105466</v>
      </c>
      <c r="O17" s="168">
        <f t="shared" si="0"/>
        <v>3238829</v>
      </c>
      <c r="P17" s="168">
        <f t="shared" si="0"/>
        <v>3360996</v>
      </c>
      <c r="Q17" s="168">
        <f t="shared" si="0"/>
        <v>3526771</v>
      </c>
      <c r="R17" s="172">
        <f t="shared" ref="R17" si="1">SUM(R5:R16)</f>
        <v>1660021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36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174">
        <v>16896</v>
      </c>
      <c r="N21" s="174">
        <v>15801</v>
      </c>
      <c r="O21" s="174">
        <v>15287</v>
      </c>
      <c r="P21" s="174">
        <v>20523</v>
      </c>
      <c r="Q21" s="174">
        <v>32113</v>
      </c>
      <c r="R21" s="265">
        <v>15937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>
        <v>8824</v>
      </c>
      <c r="N22" s="84">
        <v>8036</v>
      </c>
      <c r="O22" s="84">
        <v>10003</v>
      </c>
      <c r="P22" s="84">
        <v>9357</v>
      </c>
      <c r="Q22" s="84">
        <v>8130</v>
      </c>
      <c r="R22" s="266">
        <v>9503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>
        <v>8349</v>
      </c>
      <c r="N23" s="84">
        <v>8307</v>
      </c>
      <c r="O23" s="84">
        <v>9897</v>
      </c>
      <c r="P23" s="84">
        <v>7146</v>
      </c>
      <c r="Q23" s="84">
        <v>10144</v>
      </c>
      <c r="R23" s="267">
        <v>9897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>
        <v>12239</v>
      </c>
      <c r="N24" s="84">
        <v>6586</v>
      </c>
      <c r="O24" s="84">
        <v>9203</v>
      </c>
      <c r="P24" s="84">
        <v>11404</v>
      </c>
      <c r="Q24" s="84">
        <v>10940</v>
      </c>
      <c r="R24" s="268">
        <v>7994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>
        <v>17884</v>
      </c>
      <c r="N25" s="84">
        <v>8742</v>
      </c>
      <c r="O25" s="84">
        <v>10198</v>
      </c>
      <c r="P25" s="84">
        <v>11520</v>
      </c>
      <c r="Q25" s="84">
        <v>11521</v>
      </c>
      <c r="R25" s="267">
        <v>8222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>
        <v>13345</v>
      </c>
      <c r="N26" s="84">
        <v>11003</v>
      </c>
      <c r="O26" s="84">
        <v>13535</v>
      </c>
      <c r="P26" s="84">
        <v>10290</v>
      </c>
      <c r="Q26" s="84">
        <v>13817</v>
      </c>
      <c r="R26" s="269">
        <v>4428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>
        <v>14370</v>
      </c>
      <c r="N27" s="84">
        <v>11346</v>
      </c>
      <c r="O27" s="84">
        <v>22457</v>
      </c>
      <c r="P27" s="84">
        <v>12631</v>
      </c>
      <c r="Q27" s="84">
        <v>14899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>
        <v>22854</v>
      </c>
      <c r="N28" s="84">
        <v>11631</v>
      </c>
      <c r="O28" s="84">
        <v>9762</v>
      </c>
      <c r="P28" s="84">
        <v>11406</v>
      </c>
      <c r="Q28" s="84">
        <v>14829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>
        <v>12470</v>
      </c>
      <c r="N29" s="84">
        <v>12877</v>
      </c>
      <c r="O29" s="84">
        <v>18659</v>
      </c>
      <c r="P29" s="84">
        <v>11634</v>
      </c>
      <c r="Q29" s="84">
        <v>13508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176">
        <v>0</v>
      </c>
      <c r="M30" s="84">
        <v>16104</v>
      </c>
      <c r="N30" s="84">
        <v>11704</v>
      </c>
      <c r="O30" s="84">
        <v>13508</v>
      </c>
      <c r="P30" s="84">
        <v>12888</v>
      </c>
      <c r="Q30" s="84">
        <v>11027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>
        <v>14160</v>
      </c>
      <c r="M31" s="84">
        <v>11292</v>
      </c>
      <c r="N31" s="84">
        <v>8502</v>
      </c>
      <c r="O31" s="84">
        <v>9027</v>
      </c>
      <c r="P31" s="84">
        <v>9797</v>
      </c>
      <c r="Q31" s="84">
        <v>13120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>
        <v>11960</v>
      </c>
      <c r="M32" s="92">
        <v>8603</v>
      </c>
      <c r="N32" s="92">
        <v>7976</v>
      </c>
      <c r="O32" s="92">
        <v>10154</v>
      </c>
      <c r="P32" s="92">
        <v>9436</v>
      </c>
      <c r="Q32" s="92">
        <v>9980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Q33" si="2">SUM(L21:L32)</f>
        <v>26120</v>
      </c>
      <c r="M33" s="168">
        <f t="shared" si="2"/>
        <v>163230</v>
      </c>
      <c r="N33" s="168">
        <f t="shared" si="2"/>
        <v>122511</v>
      </c>
      <c r="O33" s="168">
        <f t="shared" si="2"/>
        <v>151690</v>
      </c>
      <c r="P33" s="168">
        <f t="shared" si="2"/>
        <v>138032</v>
      </c>
      <c r="Q33" s="168">
        <f t="shared" si="2"/>
        <v>164028</v>
      </c>
      <c r="R33" s="172">
        <f t="shared" ref="R33" si="3">SUM(R21:R32)</f>
        <v>55981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101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174">
        <v>-7</v>
      </c>
      <c r="N37" s="174">
        <v>-2072</v>
      </c>
      <c r="O37" s="174">
        <v>-301</v>
      </c>
      <c r="P37" s="174">
        <v>-102</v>
      </c>
      <c r="Q37" s="174">
        <v>-121</v>
      </c>
      <c r="R37" s="275">
        <v>-6252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>
        <v>-91</v>
      </c>
      <c r="N38" s="84">
        <v>-166</v>
      </c>
      <c r="O38" s="84">
        <v>-299</v>
      </c>
      <c r="P38" s="84">
        <v>-8733</v>
      </c>
      <c r="Q38" s="84">
        <v>0</v>
      </c>
      <c r="R38" s="266">
        <v>-7511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>
        <v>-2281</v>
      </c>
      <c r="N39" s="84">
        <v>-2415</v>
      </c>
      <c r="O39" s="84">
        <v>6</v>
      </c>
      <c r="P39" s="84">
        <v>-5</v>
      </c>
      <c r="Q39" s="84">
        <v>0</v>
      </c>
      <c r="R39" s="276">
        <v>-5259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>
        <v>-1140</v>
      </c>
      <c r="N40" s="84">
        <v>-1580</v>
      </c>
      <c r="O40" s="84">
        <v>-2942</v>
      </c>
      <c r="P40" s="84">
        <v>-3</v>
      </c>
      <c r="Q40" s="84">
        <v>-23</v>
      </c>
      <c r="R40" s="266">
        <v>-383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>
        <v>-2771</v>
      </c>
      <c r="N41" s="84">
        <v>-84</v>
      </c>
      <c r="O41" s="84">
        <v>0</v>
      </c>
      <c r="P41" s="84">
        <v>-1358</v>
      </c>
      <c r="Q41" s="84">
        <v>0</v>
      </c>
      <c r="R41" s="277">
        <v>-643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>
        <v>-483</v>
      </c>
      <c r="N42" s="84">
        <v>-424</v>
      </c>
      <c r="O42" s="84">
        <v>-2620</v>
      </c>
      <c r="P42" s="84">
        <v>0</v>
      </c>
      <c r="Q42" s="84">
        <v>-956</v>
      </c>
      <c r="R42" s="277">
        <v>-2538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>
        <v>-4</v>
      </c>
      <c r="N43" s="84">
        <v>0</v>
      </c>
      <c r="O43" s="84">
        <v>-49</v>
      </c>
      <c r="P43" s="84">
        <v>0</v>
      </c>
      <c r="Q43" s="84">
        <v>-69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>
        <v>-85</v>
      </c>
      <c r="N44" s="84">
        <v>-4330</v>
      </c>
      <c r="O44" s="84">
        <v>-1434</v>
      </c>
      <c r="P44" s="84">
        <v>-13</v>
      </c>
      <c r="Q44" s="84">
        <v>-5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>
        <v>-8655</v>
      </c>
      <c r="N45" s="84">
        <v>-168</v>
      </c>
      <c r="O45" s="84">
        <v>-45</v>
      </c>
      <c r="P45" s="84">
        <v>0</v>
      </c>
      <c r="Q45" s="84">
        <v>-5795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176">
        <v>0</v>
      </c>
      <c r="M46" s="84">
        <v>-87</v>
      </c>
      <c r="N46" s="84">
        <v>-4</v>
      </c>
      <c r="O46" s="84">
        <v>-25313</v>
      </c>
      <c r="P46" s="84">
        <v>-2573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>
        <v>-70</v>
      </c>
      <c r="M47" s="84">
        <v>-3965</v>
      </c>
      <c r="N47" s="84">
        <v>-254</v>
      </c>
      <c r="O47" s="84">
        <v>0</v>
      </c>
      <c r="P47" s="84">
        <v>-2</v>
      </c>
      <c r="Q47" s="84">
        <v>-5108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>
        <v>-1</v>
      </c>
      <c r="M48" s="92">
        <v>-4</v>
      </c>
      <c r="N48" s="92">
        <v>0</v>
      </c>
      <c r="O48" s="92">
        <v>-2335</v>
      </c>
      <c r="P48" s="92">
        <v>-2775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Q49" si="4">SUM(L37:L48)</f>
        <v>-71</v>
      </c>
      <c r="M49" s="168">
        <f t="shared" si="4"/>
        <v>-19573</v>
      </c>
      <c r="N49" s="168">
        <f t="shared" si="4"/>
        <v>-11497</v>
      </c>
      <c r="O49" s="168">
        <f t="shared" si="4"/>
        <v>-35332</v>
      </c>
      <c r="P49" s="168">
        <f t="shared" si="4"/>
        <v>-15564</v>
      </c>
      <c r="Q49" s="168">
        <f t="shared" si="4"/>
        <v>-12077</v>
      </c>
      <c r="R49" s="278">
        <f t="shared" ref="R49" si="5">SUM(R37:R48)</f>
        <v>-22586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87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0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238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37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174">
        <v>8</v>
      </c>
      <c r="N5" s="174">
        <v>69732</v>
      </c>
      <c r="O5" s="174">
        <v>76955</v>
      </c>
      <c r="P5" s="174">
        <v>73345</v>
      </c>
      <c r="Q5" s="174">
        <v>78611</v>
      </c>
      <c r="R5" s="255">
        <v>85834</v>
      </c>
    </row>
    <row r="6" spans="1:18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>
        <v>40393</v>
      </c>
      <c r="N6" s="84">
        <v>55395</v>
      </c>
      <c r="O6" s="84">
        <v>55507</v>
      </c>
      <c r="P6" s="84">
        <v>64812</v>
      </c>
      <c r="Q6" s="84">
        <v>60266</v>
      </c>
      <c r="R6" s="256">
        <v>67702</v>
      </c>
    </row>
    <row r="7" spans="1:18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>
        <v>45067</v>
      </c>
      <c r="N7" s="84">
        <v>55573</v>
      </c>
      <c r="O7" s="84">
        <v>56665</v>
      </c>
      <c r="P7" s="84">
        <v>51761</v>
      </c>
      <c r="Q7" s="84">
        <v>51268</v>
      </c>
      <c r="R7" s="257">
        <v>60440</v>
      </c>
    </row>
    <row r="8" spans="1:18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>
        <v>62268</v>
      </c>
      <c r="N8" s="84">
        <v>63440</v>
      </c>
      <c r="O8" s="84">
        <v>60579</v>
      </c>
      <c r="P8" s="84">
        <v>59821</v>
      </c>
      <c r="Q8" s="84">
        <v>61433</v>
      </c>
      <c r="R8" s="257">
        <v>70018</v>
      </c>
    </row>
    <row r="9" spans="1:18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>
        <v>61393</v>
      </c>
      <c r="N9" s="84">
        <v>60703</v>
      </c>
      <c r="O9" s="84">
        <v>65134</v>
      </c>
      <c r="P9" s="84">
        <v>58350</v>
      </c>
      <c r="Q9" s="84">
        <v>63956</v>
      </c>
      <c r="R9" s="258">
        <v>70238</v>
      </c>
    </row>
    <row r="10" spans="1:18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>
        <v>68433</v>
      </c>
      <c r="N10" s="84">
        <v>68575</v>
      </c>
      <c r="O10" s="84">
        <v>70660</v>
      </c>
      <c r="P10" s="84">
        <v>77648</v>
      </c>
      <c r="Q10" s="84">
        <v>82766</v>
      </c>
      <c r="R10" s="259">
        <v>88473</v>
      </c>
    </row>
    <row r="11" spans="1:18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>
        <v>67948</v>
      </c>
      <c r="N11" s="84">
        <v>69232</v>
      </c>
      <c r="O11" s="84">
        <v>70600</v>
      </c>
      <c r="P11" s="84">
        <v>73254</v>
      </c>
      <c r="Q11" s="84">
        <v>79424</v>
      </c>
      <c r="R11" s="252" t="s">
        <v>176</v>
      </c>
    </row>
    <row r="12" spans="1:18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>
        <v>77668</v>
      </c>
      <c r="N12" s="84">
        <v>78211</v>
      </c>
      <c r="O12" s="84">
        <v>85774</v>
      </c>
      <c r="P12" s="84">
        <v>87203</v>
      </c>
      <c r="Q12" s="84">
        <v>90335</v>
      </c>
      <c r="R12" s="253" t="s">
        <v>176</v>
      </c>
    </row>
    <row r="13" spans="1:18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>
        <v>67809</v>
      </c>
      <c r="N13" s="84">
        <v>77484</v>
      </c>
      <c r="O13" s="84">
        <v>73557</v>
      </c>
      <c r="P13" s="84">
        <v>80916</v>
      </c>
      <c r="Q13" s="84">
        <v>80171</v>
      </c>
      <c r="R13" s="253" t="s">
        <v>176</v>
      </c>
    </row>
    <row r="14" spans="1:18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>
        <v>80619</v>
      </c>
      <c r="N14" s="84">
        <v>78803</v>
      </c>
      <c r="O14" s="84">
        <v>82724</v>
      </c>
      <c r="P14" s="84">
        <v>92467</v>
      </c>
      <c r="Q14" s="84">
        <v>88536</v>
      </c>
      <c r="R14" s="253" t="s">
        <v>176</v>
      </c>
    </row>
    <row r="15" spans="1:18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>
        <v>64110</v>
      </c>
      <c r="N15" s="84">
        <v>67249</v>
      </c>
      <c r="O15" s="84">
        <v>67915</v>
      </c>
      <c r="P15" s="84">
        <v>76471</v>
      </c>
      <c r="Q15" s="84">
        <v>80512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>
        <v>63235</v>
      </c>
      <c r="N16" s="92">
        <v>65751</v>
      </c>
      <c r="O16" s="92">
        <v>65307</v>
      </c>
      <c r="P16" s="92">
        <v>74783</v>
      </c>
      <c r="Q16" s="92">
        <v>76253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698951</v>
      </c>
      <c r="N17" s="168">
        <f>SUM(N5:N16)</f>
        <v>810148</v>
      </c>
      <c r="O17" s="168">
        <f>SUM(O5:O16)</f>
        <v>831377</v>
      </c>
      <c r="P17" s="168">
        <f>SUM(P5:P16)</f>
        <v>870831</v>
      </c>
      <c r="Q17" s="168">
        <f>SUM(Q5:Q16)</f>
        <v>893531</v>
      </c>
      <c r="R17" s="172">
        <f t="shared" ref="R17" si="0">SUM(R5:R16)</f>
        <v>442705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38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174">
        <v>0</v>
      </c>
      <c r="N21" s="174">
        <v>2552</v>
      </c>
      <c r="O21" s="174">
        <v>3305</v>
      </c>
      <c r="P21" s="174">
        <v>9374</v>
      </c>
      <c r="Q21" s="174">
        <v>9767</v>
      </c>
      <c r="R21" s="265">
        <v>9682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>
        <v>1062</v>
      </c>
      <c r="N22" s="84">
        <v>4413</v>
      </c>
      <c r="O22" s="84">
        <v>2798</v>
      </c>
      <c r="P22" s="84">
        <v>3078</v>
      </c>
      <c r="Q22" s="84">
        <v>6253</v>
      </c>
      <c r="R22" s="266">
        <v>6507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>
        <v>1354</v>
      </c>
      <c r="N23" s="84">
        <v>3925</v>
      </c>
      <c r="O23" s="84">
        <v>2082</v>
      </c>
      <c r="P23" s="84">
        <v>2276</v>
      </c>
      <c r="Q23" s="84">
        <v>7527</v>
      </c>
      <c r="R23" s="267">
        <v>2017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>
        <v>1560</v>
      </c>
      <c r="N24" s="84">
        <v>3194</v>
      </c>
      <c r="O24" s="84">
        <v>4344</v>
      </c>
      <c r="P24" s="84">
        <v>2398</v>
      </c>
      <c r="Q24" s="84">
        <v>6442</v>
      </c>
      <c r="R24" s="268">
        <v>2788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>
        <v>1041</v>
      </c>
      <c r="N25" s="84">
        <v>3136</v>
      </c>
      <c r="O25" s="84">
        <v>4175</v>
      </c>
      <c r="P25" s="84">
        <v>2129</v>
      </c>
      <c r="Q25" s="84">
        <v>4492</v>
      </c>
      <c r="R25" s="267">
        <v>7203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>
        <v>1263</v>
      </c>
      <c r="N26" s="84">
        <v>1984</v>
      </c>
      <c r="O26" s="84">
        <v>4939</v>
      </c>
      <c r="P26" s="84">
        <v>5944</v>
      </c>
      <c r="Q26" s="84">
        <v>4157</v>
      </c>
      <c r="R26" s="269">
        <v>15544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>
        <v>2094</v>
      </c>
      <c r="N27" s="84">
        <v>4294</v>
      </c>
      <c r="O27" s="84">
        <v>2141</v>
      </c>
      <c r="P27" s="84">
        <v>3068</v>
      </c>
      <c r="Q27" s="84">
        <v>4772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>
        <v>3748</v>
      </c>
      <c r="N28" s="84">
        <v>3788</v>
      </c>
      <c r="O28" s="84">
        <v>4450</v>
      </c>
      <c r="P28" s="84">
        <v>3462</v>
      </c>
      <c r="Q28" s="84">
        <v>5430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>
        <v>4561</v>
      </c>
      <c r="N29" s="84">
        <v>3100</v>
      </c>
      <c r="O29" s="84">
        <v>6255</v>
      </c>
      <c r="P29" s="84">
        <v>2786</v>
      </c>
      <c r="Q29" s="84">
        <v>6026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>
        <v>4655</v>
      </c>
      <c r="N30" s="84">
        <v>4343</v>
      </c>
      <c r="O30" s="84">
        <v>3081</v>
      </c>
      <c r="P30" s="84">
        <v>3942</v>
      </c>
      <c r="Q30" s="84">
        <v>5087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>
        <v>3198</v>
      </c>
      <c r="N31" s="84">
        <v>3140</v>
      </c>
      <c r="O31" s="84">
        <v>3706</v>
      </c>
      <c r="P31" s="84">
        <v>2761</v>
      </c>
      <c r="Q31" s="84">
        <v>3595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>
        <v>3062</v>
      </c>
      <c r="N32" s="92">
        <v>2266</v>
      </c>
      <c r="O32" s="92">
        <v>3045</v>
      </c>
      <c r="P32" s="92">
        <v>2510</v>
      </c>
      <c r="Q32" s="92">
        <v>5886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27598</v>
      </c>
      <c r="N33" s="168">
        <f>SUM(N21:N32)</f>
        <v>40135</v>
      </c>
      <c r="O33" s="168">
        <f>SUM(O21:O32)</f>
        <v>44321</v>
      </c>
      <c r="P33" s="168">
        <f>SUM(P21:P32)</f>
        <v>43728</v>
      </c>
      <c r="Q33" s="168">
        <f>SUM(Q21:Q32)</f>
        <v>69434</v>
      </c>
      <c r="R33" s="172">
        <f t="shared" ref="R33" si="1">SUM(R21:R32)</f>
        <v>43741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102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174">
        <v>0</v>
      </c>
      <c r="N37" s="174">
        <v>0</v>
      </c>
      <c r="O37" s="174">
        <v>0</v>
      </c>
      <c r="P37" s="174">
        <v>0</v>
      </c>
      <c r="Q37" s="174">
        <v>-3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>
        <v>0</v>
      </c>
      <c r="N38" s="84">
        <v>-891</v>
      </c>
      <c r="O38" s="84">
        <v>-7333</v>
      </c>
      <c r="P38" s="84">
        <v>-1026</v>
      </c>
      <c r="Q38" s="84">
        <v>0</v>
      </c>
      <c r="R38" s="266">
        <v>-4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>
        <v>0</v>
      </c>
      <c r="N39" s="84">
        <v>-51</v>
      </c>
      <c r="O39" s="84">
        <v>0</v>
      </c>
      <c r="P39" s="84">
        <v>0</v>
      </c>
      <c r="Q39" s="84">
        <v>-804</v>
      </c>
      <c r="R39" s="276">
        <v>0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>
        <v>0</v>
      </c>
      <c r="N40" s="84">
        <v>-216</v>
      </c>
      <c r="O40" s="84">
        <v>-6</v>
      </c>
      <c r="P40" s="84">
        <v>-2</v>
      </c>
      <c r="Q40" s="84">
        <v>-4</v>
      </c>
      <c r="R40" s="266">
        <v>-15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>
        <v>0</v>
      </c>
      <c r="N41" s="84">
        <v>0</v>
      </c>
      <c r="O41" s="84">
        <v>-62</v>
      </c>
      <c r="P41" s="84">
        <v>0</v>
      </c>
      <c r="Q41" s="84">
        <v>0</v>
      </c>
      <c r="R41" s="277">
        <v>-188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>
        <v>0</v>
      </c>
      <c r="N42" s="84">
        <v>-476</v>
      </c>
      <c r="O42" s="84">
        <v>0</v>
      </c>
      <c r="P42" s="84">
        <v>0</v>
      </c>
      <c r="Q42" s="84">
        <v>0</v>
      </c>
      <c r="R42" s="277">
        <v>0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>
        <v>0</v>
      </c>
      <c r="N43" s="84">
        <v>0</v>
      </c>
      <c r="O43" s="84">
        <v>0</v>
      </c>
      <c r="P43" s="84">
        <v>0</v>
      </c>
      <c r="Q43" s="84">
        <v>-105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>
        <v>0</v>
      </c>
      <c r="N44" s="84">
        <v>0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>
        <v>0</v>
      </c>
      <c r="N45" s="84">
        <v>-72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>
        <v>0</v>
      </c>
      <c r="N46" s="84">
        <v>0</v>
      </c>
      <c r="O46" s="84">
        <v>-63</v>
      </c>
      <c r="P46" s="84">
        <v>-177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>
        <v>0</v>
      </c>
      <c r="N47" s="84">
        <v>0</v>
      </c>
      <c r="O47" s="84">
        <v>0</v>
      </c>
      <c r="P47" s="84">
        <v>0</v>
      </c>
      <c r="Q47" s="84">
        <v>-4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>
        <v>0</v>
      </c>
      <c r="N48" s="92">
        <v>0</v>
      </c>
      <c r="O48" s="92">
        <v>0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v>0</v>
      </c>
      <c r="N49" s="168">
        <f>SUM(N37:N48)</f>
        <v>-1706</v>
      </c>
      <c r="O49" s="168">
        <f>SUM(O37:O48)</f>
        <v>-7464</v>
      </c>
      <c r="P49" s="168">
        <f>SUM(P37:P48)</f>
        <v>-1205</v>
      </c>
      <c r="Q49" s="168">
        <f>SUM(Q37:Q48)</f>
        <v>-920</v>
      </c>
      <c r="R49" s="278">
        <f t="shared" ref="R49" si="2">SUM(R37:R48)</f>
        <v>-207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R1"/>
    <mergeCell ref="A2:R2"/>
    <mergeCell ref="A3:R3"/>
    <mergeCell ref="A18:R18"/>
    <mergeCell ref="A19:R19"/>
  </mergeCells>
  <pageMargins left="0" right="0" top="0.75" bottom="0.75" header="0.3" footer="0.3"/>
  <pageSetup scale="87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4">
    <pageSetUpPr fitToPage="1"/>
  </sheetPr>
  <dimension ref="A1:P50"/>
  <sheetViews>
    <sheetView workbookViewId="0">
      <selection sqref="A1:P1"/>
    </sheetView>
  </sheetViews>
  <sheetFormatPr baseColWidth="10" defaultColWidth="8.83203125" defaultRowHeight="15"/>
  <cols>
    <col min="2" max="2" width="7.33203125" hidden="1" customWidth="1"/>
    <col min="3" max="4" width="8.33203125" hidden="1" customWidth="1"/>
    <col min="5" max="5" width="8.6640625" hidden="1" customWidth="1"/>
    <col min="6" max="9" width="8.83203125" hidden="1" customWidth="1"/>
    <col min="10" max="14" width="9.6640625" customWidth="1"/>
    <col min="15" max="16" width="10.33203125" customWidth="1"/>
  </cols>
  <sheetData>
    <row r="1" spans="1:16" ht="17.25" customHeight="1">
      <c r="A1" s="350" t="s">
        <v>180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</row>
    <row r="2" spans="1:16" ht="17.25" customHeight="1">
      <c r="A2" s="350" t="str">
        <f>'Local SUT'!A2:M2</f>
        <v>CY 2004-2020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</row>
    <row r="3" spans="1:16" ht="26.25" customHeight="1">
      <c r="A3" s="349" t="s">
        <v>181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</row>
    <row r="4" spans="1:16">
      <c r="A4" s="11" t="s">
        <v>0</v>
      </c>
      <c r="B4" s="11">
        <v>2004</v>
      </c>
      <c r="C4" s="11">
        <v>2005</v>
      </c>
      <c r="D4" s="11">
        <v>2006</v>
      </c>
      <c r="E4" s="11">
        <v>2007</v>
      </c>
      <c r="F4" s="11">
        <v>2008</v>
      </c>
      <c r="G4" s="11">
        <v>2009</v>
      </c>
      <c r="H4" s="11">
        <v>2010</v>
      </c>
      <c r="I4" s="11">
        <v>2011</v>
      </c>
      <c r="J4" s="12">
        <v>2012</v>
      </c>
      <c r="K4" s="12">
        <v>2013</v>
      </c>
      <c r="L4" s="12">
        <v>2014</v>
      </c>
      <c r="M4" s="12">
        <v>2015</v>
      </c>
      <c r="N4" s="12">
        <v>2016</v>
      </c>
      <c r="O4" s="2">
        <v>2017</v>
      </c>
      <c r="P4" s="2">
        <v>2018</v>
      </c>
    </row>
    <row r="5" spans="1:16">
      <c r="A5" s="13" t="s">
        <v>1</v>
      </c>
      <c r="B5" s="14"/>
      <c r="C5" s="14"/>
      <c r="D5" s="15"/>
      <c r="E5" s="15"/>
      <c r="F5" s="15"/>
      <c r="G5" s="15"/>
      <c r="H5" s="15"/>
      <c r="I5" s="15"/>
      <c r="J5" s="16" t="s">
        <v>176</v>
      </c>
      <c r="K5" s="16" t="s">
        <v>176</v>
      </c>
      <c r="L5" s="16" t="s">
        <v>176</v>
      </c>
      <c r="M5" s="16" t="s">
        <v>176</v>
      </c>
      <c r="N5" s="16" t="s">
        <v>176</v>
      </c>
      <c r="O5" s="16" t="s">
        <v>176</v>
      </c>
      <c r="P5" s="15">
        <v>0</v>
      </c>
    </row>
    <row r="6" spans="1:16">
      <c r="A6" s="13" t="s">
        <v>2</v>
      </c>
      <c r="B6" s="17"/>
      <c r="C6" s="17"/>
      <c r="D6" s="18"/>
      <c r="E6" s="18"/>
      <c r="F6" s="18"/>
      <c r="G6" s="18"/>
      <c r="H6" s="18"/>
      <c r="I6" s="18"/>
      <c r="J6" s="19" t="s">
        <v>176</v>
      </c>
      <c r="K6" s="19" t="s">
        <v>176</v>
      </c>
      <c r="L6" s="19" t="s">
        <v>176</v>
      </c>
      <c r="M6" s="19" t="s">
        <v>176</v>
      </c>
      <c r="N6" s="19" t="s">
        <v>176</v>
      </c>
      <c r="O6" s="19" t="s">
        <v>176</v>
      </c>
      <c r="P6" s="18">
        <v>22041</v>
      </c>
    </row>
    <row r="7" spans="1:16">
      <c r="A7" s="13" t="s">
        <v>3</v>
      </c>
      <c r="B7" s="17"/>
      <c r="C7" s="17"/>
      <c r="D7" s="18"/>
      <c r="E7" s="18"/>
      <c r="F7" s="18"/>
      <c r="G7" s="18"/>
      <c r="H7" s="18"/>
      <c r="I7" s="18"/>
      <c r="J7" s="19" t="s">
        <v>176</v>
      </c>
      <c r="K7" s="19" t="s">
        <v>176</v>
      </c>
      <c r="L7" s="19" t="s">
        <v>176</v>
      </c>
      <c r="M7" s="19" t="s">
        <v>176</v>
      </c>
      <c r="N7" s="19" t="s">
        <v>176</v>
      </c>
      <c r="O7" s="19" t="s">
        <v>176</v>
      </c>
      <c r="P7" s="18">
        <v>11320</v>
      </c>
    </row>
    <row r="8" spans="1:16">
      <c r="A8" s="13" t="s">
        <v>4</v>
      </c>
      <c r="B8" s="17"/>
      <c r="C8" s="17"/>
      <c r="D8" s="18"/>
      <c r="E8" s="18"/>
      <c r="F8" s="18"/>
      <c r="G8" s="18"/>
      <c r="H8" s="18"/>
      <c r="I8" s="18"/>
      <c r="J8" s="19" t="s">
        <v>176</v>
      </c>
      <c r="K8" s="19" t="s">
        <v>176</v>
      </c>
      <c r="L8" s="19" t="s">
        <v>176</v>
      </c>
      <c r="M8" s="19" t="s">
        <v>176</v>
      </c>
      <c r="N8" s="19" t="s">
        <v>176</v>
      </c>
      <c r="O8" s="19" t="s">
        <v>176</v>
      </c>
      <c r="P8" s="18">
        <v>13429</v>
      </c>
    </row>
    <row r="9" spans="1:16">
      <c r="A9" s="13" t="s">
        <v>5</v>
      </c>
      <c r="B9" s="17"/>
      <c r="C9" s="17"/>
      <c r="D9" s="18"/>
      <c r="E9" s="18"/>
      <c r="F9" s="18"/>
      <c r="G9" s="18"/>
      <c r="H9" s="18"/>
      <c r="I9" s="18"/>
      <c r="J9" s="19" t="s">
        <v>176</v>
      </c>
      <c r="K9" s="19" t="s">
        <v>176</v>
      </c>
      <c r="L9" s="19" t="s">
        <v>176</v>
      </c>
      <c r="M9" s="19" t="s">
        <v>176</v>
      </c>
      <c r="N9" s="19" t="s">
        <v>176</v>
      </c>
      <c r="O9" s="19" t="s">
        <v>176</v>
      </c>
      <c r="P9" s="18">
        <v>9313</v>
      </c>
    </row>
    <row r="10" spans="1:16">
      <c r="A10" s="13" t="s">
        <v>6</v>
      </c>
      <c r="B10" s="17"/>
      <c r="C10" s="17"/>
      <c r="D10" s="18"/>
      <c r="E10" s="18"/>
      <c r="F10" s="18"/>
      <c r="G10" s="18"/>
      <c r="H10" s="18"/>
      <c r="I10" s="18"/>
      <c r="J10" s="19" t="s">
        <v>176</v>
      </c>
      <c r="K10" s="19" t="s">
        <v>176</v>
      </c>
      <c r="L10" s="19" t="s">
        <v>176</v>
      </c>
      <c r="M10" s="19" t="s">
        <v>176</v>
      </c>
      <c r="N10" s="19" t="s">
        <v>176</v>
      </c>
      <c r="O10" s="19" t="s">
        <v>176</v>
      </c>
      <c r="P10" s="18">
        <v>13150</v>
      </c>
    </row>
    <row r="11" spans="1:16">
      <c r="A11" s="13" t="s">
        <v>7</v>
      </c>
      <c r="B11" s="17"/>
      <c r="C11" s="17"/>
      <c r="D11" s="18"/>
      <c r="E11" s="18"/>
      <c r="F11" s="18"/>
      <c r="G11" s="18"/>
      <c r="H11" s="18"/>
      <c r="I11" s="18"/>
      <c r="J11" s="19" t="s">
        <v>176</v>
      </c>
      <c r="K11" s="19" t="s">
        <v>176</v>
      </c>
      <c r="L11" s="19" t="s">
        <v>176</v>
      </c>
      <c r="M11" s="19" t="s">
        <v>176</v>
      </c>
      <c r="N11" s="19" t="s">
        <v>176</v>
      </c>
      <c r="O11" s="19" t="s">
        <v>176</v>
      </c>
      <c r="P11" s="18"/>
    </row>
    <row r="12" spans="1:16">
      <c r="A12" s="13" t="s">
        <v>8</v>
      </c>
      <c r="B12" s="17"/>
      <c r="C12" s="17"/>
      <c r="D12" s="18"/>
      <c r="E12" s="18"/>
      <c r="F12" s="18"/>
      <c r="G12" s="18"/>
      <c r="H12" s="18"/>
      <c r="I12" s="18"/>
      <c r="J12" s="19" t="s">
        <v>176</v>
      </c>
      <c r="K12" s="19" t="s">
        <v>176</v>
      </c>
      <c r="L12" s="19" t="s">
        <v>176</v>
      </c>
      <c r="M12" s="19" t="s">
        <v>176</v>
      </c>
      <c r="N12" s="19" t="s">
        <v>176</v>
      </c>
      <c r="O12" s="19" t="s">
        <v>176</v>
      </c>
      <c r="P12" s="18"/>
    </row>
    <row r="13" spans="1:16">
      <c r="A13" s="13" t="s">
        <v>9</v>
      </c>
      <c r="B13" s="17"/>
      <c r="C13" s="17"/>
      <c r="D13" s="18"/>
      <c r="E13" s="18"/>
      <c r="F13" s="18"/>
      <c r="G13" s="18"/>
      <c r="H13" s="18"/>
      <c r="I13" s="18"/>
      <c r="J13" s="19" t="s">
        <v>176</v>
      </c>
      <c r="K13" s="19" t="s">
        <v>176</v>
      </c>
      <c r="L13" s="19" t="s">
        <v>176</v>
      </c>
      <c r="M13" s="19" t="s">
        <v>176</v>
      </c>
      <c r="N13" s="19" t="s">
        <v>176</v>
      </c>
      <c r="O13" s="19" t="s">
        <v>176</v>
      </c>
      <c r="P13" s="18"/>
    </row>
    <row r="14" spans="1:16">
      <c r="A14" s="13" t="s">
        <v>10</v>
      </c>
      <c r="B14" s="17"/>
      <c r="C14" s="17"/>
      <c r="D14" s="18"/>
      <c r="E14" s="18"/>
      <c r="F14" s="18"/>
      <c r="G14" s="18"/>
      <c r="H14" s="18"/>
      <c r="I14" s="18"/>
      <c r="J14" s="19" t="s">
        <v>176</v>
      </c>
      <c r="K14" s="19" t="s">
        <v>176</v>
      </c>
      <c r="L14" s="19" t="s">
        <v>176</v>
      </c>
      <c r="M14" s="19" t="s">
        <v>176</v>
      </c>
      <c r="N14" s="19" t="s">
        <v>176</v>
      </c>
      <c r="O14" s="19" t="s">
        <v>176</v>
      </c>
      <c r="P14" s="18"/>
    </row>
    <row r="15" spans="1:16">
      <c r="A15" s="13" t="s">
        <v>11</v>
      </c>
      <c r="B15" s="17"/>
      <c r="C15" s="17"/>
      <c r="D15" s="18"/>
      <c r="E15" s="18"/>
      <c r="F15" s="19"/>
      <c r="G15" s="18"/>
      <c r="H15" s="18"/>
      <c r="I15" s="18"/>
      <c r="J15" s="19" t="s">
        <v>176</v>
      </c>
      <c r="K15" s="19" t="s">
        <v>176</v>
      </c>
      <c r="L15" s="19" t="s">
        <v>176</v>
      </c>
      <c r="M15" s="19" t="s">
        <v>176</v>
      </c>
      <c r="N15" s="19" t="s">
        <v>176</v>
      </c>
      <c r="O15" s="19" t="s">
        <v>176</v>
      </c>
      <c r="P15" s="18"/>
    </row>
    <row r="16" spans="1:16" ht="16" thickBot="1">
      <c r="A16" s="20" t="s">
        <v>13</v>
      </c>
      <c r="B16" s="21"/>
      <c r="C16" s="21"/>
      <c r="D16" s="21"/>
      <c r="E16" s="21"/>
      <c r="F16" s="21"/>
      <c r="G16" s="22"/>
      <c r="H16" s="22"/>
      <c r="I16" s="22"/>
      <c r="J16" s="23" t="s">
        <v>176</v>
      </c>
      <c r="K16" s="23" t="s">
        <v>176</v>
      </c>
      <c r="L16" s="23" t="s">
        <v>176</v>
      </c>
      <c r="M16" s="23" t="s">
        <v>176</v>
      </c>
      <c r="N16" s="23" t="s">
        <v>176</v>
      </c>
      <c r="O16" s="8" t="s">
        <v>176</v>
      </c>
      <c r="P16" s="3"/>
    </row>
    <row r="17" spans="1:16" ht="16" thickTop="1">
      <c r="A17" s="24" t="s">
        <v>14</v>
      </c>
      <c r="B17" s="25"/>
      <c r="C17" s="25"/>
      <c r="D17" s="25"/>
      <c r="E17" s="25"/>
      <c r="F17" s="25"/>
      <c r="G17" s="25"/>
      <c r="H17" s="25"/>
      <c r="I17" s="25"/>
      <c r="J17" s="26" t="s">
        <v>176</v>
      </c>
      <c r="K17" s="26" t="s">
        <v>176</v>
      </c>
      <c r="L17" s="26" t="s">
        <v>176</v>
      </c>
      <c r="M17" s="26" t="s">
        <v>176</v>
      </c>
      <c r="N17" s="26" t="s">
        <v>176</v>
      </c>
      <c r="O17" s="10" t="s">
        <v>176</v>
      </c>
      <c r="P17" s="4">
        <f>SUM(P5:P16)</f>
        <v>69253</v>
      </c>
    </row>
    <row r="18" spans="1:16" ht="30" customHeight="1">
      <c r="A18" s="351" t="s">
        <v>183</v>
      </c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</row>
    <row r="19" spans="1:16">
      <c r="A19" s="11" t="s">
        <v>0</v>
      </c>
      <c r="B19" s="27">
        <v>2004</v>
      </c>
      <c r="C19" s="27">
        <v>2005</v>
      </c>
      <c r="D19" s="27">
        <v>2006</v>
      </c>
      <c r="E19" s="27">
        <v>2007</v>
      </c>
      <c r="F19" s="27">
        <v>2008</v>
      </c>
      <c r="G19" s="27">
        <v>2009</v>
      </c>
      <c r="H19" s="27">
        <v>2010</v>
      </c>
      <c r="I19" s="27">
        <v>2011</v>
      </c>
      <c r="J19" s="27">
        <v>2012</v>
      </c>
      <c r="K19" s="27">
        <v>2013</v>
      </c>
      <c r="L19" s="27">
        <v>2014</v>
      </c>
      <c r="M19" s="27">
        <v>2015</v>
      </c>
      <c r="N19" s="27">
        <v>2016</v>
      </c>
      <c r="O19" s="5">
        <v>2017</v>
      </c>
      <c r="P19" s="5">
        <v>2018</v>
      </c>
    </row>
    <row r="20" spans="1:16">
      <c r="A20" s="13" t="s">
        <v>1</v>
      </c>
      <c r="B20" s="15"/>
      <c r="C20" s="15"/>
      <c r="D20" s="15"/>
      <c r="E20" s="15"/>
      <c r="F20" s="15"/>
      <c r="G20" s="15"/>
      <c r="H20" s="15"/>
      <c r="I20" s="15"/>
      <c r="J20" s="16" t="s">
        <v>176</v>
      </c>
      <c r="K20" s="16" t="s">
        <v>176</v>
      </c>
      <c r="L20" s="16" t="s">
        <v>176</v>
      </c>
      <c r="M20" s="16" t="s">
        <v>176</v>
      </c>
      <c r="N20" s="16" t="s">
        <v>176</v>
      </c>
      <c r="O20" s="16" t="s">
        <v>176</v>
      </c>
      <c r="P20" s="15">
        <v>0</v>
      </c>
    </row>
    <row r="21" spans="1:16">
      <c r="A21" s="13" t="s">
        <v>2</v>
      </c>
      <c r="B21" s="18"/>
      <c r="C21" s="18"/>
      <c r="D21" s="18"/>
      <c r="E21" s="18"/>
      <c r="F21" s="18"/>
      <c r="G21" s="18"/>
      <c r="H21" s="18"/>
      <c r="I21" s="18"/>
      <c r="J21" s="19" t="s">
        <v>176</v>
      </c>
      <c r="K21" s="19" t="s">
        <v>176</v>
      </c>
      <c r="L21" s="19" t="s">
        <v>176</v>
      </c>
      <c r="M21" s="19" t="s">
        <v>176</v>
      </c>
      <c r="N21" s="19" t="s">
        <v>176</v>
      </c>
      <c r="O21" s="19" t="s">
        <v>176</v>
      </c>
      <c r="P21" s="18">
        <v>88</v>
      </c>
    </row>
    <row r="22" spans="1:16">
      <c r="A22" s="13" t="s">
        <v>3</v>
      </c>
      <c r="B22" s="18"/>
      <c r="C22" s="18"/>
      <c r="D22" s="18"/>
      <c r="E22" s="18"/>
      <c r="F22" s="18"/>
      <c r="G22" s="18"/>
      <c r="H22" s="18"/>
      <c r="I22" s="18"/>
      <c r="J22" s="19" t="s">
        <v>176</v>
      </c>
      <c r="K22" s="19" t="s">
        <v>176</v>
      </c>
      <c r="L22" s="19" t="s">
        <v>176</v>
      </c>
      <c r="M22" s="19" t="s">
        <v>176</v>
      </c>
      <c r="N22" s="19" t="s">
        <v>176</v>
      </c>
      <c r="O22" s="19" t="s">
        <v>176</v>
      </c>
      <c r="P22" s="18">
        <v>129</v>
      </c>
    </row>
    <row r="23" spans="1:16">
      <c r="A23" s="13" t="s">
        <v>4</v>
      </c>
      <c r="B23" s="18"/>
      <c r="C23" s="18"/>
      <c r="D23" s="18"/>
      <c r="E23" s="18"/>
      <c r="F23" s="18"/>
      <c r="G23" s="18"/>
      <c r="H23" s="18"/>
      <c r="I23" s="18"/>
      <c r="J23" s="19" t="s">
        <v>176</v>
      </c>
      <c r="K23" s="19" t="s">
        <v>176</v>
      </c>
      <c r="L23" s="19" t="s">
        <v>176</v>
      </c>
      <c r="M23" s="19" t="s">
        <v>176</v>
      </c>
      <c r="N23" s="19" t="s">
        <v>176</v>
      </c>
      <c r="O23" s="19" t="s">
        <v>176</v>
      </c>
      <c r="P23" s="18">
        <v>288</v>
      </c>
    </row>
    <row r="24" spans="1:16">
      <c r="A24" s="13" t="s">
        <v>5</v>
      </c>
      <c r="B24" s="18"/>
      <c r="C24" s="18"/>
      <c r="D24" s="18"/>
      <c r="E24" s="18"/>
      <c r="F24" s="18"/>
      <c r="G24" s="18"/>
      <c r="H24" s="18"/>
      <c r="I24" s="18"/>
      <c r="J24" s="19" t="s">
        <v>176</v>
      </c>
      <c r="K24" s="19" t="s">
        <v>176</v>
      </c>
      <c r="L24" s="19" t="s">
        <v>176</v>
      </c>
      <c r="M24" s="19" t="s">
        <v>176</v>
      </c>
      <c r="N24" s="19" t="s">
        <v>176</v>
      </c>
      <c r="O24" s="19" t="s">
        <v>176</v>
      </c>
      <c r="P24" s="18">
        <v>507</v>
      </c>
    </row>
    <row r="25" spans="1:16">
      <c r="A25" s="13" t="s">
        <v>6</v>
      </c>
      <c r="B25" s="18"/>
      <c r="C25" s="18"/>
      <c r="D25" s="18"/>
      <c r="E25" s="18"/>
      <c r="F25" s="18"/>
      <c r="G25" s="18"/>
      <c r="H25" s="18"/>
      <c r="I25" s="18"/>
      <c r="J25" s="19" t="s">
        <v>176</v>
      </c>
      <c r="K25" s="19" t="s">
        <v>176</v>
      </c>
      <c r="L25" s="19" t="s">
        <v>176</v>
      </c>
      <c r="M25" s="19" t="s">
        <v>176</v>
      </c>
      <c r="N25" s="19" t="s">
        <v>176</v>
      </c>
      <c r="O25" s="19" t="s">
        <v>176</v>
      </c>
      <c r="P25" s="18">
        <v>1037</v>
      </c>
    </row>
    <row r="26" spans="1:16">
      <c r="A26" s="13" t="s">
        <v>7</v>
      </c>
      <c r="B26" s="18"/>
      <c r="C26" s="18"/>
      <c r="D26" s="18"/>
      <c r="E26" s="18"/>
      <c r="F26" s="18"/>
      <c r="G26" s="18"/>
      <c r="H26" s="18"/>
      <c r="I26" s="18"/>
      <c r="J26" s="19" t="s">
        <v>176</v>
      </c>
      <c r="K26" s="19" t="s">
        <v>176</v>
      </c>
      <c r="L26" s="19" t="s">
        <v>176</v>
      </c>
      <c r="M26" s="19" t="s">
        <v>176</v>
      </c>
      <c r="N26" s="19" t="s">
        <v>176</v>
      </c>
      <c r="O26" s="19" t="s">
        <v>176</v>
      </c>
      <c r="P26" s="18"/>
    </row>
    <row r="27" spans="1:16">
      <c r="A27" s="13" t="s">
        <v>8</v>
      </c>
      <c r="B27" s="18"/>
      <c r="C27" s="18"/>
      <c r="D27" s="18"/>
      <c r="E27" s="18"/>
      <c r="F27" s="18"/>
      <c r="G27" s="18"/>
      <c r="H27" s="18"/>
      <c r="I27" s="18"/>
      <c r="J27" s="19" t="s">
        <v>176</v>
      </c>
      <c r="K27" s="19" t="s">
        <v>176</v>
      </c>
      <c r="L27" s="19" t="s">
        <v>176</v>
      </c>
      <c r="M27" s="19" t="s">
        <v>176</v>
      </c>
      <c r="N27" s="19" t="s">
        <v>176</v>
      </c>
      <c r="O27" s="19" t="s">
        <v>176</v>
      </c>
      <c r="P27" s="18"/>
    </row>
    <row r="28" spans="1:16">
      <c r="A28" s="13" t="s">
        <v>9</v>
      </c>
      <c r="B28" s="18"/>
      <c r="C28" s="18"/>
      <c r="D28" s="18"/>
      <c r="E28" s="18"/>
      <c r="F28" s="18"/>
      <c r="G28" s="18"/>
      <c r="H28" s="18"/>
      <c r="I28" s="18"/>
      <c r="J28" s="19" t="s">
        <v>176</v>
      </c>
      <c r="K28" s="19" t="s">
        <v>176</v>
      </c>
      <c r="L28" s="19" t="s">
        <v>176</v>
      </c>
      <c r="M28" s="19" t="s">
        <v>176</v>
      </c>
      <c r="N28" s="19" t="s">
        <v>176</v>
      </c>
      <c r="O28" s="19" t="s">
        <v>176</v>
      </c>
      <c r="P28" s="18"/>
    </row>
    <row r="29" spans="1:16">
      <c r="A29" s="13" t="s">
        <v>10</v>
      </c>
      <c r="B29" s="18"/>
      <c r="C29" s="18"/>
      <c r="D29" s="18"/>
      <c r="E29" s="18"/>
      <c r="F29" s="18"/>
      <c r="G29" s="18"/>
      <c r="H29" s="18"/>
      <c r="I29" s="18"/>
      <c r="J29" s="19" t="s">
        <v>176</v>
      </c>
      <c r="K29" s="19" t="s">
        <v>176</v>
      </c>
      <c r="L29" s="19" t="s">
        <v>176</v>
      </c>
      <c r="M29" s="19" t="s">
        <v>176</v>
      </c>
      <c r="N29" s="19" t="s">
        <v>176</v>
      </c>
      <c r="O29" s="19" t="s">
        <v>176</v>
      </c>
      <c r="P29" s="18"/>
    </row>
    <row r="30" spans="1:16">
      <c r="A30" s="13" t="s">
        <v>11</v>
      </c>
      <c r="B30" s="18"/>
      <c r="C30" s="18"/>
      <c r="D30" s="18"/>
      <c r="E30" s="18"/>
      <c r="F30" s="19"/>
      <c r="G30" s="18"/>
      <c r="H30" s="18"/>
      <c r="I30" s="18"/>
      <c r="J30" s="19" t="s">
        <v>176</v>
      </c>
      <c r="K30" s="19" t="s">
        <v>176</v>
      </c>
      <c r="L30" s="19" t="s">
        <v>176</v>
      </c>
      <c r="M30" s="19" t="s">
        <v>176</v>
      </c>
      <c r="N30" s="19" t="s">
        <v>176</v>
      </c>
      <c r="O30" s="19" t="s">
        <v>176</v>
      </c>
      <c r="P30" s="18"/>
    </row>
    <row r="31" spans="1:16" ht="16" thickBot="1">
      <c r="A31" s="20" t="s">
        <v>13</v>
      </c>
      <c r="B31" s="22"/>
      <c r="C31" s="22"/>
      <c r="D31" s="22"/>
      <c r="E31" s="22"/>
      <c r="F31" s="22"/>
      <c r="G31" s="22"/>
      <c r="H31" s="22"/>
      <c r="I31" s="22"/>
      <c r="J31" s="23" t="s">
        <v>176</v>
      </c>
      <c r="K31" s="23" t="s">
        <v>176</v>
      </c>
      <c r="L31" s="23" t="s">
        <v>176</v>
      </c>
      <c r="M31" s="23" t="s">
        <v>176</v>
      </c>
      <c r="N31" s="23" t="s">
        <v>176</v>
      </c>
      <c r="O31" s="8" t="s">
        <v>176</v>
      </c>
      <c r="P31" s="3"/>
    </row>
    <row r="32" spans="1:16" ht="16" thickTop="1">
      <c r="A32" s="24" t="s">
        <v>14</v>
      </c>
      <c r="B32" s="25"/>
      <c r="C32" s="25"/>
      <c r="D32" s="25"/>
      <c r="E32" s="25"/>
      <c r="F32" s="25"/>
      <c r="G32" s="25"/>
      <c r="H32" s="25"/>
      <c r="I32" s="25"/>
      <c r="J32" s="26" t="s">
        <v>176</v>
      </c>
      <c r="K32" s="26" t="s">
        <v>176</v>
      </c>
      <c r="L32" s="26" t="s">
        <v>176</v>
      </c>
      <c r="M32" s="26" t="s">
        <v>176</v>
      </c>
      <c r="N32" s="26" t="s">
        <v>176</v>
      </c>
      <c r="O32" s="10" t="s">
        <v>176</v>
      </c>
      <c r="P32" s="4">
        <f>SUM(P20:P31)</f>
        <v>2049</v>
      </c>
    </row>
    <row r="33" spans="1:16" ht="30" customHeight="1">
      <c r="A33" s="351" t="s">
        <v>182</v>
      </c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</row>
    <row r="34" spans="1:16">
      <c r="A34" s="11" t="s">
        <v>0</v>
      </c>
      <c r="B34" s="27">
        <v>2004</v>
      </c>
      <c r="C34" s="27">
        <v>2005</v>
      </c>
      <c r="D34" s="27">
        <v>2006</v>
      </c>
      <c r="E34" s="27">
        <v>2007</v>
      </c>
      <c r="F34" s="27">
        <v>2008</v>
      </c>
      <c r="G34" s="27">
        <v>2009</v>
      </c>
      <c r="H34" s="27">
        <v>2010</v>
      </c>
      <c r="I34" s="27">
        <v>2011</v>
      </c>
      <c r="J34" s="27">
        <v>2012</v>
      </c>
      <c r="K34" s="27">
        <v>2013</v>
      </c>
      <c r="L34" s="27">
        <v>2014</v>
      </c>
      <c r="M34" s="27">
        <v>2015</v>
      </c>
      <c r="N34" s="27">
        <v>2016</v>
      </c>
      <c r="O34" s="5">
        <v>2017</v>
      </c>
      <c r="P34" s="5">
        <v>2018</v>
      </c>
    </row>
    <row r="35" spans="1:16">
      <c r="A35" s="13" t="s">
        <v>1</v>
      </c>
      <c r="B35" s="15"/>
      <c r="C35" s="15"/>
      <c r="D35" s="15"/>
      <c r="E35" s="15"/>
      <c r="F35" s="15"/>
      <c r="G35" s="15"/>
      <c r="H35" s="15"/>
      <c r="I35" s="15"/>
      <c r="J35" s="16" t="s">
        <v>176</v>
      </c>
      <c r="K35" s="16" t="s">
        <v>176</v>
      </c>
      <c r="L35" s="16" t="s">
        <v>176</v>
      </c>
      <c r="M35" s="16" t="s">
        <v>176</v>
      </c>
      <c r="N35" s="16" t="s">
        <v>176</v>
      </c>
      <c r="O35" s="16" t="s">
        <v>176</v>
      </c>
      <c r="P35" s="15">
        <v>0</v>
      </c>
    </row>
    <row r="36" spans="1:16">
      <c r="A36" s="13" t="s">
        <v>2</v>
      </c>
      <c r="B36" s="18"/>
      <c r="C36" s="18"/>
      <c r="D36" s="18"/>
      <c r="E36" s="18"/>
      <c r="F36" s="18"/>
      <c r="G36" s="18"/>
      <c r="H36" s="18"/>
      <c r="I36" s="18"/>
      <c r="J36" s="19" t="s">
        <v>176</v>
      </c>
      <c r="K36" s="19" t="s">
        <v>176</v>
      </c>
      <c r="L36" s="19" t="s">
        <v>176</v>
      </c>
      <c r="M36" s="19" t="s">
        <v>176</v>
      </c>
      <c r="N36" s="19" t="s">
        <v>176</v>
      </c>
      <c r="O36" s="19" t="s">
        <v>176</v>
      </c>
      <c r="P36" s="18">
        <v>0</v>
      </c>
    </row>
    <row r="37" spans="1:16">
      <c r="A37" s="13" t="s">
        <v>3</v>
      </c>
      <c r="B37" s="18"/>
      <c r="C37" s="18"/>
      <c r="D37" s="18"/>
      <c r="E37" s="18"/>
      <c r="F37" s="18"/>
      <c r="G37" s="18"/>
      <c r="H37" s="18"/>
      <c r="I37" s="18"/>
      <c r="J37" s="19" t="s">
        <v>176</v>
      </c>
      <c r="K37" s="19" t="s">
        <v>176</v>
      </c>
      <c r="L37" s="19" t="s">
        <v>176</v>
      </c>
      <c r="M37" s="19" t="s">
        <v>176</v>
      </c>
      <c r="N37" s="19" t="s">
        <v>176</v>
      </c>
      <c r="O37" s="19" t="s">
        <v>176</v>
      </c>
      <c r="P37" s="18">
        <v>0</v>
      </c>
    </row>
    <row r="38" spans="1:16">
      <c r="A38" s="13" t="s">
        <v>4</v>
      </c>
      <c r="B38" s="18"/>
      <c r="C38" s="18"/>
      <c r="D38" s="18"/>
      <c r="E38" s="18"/>
      <c r="F38" s="18"/>
      <c r="G38" s="18"/>
      <c r="H38" s="18"/>
      <c r="I38" s="18"/>
      <c r="J38" s="19" t="s">
        <v>176</v>
      </c>
      <c r="K38" s="19" t="s">
        <v>176</v>
      </c>
      <c r="L38" s="19" t="s">
        <v>176</v>
      </c>
      <c r="M38" s="19" t="s">
        <v>176</v>
      </c>
      <c r="N38" s="19" t="s">
        <v>176</v>
      </c>
      <c r="O38" s="19" t="s">
        <v>176</v>
      </c>
      <c r="P38" s="18">
        <v>0</v>
      </c>
    </row>
    <row r="39" spans="1:16">
      <c r="A39" s="13" t="s">
        <v>5</v>
      </c>
      <c r="B39" s="18"/>
      <c r="C39" s="18"/>
      <c r="D39" s="18"/>
      <c r="E39" s="18"/>
      <c r="F39" s="18"/>
      <c r="G39" s="18"/>
      <c r="H39" s="18"/>
      <c r="I39" s="18"/>
      <c r="J39" s="19" t="s">
        <v>176</v>
      </c>
      <c r="K39" s="19" t="s">
        <v>176</v>
      </c>
      <c r="L39" s="19" t="s">
        <v>176</v>
      </c>
      <c r="M39" s="19" t="s">
        <v>176</v>
      </c>
      <c r="N39" s="19" t="s">
        <v>176</v>
      </c>
      <c r="O39" s="19" t="s">
        <v>176</v>
      </c>
      <c r="P39" s="18">
        <v>0</v>
      </c>
    </row>
    <row r="40" spans="1:16">
      <c r="A40" s="13" t="s">
        <v>6</v>
      </c>
      <c r="B40" s="18"/>
      <c r="C40" s="18"/>
      <c r="D40" s="18"/>
      <c r="E40" s="18"/>
      <c r="F40" s="18"/>
      <c r="G40" s="18"/>
      <c r="H40" s="18"/>
      <c r="I40" s="18"/>
      <c r="J40" s="19" t="s">
        <v>176</v>
      </c>
      <c r="K40" s="19" t="s">
        <v>176</v>
      </c>
      <c r="L40" s="19" t="s">
        <v>176</v>
      </c>
      <c r="M40" s="19" t="s">
        <v>176</v>
      </c>
      <c r="N40" s="19" t="s">
        <v>176</v>
      </c>
      <c r="O40" s="19" t="s">
        <v>176</v>
      </c>
      <c r="P40" s="18">
        <v>0</v>
      </c>
    </row>
    <row r="41" spans="1:16">
      <c r="A41" s="13" t="s">
        <v>7</v>
      </c>
      <c r="B41" s="18"/>
      <c r="C41" s="18"/>
      <c r="D41" s="18"/>
      <c r="E41" s="18"/>
      <c r="F41" s="18"/>
      <c r="G41" s="18"/>
      <c r="H41" s="18"/>
      <c r="I41" s="18"/>
      <c r="J41" s="19" t="s">
        <v>176</v>
      </c>
      <c r="K41" s="19" t="s">
        <v>176</v>
      </c>
      <c r="L41" s="19" t="s">
        <v>176</v>
      </c>
      <c r="M41" s="19" t="s">
        <v>176</v>
      </c>
      <c r="N41" s="19" t="s">
        <v>176</v>
      </c>
      <c r="O41" s="19" t="s">
        <v>176</v>
      </c>
      <c r="P41" s="18"/>
    </row>
    <row r="42" spans="1:16">
      <c r="A42" s="13" t="s">
        <v>8</v>
      </c>
      <c r="B42" s="18"/>
      <c r="C42" s="18"/>
      <c r="D42" s="18"/>
      <c r="E42" s="18"/>
      <c r="F42" s="18"/>
      <c r="G42" s="18"/>
      <c r="H42" s="18"/>
      <c r="I42" s="18"/>
      <c r="J42" s="19" t="s">
        <v>176</v>
      </c>
      <c r="K42" s="19" t="s">
        <v>176</v>
      </c>
      <c r="L42" s="19" t="s">
        <v>176</v>
      </c>
      <c r="M42" s="19" t="s">
        <v>176</v>
      </c>
      <c r="N42" s="19" t="s">
        <v>176</v>
      </c>
      <c r="O42" s="19" t="s">
        <v>176</v>
      </c>
      <c r="P42" s="18"/>
    </row>
    <row r="43" spans="1:16">
      <c r="A43" s="13" t="s">
        <v>9</v>
      </c>
      <c r="B43" s="18"/>
      <c r="C43" s="18"/>
      <c r="D43" s="18"/>
      <c r="E43" s="18"/>
      <c r="F43" s="18"/>
      <c r="G43" s="18"/>
      <c r="H43" s="18"/>
      <c r="I43" s="18"/>
      <c r="J43" s="19" t="s">
        <v>176</v>
      </c>
      <c r="K43" s="19" t="s">
        <v>176</v>
      </c>
      <c r="L43" s="19" t="s">
        <v>176</v>
      </c>
      <c r="M43" s="19" t="s">
        <v>176</v>
      </c>
      <c r="N43" s="19" t="s">
        <v>176</v>
      </c>
      <c r="O43" s="19" t="s">
        <v>176</v>
      </c>
      <c r="P43" s="18"/>
    </row>
    <row r="44" spans="1:16">
      <c r="A44" s="13" t="s">
        <v>10</v>
      </c>
      <c r="B44" s="18"/>
      <c r="C44" s="18"/>
      <c r="D44" s="18"/>
      <c r="E44" s="18"/>
      <c r="F44" s="18"/>
      <c r="G44" s="18"/>
      <c r="H44" s="18"/>
      <c r="I44" s="18"/>
      <c r="J44" s="19" t="s">
        <v>176</v>
      </c>
      <c r="K44" s="19" t="s">
        <v>176</v>
      </c>
      <c r="L44" s="19" t="s">
        <v>176</v>
      </c>
      <c r="M44" s="19" t="s">
        <v>176</v>
      </c>
      <c r="N44" s="19" t="s">
        <v>176</v>
      </c>
      <c r="O44" s="19" t="s">
        <v>176</v>
      </c>
      <c r="P44" s="18"/>
    </row>
    <row r="45" spans="1:16">
      <c r="A45" s="13" t="s">
        <v>11</v>
      </c>
      <c r="B45" s="18"/>
      <c r="C45" s="18"/>
      <c r="D45" s="18"/>
      <c r="E45" s="18"/>
      <c r="F45" s="19"/>
      <c r="G45" s="18"/>
      <c r="H45" s="18"/>
      <c r="I45" s="18"/>
      <c r="J45" s="19" t="s">
        <v>176</v>
      </c>
      <c r="K45" s="19" t="s">
        <v>176</v>
      </c>
      <c r="L45" s="19" t="s">
        <v>176</v>
      </c>
      <c r="M45" s="19" t="s">
        <v>176</v>
      </c>
      <c r="N45" s="19" t="s">
        <v>176</v>
      </c>
      <c r="O45" s="19" t="s">
        <v>176</v>
      </c>
      <c r="P45" s="18"/>
    </row>
    <row r="46" spans="1:16" ht="16" thickBot="1">
      <c r="A46" s="20" t="s">
        <v>13</v>
      </c>
      <c r="B46" s="22"/>
      <c r="C46" s="22"/>
      <c r="D46" s="22"/>
      <c r="E46" s="22"/>
      <c r="F46" s="22"/>
      <c r="G46" s="22"/>
      <c r="H46" s="22"/>
      <c r="I46" s="22"/>
      <c r="J46" s="23" t="s">
        <v>176</v>
      </c>
      <c r="K46" s="23" t="s">
        <v>176</v>
      </c>
      <c r="L46" s="23" t="s">
        <v>176</v>
      </c>
      <c r="M46" s="23" t="s">
        <v>176</v>
      </c>
      <c r="N46" s="23" t="s">
        <v>176</v>
      </c>
      <c r="O46" s="8" t="s">
        <v>176</v>
      </c>
      <c r="P46" s="3"/>
    </row>
    <row r="47" spans="1:16" ht="16" thickTop="1">
      <c r="A47" s="24" t="s">
        <v>14</v>
      </c>
      <c r="B47" s="25"/>
      <c r="C47" s="25"/>
      <c r="D47" s="25"/>
      <c r="E47" s="25"/>
      <c r="F47" s="25"/>
      <c r="G47" s="25"/>
      <c r="H47" s="25"/>
      <c r="I47" s="25"/>
      <c r="J47" s="26" t="s">
        <v>176</v>
      </c>
      <c r="K47" s="26" t="s">
        <v>176</v>
      </c>
      <c r="L47" s="26" t="s">
        <v>176</v>
      </c>
      <c r="M47" s="26" t="s">
        <v>176</v>
      </c>
      <c r="N47" s="26" t="s">
        <v>176</v>
      </c>
      <c r="O47" s="10" t="s">
        <v>176</v>
      </c>
      <c r="P47" s="4">
        <f>SUM(P35:P46)</f>
        <v>0</v>
      </c>
    </row>
    <row r="48" spans="1:16" ht="22.5" customHeight="1">
      <c r="A48" s="6" t="s">
        <v>178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5" ht="22.5" customHeight="1">
      <c r="A49" s="1" t="str">
        <f>'Local SUT'!A67</f>
        <v>Source:  Minnesota Department of Revenue, Tax Research Division, February 2021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>
      <c r="A50" s="9" t="s">
        <v>174</v>
      </c>
      <c r="B50" s="9"/>
    </row>
  </sheetData>
  <mergeCells count="5">
    <mergeCell ref="A3:P3"/>
    <mergeCell ref="A2:P2"/>
    <mergeCell ref="A1:P1"/>
    <mergeCell ref="A18:P18"/>
    <mergeCell ref="A33:P33"/>
  </mergeCells>
  <pageMargins left="0.7" right="0.7" top="0.75" bottom="0.75" header="0.3" footer="0.3"/>
  <pageSetup scale="86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0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239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39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122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71965</v>
      </c>
      <c r="O5" s="174">
        <v>73642</v>
      </c>
      <c r="P5" s="174">
        <v>81112</v>
      </c>
      <c r="Q5" s="174">
        <v>87888</v>
      </c>
      <c r="R5" s="255">
        <v>106732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51636</v>
      </c>
      <c r="O6" s="84">
        <v>61646</v>
      </c>
      <c r="P6" s="84">
        <v>64984</v>
      </c>
      <c r="Q6" s="84">
        <v>79923</v>
      </c>
      <c r="R6" s="256">
        <v>82521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49548</v>
      </c>
      <c r="O7" s="84">
        <v>56480</v>
      </c>
      <c r="P7" s="84">
        <v>55372</v>
      </c>
      <c r="Q7" s="84">
        <v>71076</v>
      </c>
      <c r="R7" s="257">
        <v>77928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>
        <v>56013</v>
      </c>
      <c r="O8" s="84">
        <v>65844</v>
      </c>
      <c r="P8" s="84">
        <v>66883</v>
      </c>
      <c r="Q8" s="84">
        <v>81043</v>
      </c>
      <c r="R8" s="257">
        <v>84712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59754</v>
      </c>
      <c r="O9" s="84">
        <v>66261</v>
      </c>
      <c r="P9" s="84">
        <v>64204</v>
      </c>
      <c r="Q9" s="84">
        <v>81074</v>
      </c>
      <c r="R9" s="258">
        <v>91676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77114</v>
      </c>
      <c r="O10" s="84">
        <v>89355</v>
      </c>
      <c r="P10" s="84">
        <v>97960</v>
      </c>
      <c r="Q10" s="84">
        <v>114981</v>
      </c>
      <c r="R10" s="259">
        <v>128217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176">
        <v>2</v>
      </c>
      <c r="N11" s="84">
        <v>81181</v>
      </c>
      <c r="O11" s="84">
        <v>94038</v>
      </c>
      <c r="P11" s="84">
        <v>99092</v>
      </c>
      <c r="Q11" s="84">
        <v>127064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>
        <v>89271</v>
      </c>
      <c r="N12" s="84">
        <v>111657</v>
      </c>
      <c r="O12" s="84">
        <v>124501</v>
      </c>
      <c r="P12" s="84">
        <v>135762</v>
      </c>
      <c r="Q12" s="84">
        <v>156606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>
        <v>89609</v>
      </c>
      <c r="N13" s="84">
        <v>93138</v>
      </c>
      <c r="O13" s="84">
        <v>97804</v>
      </c>
      <c r="P13" s="84">
        <v>118036</v>
      </c>
      <c r="Q13" s="84">
        <v>128181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>
        <v>89145</v>
      </c>
      <c r="N14" s="84">
        <v>87369</v>
      </c>
      <c r="O14" s="84">
        <v>93565</v>
      </c>
      <c r="P14" s="84">
        <v>101201</v>
      </c>
      <c r="Q14" s="84">
        <v>120016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>
        <v>71396</v>
      </c>
      <c r="N15" s="84">
        <v>71918</v>
      </c>
      <c r="O15" s="84">
        <v>85032</v>
      </c>
      <c r="P15" s="84">
        <v>91831</v>
      </c>
      <c r="Q15" s="84">
        <v>98954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140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>
        <v>66770</v>
      </c>
      <c r="N16" s="92">
        <v>67331</v>
      </c>
      <c r="O16" s="92">
        <v>70679</v>
      </c>
      <c r="P16" s="92">
        <v>82676</v>
      </c>
      <c r="Q16" s="92">
        <v>93153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406193</v>
      </c>
      <c r="N17" s="168">
        <f>SUM(N5:N16)</f>
        <v>878624</v>
      </c>
      <c r="O17" s="168">
        <f>SUM(O5:O16)</f>
        <v>978847</v>
      </c>
      <c r="P17" s="168">
        <f>SUM(P5:P16)</f>
        <v>1059113</v>
      </c>
      <c r="Q17" s="168">
        <f>SUM(Q5:Q16)</f>
        <v>1239959</v>
      </c>
      <c r="R17" s="172">
        <f t="shared" ref="R17" si="0">SUM(R5:R16)</f>
        <v>571786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40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122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4258</v>
      </c>
      <c r="O21" s="174">
        <v>6808</v>
      </c>
      <c r="P21" s="174">
        <v>5689</v>
      </c>
      <c r="Q21" s="174">
        <v>6989</v>
      </c>
      <c r="R21" s="265">
        <v>8344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2273</v>
      </c>
      <c r="O22" s="84">
        <v>3419</v>
      </c>
      <c r="P22" s="84">
        <v>5272</v>
      </c>
      <c r="Q22" s="84">
        <v>3613</v>
      </c>
      <c r="R22" s="266">
        <v>6856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3535</v>
      </c>
      <c r="O23" s="84">
        <v>3007</v>
      </c>
      <c r="P23" s="84">
        <v>46424</v>
      </c>
      <c r="Q23" s="84">
        <v>8195</v>
      </c>
      <c r="R23" s="267">
        <v>3351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>
        <v>3753</v>
      </c>
      <c r="O24" s="84">
        <v>4051</v>
      </c>
      <c r="P24" s="84">
        <v>20337</v>
      </c>
      <c r="Q24" s="84">
        <v>7975</v>
      </c>
      <c r="R24" s="268">
        <v>4247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3156</v>
      </c>
      <c r="O25" s="84">
        <v>3698</v>
      </c>
      <c r="P25" s="84">
        <v>7665</v>
      </c>
      <c r="Q25" s="84">
        <v>17536</v>
      </c>
      <c r="R25" s="267">
        <v>38378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3771</v>
      </c>
      <c r="O26" s="84">
        <v>4602</v>
      </c>
      <c r="P26" s="84">
        <v>91291</v>
      </c>
      <c r="Q26" s="84">
        <v>5944</v>
      </c>
      <c r="R26" s="269">
        <v>25487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176">
        <v>0</v>
      </c>
      <c r="N27" s="84">
        <v>7243</v>
      </c>
      <c r="O27" s="84">
        <v>4718</v>
      </c>
      <c r="P27" s="84">
        <v>18992</v>
      </c>
      <c r="Q27" s="84">
        <v>8090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>
        <v>4043</v>
      </c>
      <c r="N28" s="84">
        <v>4981</v>
      </c>
      <c r="O28" s="84">
        <v>5011</v>
      </c>
      <c r="P28" s="84">
        <v>9456</v>
      </c>
      <c r="Q28" s="84">
        <v>15237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>
        <v>6461</v>
      </c>
      <c r="N29" s="84">
        <v>4424</v>
      </c>
      <c r="O29" s="84">
        <v>4542</v>
      </c>
      <c r="P29" s="84">
        <v>5897</v>
      </c>
      <c r="Q29" s="84">
        <v>5881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>
        <v>4717</v>
      </c>
      <c r="N30" s="84">
        <v>6405</v>
      </c>
      <c r="O30" s="84">
        <v>10703</v>
      </c>
      <c r="P30" s="84">
        <v>8665</v>
      </c>
      <c r="Q30" s="84">
        <v>10135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>
        <v>3722</v>
      </c>
      <c r="N31" s="84">
        <v>3726</v>
      </c>
      <c r="O31" s="84">
        <v>6356</v>
      </c>
      <c r="P31" s="84">
        <v>5413</v>
      </c>
      <c r="Q31" s="84">
        <v>6064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140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>
        <v>2907</v>
      </c>
      <c r="N32" s="92">
        <v>3571</v>
      </c>
      <c r="O32" s="92">
        <v>4239</v>
      </c>
      <c r="P32" s="92">
        <v>5193</v>
      </c>
      <c r="Q32" s="92">
        <v>4659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21850</v>
      </c>
      <c r="N33" s="168">
        <f>SUM(N21:N32)</f>
        <v>51096</v>
      </c>
      <c r="O33" s="168">
        <f>SUM(O21:O32)</f>
        <v>61154</v>
      </c>
      <c r="P33" s="168">
        <f>SUM(P21:P32)</f>
        <v>230294</v>
      </c>
      <c r="Q33" s="168">
        <f>SUM(Q21:Q32)</f>
        <v>100318</v>
      </c>
      <c r="R33" s="172">
        <f t="shared" ref="R33" si="1">SUM(R21:R32)</f>
        <v>86663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104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122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0</v>
      </c>
      <c r="O37" s="174">
        <v>0</v>
      </c>
      <c r="P37" s="174">
        <v>0</v>
      </c>
      <c r="Q37" s="174">
        <v>0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-128</v>
      </c>
      <c r="O38" s="84">
        <v>0</v>
      </c>
      <c r="P38" s="84">
        <v>0</v>
      </c>
      <c r="Q38" s="84">
        <v>0</v>
      </c>
      <c r="R38" s="277">
        <v>-64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0</v>
      </c>
      <c r="O39" s="84">
        <v>-1</v>
      </c>
      <c r="P39" s="84">
        <v>-82</v>
      </c>
      <c r="Q39" s="84">
        <v>0</v>
      </c>
      <c r="R39" s="277">
        <v>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>
        <v>-1263</v>
      </c>
      <c r="O40" s="84">
        <v>-261</v>
      </c>
      <c r="P40" s="84">
        <v>-5</v>
      </c>
      <c r="Q40" s="84">
        <v>0</v>
      </c>
      <c r="R40" s="277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-453</v>
      </c>
      <c r="P41" s="84">
        <v>-1033</v>
      </c>
      <c r="Q41" s="84">
        <v>-31221</v>
      </c>
      <c r="R41" s="277">
        <v>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0</v>
      </c>
      <c r="P42" s="84">
        <v>0</v>
      </c>
      <c r="Q42" s="84">
        <v>0</v>
      </c>
      <c r="R42" s="277">
        <v>0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176">
        <v>0</v>
      </c>
      <c r="N43" s="84">
        <v>0</v>
      </c>
      <c r="O43" s="84">
        <v>-35966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>
        <v>0</v>
      </c>
      <c r="N44" s="84">
        <v>-229</v>
      </c>
      <c r="O44" s="84">
        <v>-34</v>
      </c>
      <c r="P44" s="84">
        <v>0</v>
      </c>
      <c r="Q44" s="84">
        <v>-3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>
        <v>0</v>
      </c>
      <c r="N45" s="84">
        <v>0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>
        <v>0</v>
      </c>
      <c r="N46" s="84">
        <v>0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>
        <v>0</v>
      </c>
      <c r="N47" s="84">
        <v>0</v>
      </c>
      <c r="O47" s="84">
        <v>-27</v>
      </c>
      <c r="P47" s="84">
        <v>0</v>
      </c>
      <c r="Q47" s="84">
        <v>-64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140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>
        <v>0</v>
      </c>
      <c r="N48" s="92">
        <v>0</v>
      </c>
      <c r="O48" s="92">
        <v>-8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0</v>
      </c>
      <c r="N49" s="168">
        <f>SUM(N37:N48)</f>
        <v>-1620</v>
      </c>
      <c r="O49" s="168">
        <f>SUM(O37:O48)</f>
        <v>-36750</v>
      </c>
      <c r="P49" s="168">
        <f>SUM(P37:P48)</f>
        <v>-1120</v>
      </c>
      <c r="Q49" s="168">
        <f>SUM(Q37:Q48)</f>
        <v>-31288</v>
      </c>
      <c r="R49" s="278">
        <f t="shared" ref="R49" si="2">SUM(R37:R48)</f>
        <v>-64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86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>
    <pageSetUpPr fitToPage="1"/>
  </sheetPr>
  <dimension ref="A1:R57"/>
  <sheetViews>
    <sheetView showGridLines="0" zoomScaleNormal="100" workbookViewId="0">
      <pane ySplit="1" topLeftCell="A2" activePane="bottomLeft" state="frozen"/>
      <selection pane="bottomLeft" activeCell="K17" sqref="K17"/>
    </sheetView>
  </sheetViews>
  <sheetFormatPr baseColWidth="10" defaultColWidth="12.5" defaultRowHeight="15"/>
  <cols>
    <col min="1" max="1" width="12.5" style="82"/>
    <col min="2" max="2" width="13.5" style="81" bestFit="1" customWidth="1"/>
    <col min="3" max="5" width="15.1640625" style="81" bestFit="1" customWidth="1"/>
    <col min="6" max="6" width="13.5" style="81" bestFit="1" customWidth="1"/>
    <col min="7" max="7" width="12.83203125" style="81" bestFit="1" customWidth="1"/>
    <col min="8" max="8" width="13.5" style="81" bestFit="1" customWidth="1"/>
    <col min="9" max="16" width="15.1640625" style="81" bestFit="1" customWidth="1"/>
    <col min="17" max="18" width="13.6640625" style="81" bestFit="1" customWidth="1"/>
    <col min="19" max="16384" width="12.5" style="81"/>
  </cols>
  <sheetData>
    <row r="1" spans="1:18" ht="21">
      <c r="A1" s="338" t="s">
        <v>240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18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75">
        <v>78957</v>
      </c>
      <c r="C5" s="166">
        <v>77644</v>
      </c>
      <c r="D5" s="166">
        <v>83851.789999999994</v>
      </c>
      <c r="E5" s="166">
        <v>106146.88</v>
      </c>
      <c r="F5" s="166">
        <v>88955</v>
      </c>
      <c r="G5" s="166">
        <v>31.53</v>
      </c>
      <c r="H5" s="166">
        <v>1344.25</v>
      </c>
      <c r="I5" s="166">
        <v>91458</v>
      </c>
      <c r="J5" s="166">
        <v>85065</v>
      </c>
      <c r="K5" s="166">
        <v>99625</v>
      </c>
      <c r="L5" s="166">
        <v>105803</v>
      </c>
      <c r="M5" s="166">
        <v>110546</v>
      </c>
      <c r="N5" s="166">
        <v>109794</v>
      </c>
      <c r="O5" s="166">
        <v>119479</v>
      </c>
      <c r="P5" s="166">
        <v>127776</v>
      </c>
      <c r="Q5" s="260">
        <v>130602</v>
      </c>
      <c r="R5" s="255">
        <v>139554</v>
      </c>
    </row>
    <row r="6" spans="1:18" s="46" customFormat="1" ht="16">
      <c r="A6" s="106" t="s">
        <v>2</v>
      </c>
      <c r="B6" s="87">
        <v>67807.22</v>
      </c>
      <c r="C6" s="84">
        <v>73964.06</v>
      </c>
      <c r="D6" s="84">
        <v>81175</v>
      </c>
      <c r="E6" s="84">
        <v>81050.429999999993</v>
      </c>
      <c r="F6" s="84">
        <v>83503</v>
      </c>
      <c r="G6" s="84">
        <v>-18715</v>
      </c>
      <c r="H6" s="84">
        <v>572.69000000000005</v>
      </c>
      <c r="I6" s="84">
        <v>135489</v>
      </c>
      <c r="J6" s="84">
        <v>117100</v>
      </c>
      <c r="K6" s="84">
        <v>77490</v>
      </c>
      <c r="L6" s="84">
        <v>86101</v>
      </c>
      <c r="M6" s="84">
        <v>90600</v>
      </c>
      <c r="N6" s="84">
        <v>90637</v>
      </c>
      <c r="O6" s="84">
        <v>88134</v>
      </c>
      <c r="P6" s="84">
        <v>98882</v>
      </c>
      <c r="Q6" s="261">
        <v>102520</v>
      </c>
      <c r="R6" s="256">
        <v>121007</v>
      </c>
    </row>
    <row r="7" spans="1:18" s="46" customFormat="1" ht="16">
      <c r="A7" s="106" t="s">
        <v>3</v>
      </c>
      <c r="B7" s="87">
        <v>62680</v>
      </c>
      <c r="C7" s="84">
        <v>69692.509999999995</v>
      </c>
      <c r="D7" s="84">
        <v>65218</v>
      </c>
      <c r="E7" s="84">
        <v>68637</v>
      </c>
      <c r="F7" s="84">
        <v>81068.19</v>
      </c>
      <c r="G7" s="84">
        <v>11435.43</v>
      </c>
      <c r="H7" s="84">
        <v>-234</v>
      </c>
      <c r="I7" s="84">
        <v>8828</v>
      </c>
      <c r="J7" s="84">
        <v>66926</v>
      </c>
      <c r="K7" s="84">
        <v>80366</v>
      </c>
      <c r="L7" s="84">
        <v>76729</v>
      </c>
      <c r="M7" s="84">
        <v>80047</v>
      </c>
      <c r="N7" s="84">
        <v>91628</v>
      </c>
      <c r="O7" s="84">
        <v>84083</v>
      </c>
      <c r="P7" s="84">
        <v>88146</v>
      </c>
      <c r="Q7" s="262">
        <v>95497</v>
      </c>
      <c r="R7" s="257">
        <v>101437</v>
      </c>
    </row>
    <row r="8" spans="1:18" s="46" customFormat="1" ht="16">
      <c r="A8" s="106" t="s">
        <v>4</v>
      </c>
      <c r="B8" s="87">
        <v>63766.51</v>
      </c>
      <c r="C8" s="84">
        <v>78418</v>
      </c>
      <c r="D8" s="84">
        <v>88091.9</v>
      </c>
      <c r="E8" s="84">
        <v>77087.48</v>
      </c>
      <c r="F8" s="84">
        <v>101735.35</v>
      </c>
      <c r="G8" s="84">
        <v>431</v>
      </c>
      <c r="H8" s="84">
        <v>0</v>
      </c>
      <c r="I8" s="84">
        <v>78515</v>
      </c>
      <c r="J8" s="84">
        <v>82654</v>
      </c>
      <c r="K8" s="84">
        <v>92564</v>
      </c>
      <c r="L8" s="84">
        <v>104437</v>
      </c>
      <c r="M8" s="84">
        <v>103081</v>
      </c>
      <c r="N8" s="84">
        <v>105298</v>
      </c>
      <c r="O8" s="84">
        <v>105488</v>
      </c>
      <c r="P8" s="84">
        <v>138167</v>
      </c>
      <c r="Q8" s="262">
        <v>174660</v>
      </c>
      <c r="R8" s="257">
        <v>105461</v>
      </c>
    </row>
    <row r="9" spans="1:18" s="46" customFormat="1" ht="16">
      <c r="A9" s="106" t="s">
        <v>5</v>
      </c>
      <c r="B9" s="87">
        <v>42616.91</v>
      </c>
      <c r="C9" s="84">
        <v>47704</v>
      </c>
      <c r="D9" s="84">
        <v>46071.19</v>
      </c>
      <c r="E9" s="84">
        <v>48548.46</v>
      </c>
      <c r="F9" s="84">
        <v>6257.22</v>
      </c>
      <c r="G9" s="84">
        <v>-675.85</v>
      </c>
      <c r="H9" s="84">
        <v>37490.15</v>
      </c>
      <c r="I9" s="84">
        <v>46440</v>
      </c>
      <c r="J9" s="84">
        <v>48564</v>
      </c>
      <c r="K9" s="84">
        <v>67015</v>
      </c>
      <c r="L9" s="84">
        <v>58663</v>
      </c>
      <c r="M9" s="84">
        <v>96833</v>
      </c>
      <c r="N9" s="84">
        <v>70555</v>
      </c>
      <c r="O9" s="84">
        <v>63219</v>
      </c>
      <c r="P9" s="84">
        <v>67184</v>
      </c>
      <c r="Q9" s="263">
        <v>73625</v>
      </c>
      <c r="R9" s="258">
        <v>46438</v>
      </c>
    </row>
    <row r="10" spans="1:18" s="46" customFormat="1" ht="16">
      <c r="A10" s="106" t="s">
        <v>6</v>
      </c>
      <c r="B10" s="87">
        <v>61082.49</v>
      </c>
      <c r="C10" s="84">
        <v>64135</v>
      </c>
      <c r="D10" s="84">
        <v>65634.12</v>
      </c>
      <c r="E10" s="84">
        <v>74470</v>
      </c>
      <c r="F10" s="84">
        <v>5643.53</v>
      </c>
      <c r="G10" s="84">
        <v>303</v>
      </c>
      <c r="H10" s="84">
        <v>64879</v>
      </c>
      <c r="I10" s="84">
        <v>65926</v>
      </c>
      <c r="J10" s="84">
        <v>70066</v>
      </c>
      <c r="K10" s="84">
        <v>78120</v>
      </c>
      <c r="L10" s="84">
        <v>85133</v>
      </c>
      <c r="M10" s="84">
        <v>104999</v>
      </c>
      <c r="N10" s="84">
        <v>99065</v>
      </c>
      <c r="O10" s="84">
        <v>94003</v>
      </c>
      <c r="P10" s="84">
        <v>97541</v>
      </c>
      <c r="Q10" s="264">
        <v>112421</v>
      </c>
      <c r="R10" s="259">
        <v>66848</v>
      </c>
    </row>
    <row r="11" spans="1:18" s="46" customFormat="1" ht="16">
      <c r="A11" s="106" t="s">
        <v>7</v>
      </c>
      <c r="B11" s="87">
        <v>75579</v>
      </c>
      <c r="C11" s="84">
        <v>80932.98</v>
      </c>
      <c r="D11" s="84">
        <v>72493.61</v>
      </c>
      <c r="E11" s="84">
        <v>87251.14</v>
      </c>
      <c r="F11" s="84">
        <v>7751.22</v>
      </c>
      <c r="G11" s="84">
        <v>534</v>
      </c>
      <c r="H11" s="84">
        <v>73046</v>
      </c>
      <c r="I11" s="84">
        <v>95223</v>
      </c>
      <c r="J11" s="84">
        <v>101899</v>
      </c>
      <c r="K11" s="84">
        <v>112465</v>
      </c>
      <c r="L11" s="84">
        <v>115135</v>
      </c>
      <c r="M11" s="84">
        <v>125312</v>
      </c>
      <c r="N11" s="84">
        <v>128967</v>
      </c>
      <c r="O11" s="84">
        <v>137039</v>
      </c>
      <c r="P11" s="84">
        <v>147569</v>
      </c>
      <c r="Q11" s="84">
        <v>172532</v>
      </c>
      <c r="R11" s="252" t="s">
        <v>176</v>
      </c>
    </row>
    <row r="12" spans="1:18" s="46" customFormat="1" ht="16">
      <c r="A12" s="106" t="s">
        <v>8</v>
      </c>
      <c r="B12" s="87">
        <v>139733.76000000001</v>
      </c>
      <c r="C12" s="84">
        <v>138895.53</v>
      </c>
      <c r="D12" s="84">
        <v>143950.79999999999</v>
      </c>
      <c r="E12" s="84">
        <v>152600</v>
      </c>
      <c r="F12" s="84">
        <v>10066.69</v>
      </c>
      <c r="G12" s="84">
        <v>118</v>
      </c>
      <c r="H12" s="84">
        <v>142892</v>
      </c>
      <c r="I12" s="84">
        <v>155488</v>
      </c>
      <c r="J12" s="84">
        <v>170885</v>
      </c>
      <c r="K12" s="84">
        <v>187988</v>
      </c>
      <c r="L12" s="84">
        <v>186304</v>
      </c>
      <c r="M12" s="84">
        <v>206623</v>
      </c>
      <c r="N12" s="84">
        <v>212497</v>
      </c>
      <c r="O12" s="84">
        <v>189784</v>
      </c>
      <c r="P12" s="84">
        <v>204320</v>
      </c>
      <c r="Q12" s="84">
        <v>224791</v>
      </c>
      <c r="R12" s="253" t="s">
        <v>176</v>
      </c>
    </row>
    <row r="13" spans="1:18" s="46" customFormat="1" ht="16">
      <c r="A13" s="106" t="s">
        <v>9</v>
      </c>
      <c r="B13" s="87">
        <v>130590</v>
      </c>
      <c r="C13" s="84">
        <v>135724</v>
      </c>
      <c r="D13" s="84">
        <v>131524.51</v>
      </c>
      <c r="E13" s="84">
        <v>144928.44</v>
      </c>
      <c r="F13" s="84">
        <v>9415.48</v>
      </c>
      <c r="G13" s="84">
        <v>1198.81</v>
      </c>
      <c r="H13" s="84">
        <v>136628</v>
      </c>
      <c r="I13" s="84">
        <v>155027</v>
      </c>
      <c r="J13" s="84">
        <v>149192</v>
      </c>
      <c r="K13" s="84">
        <v>178026</v>
      </c>
      <c r="L13" s="84">
        <v>200529</v>
      </c>
      <c r="M13" s="84">
        <v>192459</v>
      </c>
      <c r="N13" s="84">
        <v>188319</v>
      </c>
      <c r="O13" s="84">
        <v>184659</v>
      </c>
      <c r="P13" s="84">
        <v>207190</v>
      </c>
      <c r="Q13" s="84">
        <v>227417</v>
      </c>
      <c r="R13" s="253" t="s">
        <v>176</v>
      </c>
    </row>
    <row r="14" spans="1:18" s="46" customFormat="1" ht="16">
      <c r="A14" s="106" t="s">
        <v>10</v>
      </c>
      <c r="B14" s="87">
        <v>121347.35</v>
      </c>
      <c r="C14" s="84">
        <v>126917</v>
      </c>
      <c r="D14" s="84">
        <v>125160</v>
      </c>
      <c r="E14" s="84">
        <v>128321</v>
      </c>
      <c r="F14" s="84">
        <v>21906.379999999997</v>
      </c>
      <c r="G14" s="84">
        <v>1433.27</v>
      </c>
      <c r="H14" s="84">
        <v>120258</v>
      </c>
      <c r="I14" s="84">
        <v>134899</v>
      </c>
      <c r="J14" s="84">
        <v>141119</v>
      </c>
      <c r="K14" s="84">
        <v>146942</v>
      </c>
      <c r="L14" s="84">
        <v>163459</v>
      </c>
      <c r="M14" s="84">
        <v>184393</v>
      </c>
      <c r="N14" s="84">
        <v>197455</v>
      </c>
      <c r="O14" s="84">
        <v>209153</v>
      </c>
      <c r="P14" s="84">
        <v>215258</v>
      </c>
      <c r="Q14" s="84">
        <v>219276</v>
      </c>
      <c r="R14" s="253" t="s">
        <v>176</v>
      </c>
    </row>
    <row r="15" spans="1:18" s="46" customFormat="1" ht="16">
      <c r="A15" s="106" t="s">
        <v>11</v>
      </c>
      <c r="B15" s="87">
        <v>85007.35</v>
      </c>
      <c r="C15" s="84">
        <v>85171</v>
      </c>
      <c r="D15" s="84">
        <v>85418</v>
      </c>
      <c r="E15" s="84">
        <v>88574.41</v>
      </c>
      <c r="F15" s="84" t="s">
        <v>12</v>
      </c>
      <c r="G15" s="84">
        <v>258.43</v>
      </c>
      <c r="H15" s="84">
        <v>75499</v>
      </c>
      <c r="I15" s="84">
        <v>89989</v>
      </c>
      <c r="J15" s="84">
        <v>111387</v>
      </c>
      <c r="K15" s="84">
        <v>117601</v>
      </c>
      <c r="L15" s="84">
        <v>114103</v>
      </c>
      <c r="M15" s="84">
        <v>143723</v>
      </c>
      <c r="N15" s="84">
        <v>139620</v>
      </c>
      <c r="O15" s="84">
        <v>123197</v>
      </c>
      <c r="P15" s="84">
        <v>167682</v>
      </c>
      <c r="Q15" s="84">
        <v>149503</v>
      </c>
      <c r="R15" s="253" t="s">
        <v>176</v>
      </c>
    </row>
    <row r="16" spans="1:18" s="46" customFormat="1" ht="17" thickBot="1">
      <c r="A16" s="107" t="s">
        <v>13</v>
      </c>
      <c r="B16" s="94">
        <v>53382.35</v>
      </c>
      <c r="C16" s="95">
        <v>54711</v>
      </c>
      <c r="D16" s="95">
        <v>51526</v>
      </c>
      <c r="E16" s="95">
        <v>55291.13</v>
      </c>
      <c r="F16" s="95">
        <v>80</v>
      </c>
      <c r="G16" s="92">
        <v>646</v>
      </c>
      <c r="H16" s="92">
        <v>51890</v>
      </c>
      <c r="I16" s="92">
        <v>53379</v>
      </c>
      <c r="J16" s="92">
        <v>60427</v>
      </c>
      <c r="K16" s="92">
        <v>115923</v>
      </c>
      <c r="L16" s="92">
        <v>69934</v>
      </c>
      <c r="M16" s="92">
        <v>69869</v>
      </c>
      <c r="N16" s="92">
        <v>72081</v>
      </c>
      <c r="O16" s="92">
        <v>72614</v>
      </c>
      <c r="P16" s="92">
        <v>87934</v>
      </c>
      <c r="Q16" s="92">
        <v>82005</v>
      </c>
      <c r="R16" s="254" t="s">
        <v>176</v>
      </c>
    </row>
    <row r="17" spans="1:18" s="46" customFormat="1" ht="17" thickTop="1">
      <c r="A17" s="102" t="s">
        <v>14</v>
      </c>
      <c r="B17" s="170">
        <f>SUM(B5:B16)</f>
        <v>982549.94</v>
      </c>
      <c r="C17" s="171">
        <f t="shared" ref="C17:I17" si="0">SUM(C5:C16)</f>
        <v>1033909.08</v>
      </c>
      <c r="D17" s="171">
        <f t="shared" si="0"/>
        <v>1040114.9199999999</v>
      </c>
      <c r="E17" s="171">
        <f t="shared" si="0"/>
        <v>1112906.3699999999</v>
      </c>
      <c r="F17" s="171">
        <f t="shared" si="0"/>
        <v>416382.06</v>
      </c>
      <c r="G17" s="171">
        <f t="shared" si="0"/>
        <v>-3001.3800000000019</v>
      </c>
      <c r="H17" s="171">
        <f t="shared" si="0"/>
        <v>704265.09</v>
      </c>
      <c r="I17" s="171">
        <f t="shared" si="0"/>
        <v>1110661</v>
      </c>
      <c r="J17" s="171">
        <f t="shared" ref="J17:P17" si="1">SUM(J5:J16)</f>
        <v>1205284</v>
      </c>
      <c r="K17" s="171">
        <f t="shared" si="1"/>
        <v>1354125</v>
      </c>
      <c r="L17" s="171">
        <f t="shared" si="1"/>
        <v>1366330</v>
      </c>
      <c r="M17" s="171">
        <f t="shared" si="1"/>
        <v>1508485</v>
      </c>
      <c r="N17" s="171">
        <f t="shared" si="1"/>
        <v>1505916</v>
      </c>
      <c r="O17" s="171">
        <f t="shared" si="1"/>
        <v>1470852</v>
      </c>
      <c r="P17" s="171">
        <f t="shared" si="1"/>
        <v>1647649</v>
      </c>
      <c r="Q17" s="171">
        <f t="shared" ref="Q17" si="2">SUM(Q5:Q16)</f>
        <v>1764849</v>
      </c>
      <c r="R17" s="172">
        <f t="shared" ref="R17" si="3">SUM(R5:R16)</f>
        <v>580745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19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73">
        <v>1399</v>
      </c>
      <c r="C21" s="174">
        <v>1264</v>
      </c>
      <c r="D21" s="174">
        <v>5220.8</v>
      </c>
      <c r="E21" s="174">
        <v>13508.99</v>
      </c>
      <c r="F21" s="174">
        <v>4380</v>
      </c>
      <c r="G21" s="174">
        <v>0</v>
      </c>
      <c r="H21" s="174">
        <v>31</v>
      </c>
      <c r="I21" s="174">
        <v>5335</v>
      </c>
      <c r="J21" s="174">
        <v>3991</v>
      </c>
      <c r="K21" s="174">
        <v>11416</v>
      </c>
      <c r="L21" s="174">
        <v>4828</v>
      </c>
      <c r="M21" s="174">
        <v>4060</v>
      </c>
      <c r="N21" s="174">
        <v>2951</v>
      </c>
      <c r="O21" s="174">
        <v>4738</v>
      </c>
      <c r="P21" s="174">
        <v>6697</v>
      </c>
      <c r="Q21" s="270">
        <v>7707</v>
      </c>
      <c r="R21" s="265">
        <v>6904</v>
      </c>
    </row>
    <row r="22" spans="1:18" s="46" customFormat="1" ht="16">
      <c r="A22" s="106" t="s">
        <v>2</v>
      </c>
      <c r="B22" s="89">
        <v>1341</v>
      </c>
      <c r="C22" s="86">
        <v>1563.12</v>
      </c>
      <c r="D22" s="86">
        <v>3289</v>
      </c>
      <c r="E22" s="86">
        <v>2388</v>
      </c>
      <c r="F22" s="86">
        <v>2599</v>
      </c>
      <c r="G22" s="86">
        <v>3584.55</v>
      </c>
      <c r="H22" s="84">
        <v>0</v>
      </c>
      <c r="I22" s="86">
        <v>1661</v>
      </c>
      <c r="J22" s="86">
        <v>3118</v>
      </c>
      <c r="K22" s="86">
        <v>5076</v>
      </c>
      <c r="L22" s="86">
        <v>16782</v>
      </c>
      <c r="M22" s="86">
        <v>3905</v>
      </c>
      <c r="N22" s="86">
        <v>6706</v>
      </c>
      <c r="O22" s="86">
        <v>4915</v>
      </c>
      <c r="P22" s="86">
        <v>3466</v>
      </c>
      <c r="Q22" s="271">
        <v>2075</v>
      </c>
      <c r="R22" s="266">
        <v>8357</v>
      </c>
    </row>
    <row r="23" spans="1:18" s="46" customFormat="1" ht="16">
      <c r="A23" s="106" t="s">
        <v>3</v>
      </c>
      <c r="B23" s="89">
        <v>4563.3999999999996</v>
      </c>
      <c r="C23" s="86">
        <v>1095</v>
      </c>
      <c r="D23" s="86">
        <v>4169</v>
      </c>
      <c r="E23" s="86">
        <v>2531</v>
      </c>
      <c r="F23" s="86">
        <v>2802</v>
      </c>
      <c r="G23" s="86">
        <v>137.24</v>
      </c>
      <c r="H23" s="84">
        <v>0</v>
      </c>
      <c r="I23" s="86">
        <v>1315</v>
      </c>
      <c r="J23" s="86">
        <v>2499</v>
      </c>
      <c r="K23" s="86">
        <v>5256</v>
      </c>
      <c r="L23" s="86">
        <v>2650</v>
      </c>
      <c r="M23" s="86">
        <v>2900</v>
      </c>
      <c r="N23" s="86">
        <v>2915</v>
      </c>
      <c r="O23" s="86">
        <v>1939</v>
      </c>
      <c r="P23" s="86">
        <v>2867</v>
      </c>
      <c r="Q23" s="272">
        <v>1815</v>
      </c>
      <c r="R23" s="267">
        <v>3928</v>
      </c>
    </row>
    <row r="24" spans="1:18" s="46" customFormat="1" ht="16">
      <c r="A24" s="106" t="s">
        <v>4</v>
      </c>
      <c r="B24" s="89">
        <v>4295</v>
      </c>
      <c r="C24" s="86">
        <v>1145</v>
      </c>
      <c r="D24" s="86">
        <v>3544</v>
      </c>
      <c r="E24" s="86">
        <v>7372.57</v>
      </c>
      <c r="F24" s="86">
        <v>3749.05</v>
      </c>
      <c r="G24" s="84">
        <v>0</v>
      </c>
      <c r="H24" s="86">
        <v>47.55</v>
      </c>
      <c r="I24" s="86">
        <v>717</v>
      </c>
      <c r="J24" s="86">
        <v>3988</v>
      </c>
      <c r="K24" s="86">
        <v>3955</v>
      </c>
      <c r="L24" s="86">
        <v>6516</v>
      </c>
      <c r="M24" s="86">
        <v>3121</v>
      </c>
      <c r="N24" s="86">
        <v>7503</v>
      </c>
      <c r="O24" s="86">
        <v>2392</v>
      </c>
      <c r="P24" s="86">
        <v>6267</v>
      </c>
      <c r="Q24" s="273">
        <v>3034</v>
      </c>
      <c r="R24" s="268">
        <v>5056</v>
      </c>
    </row>
    <row r="25" spans="1:18" s="46" customFormat="1" ht="16">
      <c r="A25" s="106" t="s">
        <v>5</v>
      </c>
      <c r="B25" s="89">
        <v>1319</v>
      </c>
      <c r="C25" s="86">
        <v>7543.42</v>
      </c>
      <c r="D25" s="86">
        <v>3375</v>
      </c>
      <c r="E25" s="86">
        <v>3233</v>
      </c>
      <c r="F25" s="86">
        <v>7747.4</v>
      </c>
      <c r="G25" s="84">
        <v>0</v>
      </c>
      <c r="H25" s="86">
        <v>2586</v>
      </c>
      <c r="I25" s="86">
        <v>1575</v>
      </c>
      <c r="J25" s="86">
        <v>2014</v>
      </c>
      <c r="K25" s="86">
        <v>5154</v>
      </c>
      <c r="L25" s="86">
        <v>4694</v>
      </c>
      <c r="M25" s="86">
        <v>3598</v>
      </c>
      <c r="N25" s="86">
        <v>3065</v>
      </c>
      <c r="O25" s="86">
        <v>3785</v>
      </c>
      <c r="P25" s="86">
        <v>3290</v>
      </c>
      <c r="Q25" s="272">
        <v>2073</v>
      </c>
      <c r="R25" s="267">
        <v>1950</v>
      </c>
    </row>
    <row r="26" spans="1:18" s="46" customFormat="1" ht="16">
      <c r="A26" s="106" t="s">
        <v>6</v>
      </c>
      <c r="B26" s="89">
        <v>1322</v>
      </c>
      <c r="C26" s="86">
        <v>1187.56</v>
      </c>
      <c r="D26" s="86">
        <v>1692</v>
      </c>
      <c r="E26" s="86">
        <v>7077.86</v>
      </c>
      <c r="F26" s="86">
        <v>1531</v>
      </c>
      <c r="G26" s="84">
        <v>0</v>
      </c>
      <c r="H26" s="86">
        <v>3880</v>
      </c>
      <c r="I26" s="86">
        <v>1985</v>
      </c>
      <c r="J26" s="86">
        <v>3322</v>
      </c>
      <c r="K26" s="86">
        <v>6094</v>
      </c>
      <c r="L26" s="86">
        <v>5647</v>
      </c>
      <c r="M26" s="86">
        <v>19024</v>
      </c>
      <c r="N26" s="86">
        <v>5022</v>
      </c>
      <c r="O26" s="86">
        <v>3869</v>
      </c>
      <c r="P26" s="86">
        <v>4843</v>
      </c>
      <c r="Q26" s="274">
        <v>3119</v>
      </c>
      <c r="R26" s="269">
        <v>8086</v>
      </c>
    </row>
    <row r="27" spans="1:18" s="46" customFormat="1" ht="16">
      <c r="A27" s="106" t="s">
        <v>7</v>
      </c>
      <c r="B27" s="89">
        <v>1779</v>
      </c>
      <c r="C27" s="86">
        <v>3102</v>
      </c>
      <c r="D27" s="86">
        <v>2297</v>
      </c>
      <c r="E27" s="86">
        <v>5862</v>
      </c>
      <c r="F27" s="86">
        <v>987</v>
      </c>
      <c r="G27" s="84">
        <v>0</v>
      </c>
      <c r="H27" s="86">
        <v>2211</v>
      </c>
      <c r="I27" s="86">
        <v>3214</v>
      </c>
      <c r="J27" s="86">
        <v>4223</v>
      </c>
      <c r="K27" s="86">
        <v>12855</v>
      </c>
      <c r="L27" s="86">
        <v>5900</v>
      </c>
      <c r="M27" s="86">
        <v>5383</v>
      </c>
      <c r="N27" s="86">
        <v>6747</v>
      </c>
      <c r="O27" s="86">
        <v>6803</v>
      </c>
      <c r="P27" s="86">
        <v>7665</v>
      </c>
      <c r="Q27" s="86">
        <v>5279</v>
      </c>
      <c r="R27" s="252" t="s">
        <v>176</v>
      </c>
    </row>
    <row r="28" spans="1:18" s="46" customFormat="1" ht="16">
      <c r="A28" s="106" t="s">
        <v>8</v>
      </c>
      <c r="B28" s="89">
        <v>521</v>
      </c>
      <c r="C28" s="86">
        <v>4841</v>
      </c>
      <c r="D28" s="86">
        <v>4498</v>
      </c>
      <c r="E28" s="86">
        <v>5679</v>
      </c>
      <c r="F28" s="86">
        <v>1031</v>
      </c>
      <c r="G28" s="84">
        <v>0</v>
      </c>
      <c r="H28" s="86">
        <v>5742</v>
      </c>
      <c r="I28" s="86">
        <v>4590</v>
      </c>
      <c r="J28" s="86">
        <v>5923</v>
      </c>
      <c r="K28" s="86">
        <v>6467</v>
      </c>
      <c r="L28" s="86">
        <v>5016</v>
      </c>
      <c r="M28" s="86">
        <v>7951</v>
      </c>
      <c r="N28" s="86">
        <v>6440</v>
      </c>
      <c r="O28" s="86">
        <v>7114</v>
      </c>
      <c r="P28" s="86">
        <v>8455</v>
      </c>
      <c r="Q28" s="86">
        <v>7086</v>
      </c>
      <c r="R28" s="253" t="s">
        <v>176</v>
      </c>
    </row>
    <row r="29" spans="1:18" s="46" customFormat="1" ht="16">
      <c r="A29" s="106" t="s">
        <v>9</v>
      </c>
      <c r="B29" s="89">
        <v>729</v>
      </c>
      <c r="C29" s="86">
        <v>6590.48</v>
      </c>
      <c r="D29" s="86">
        <v>2110</v>
      </c>
      <c r="E29" s="86">
        <v>6219.42</v>
      </c>
      <c r="F29" s="86">
        <v>-1010</v>
      </c>
      <c r="G29" s="86">
        <v>193</v>
      </c>
      <c r="H29" s="86">
        <v>6727</v>
      </c>
      <c r="I29" s="86">
        <v>2704</v>
      </c>
      <c r="J29" s="86">
        <v>5019</v>
      </c>
      <c r="K29" s="86">
        <v>7297</v>
      </c>
      <c r="L29" s="86">
        <v>8085</v>
      </c>
      <c r="M29" s="86">
        <v>6384</v>
      </c>
      <c r="N29" s="86">
        <v>6478</v>
      </c>
      <c r="O29" s="86">
        <v>6222</v>
      </c>
      <c r="P29" s="86">
        <v>4791</v>
      </c>
      <c r="Q29" s="86">
        <v>5342</v>
      </c>
      <c r="R29" s="253" t="s">
        <v>176</v>
      </c>
    </row>
    <row r="30" spans="1:18" s="46" customFormat="1" ht="16">
      <c r="A30" s="106" t="s">
        <v>10</v>
      </c>
      <c r="B30" s="89">
        <v>457</v>
      </c>
      <c r="C30" s="86">
        <v>5034.99</v>
      </c>
      <c r="D30" s="86">
        <v>4660</v>
      </c>
      <c r="E30" s="86">
        <v>4590</v>
      </c>
      <c r="F30" s="86">
        <v>104</v>
      </c>
      <c r="G30" s="84">
        <v>0</v>
      </c>
      <c r="H30" s="86">
        <v>5161</v>
      </c>
      <c r="I30" s="86">
        <v>4996</v>
      </c>
      <c r="J30" s="86">
        <v>6935</v>
      </c>
      <c r="K30" s="86">
        <v>5978</v>
      </c>
      <c r="L30" s="86">
        <v>7929</v>
      </c>
      <c r="M30" s="86">
        <v>5075</v>
      </c>
      <c r="N30" s="86">
        <v>3624</v>
      </c>
      <c r="O30" s="86">
        <v>6369</v>
      </c>
      <c r="P30" s="86">
        <v>6415</v>
      </c>
      <c r="Q30" s="86">
        <v>4796</v>
      </c>
      <c r="R30" s="253" t="s">
        <v>176</v>
      </c>
    </row>
    <row r="31" spans="1:18" s="46" customFormat="1" ht="16">
      <c r="A31" s="106" t="s">
        <v>11</v>
      </c>
      <c r="B31" s="89">
        <v>1020</v>
      </c>
      <c r="C31" s="86">
        <v>5145</v>
      </c>
      <c r="D31" s="86">
        <v>2224.46</v>
      </c>
      <c r="E31" s="86">
        <v>6185.7</v>
      </c>
      <c r="F31" s="86">
        <v>3025.88</v>
      </c>
      <c r="G31" s="84">
        <v>0</v>
      </c>
      <c r="H31" s="86">
        <v>11469</v>
      </c>
      <c r="I31" s="86">
        <v>4603</v>
      </c>
      <c r="J31" s="86">
        <v>9508</v>
      </c>
      <c r="K31" s="86">
        <v>6441</v>
      </c>
      <c r="L31" s="86">
        <v>7082</v>
      </c>
      <c r="M31" s="86">
        <v>4088</v>
      </c>
      <c r="N31" s="86">
        <v>4370</v>
      </c>
      <c r="O31" s="86">
        <v>4745</v>
      </c>
      <c r="P31" s="86">
        <v>5673</v>
      </c>
      <c r="Q31" s="86">
        <v>6429</v>
      </c>
      <c r="R31" s="253" t="s">
        <v>176</v>
      </c>
    </row>
    <row r="32" spans="1:18" s="46" customFormat="1" ht="17" thickBot="1">
      <c r="A32" s="107" t="s">
        <v>13</v>
      </c>
      <c r="B32" s="90">
        <v>1096</v>
      </c>
      <c r="C32" s="91">
        <v>2129</v>
      </c>
      <c r="D32" s="91">
        <v>2457</v>
      </c>
      <c r="E32" s="91">
        <v>4200.6400000000003</v>
      </c>
      <c r="F32" s="91">
        <v>5</v>
      </c>
      <c r="G32" s="93">
        <v>83</v>
      </c>
      <c r="H32" s="93">
        <v>25822</v>
      </c>
      <c r="I32" s="93">
        <v>1935</v>
      </c>
      <c r="J32" s="93">
        <v>2739</v>
      </c>
      <c r="K32" s="93">
        <v>14050</v>
      </c>
      <c r="L32" s="93">
        <v>2597</v>
      </c>
      <c r="M32" s="93">
        <v>1978</v>
      </c>
      <c r="N32" s="93">
        <v>3583</v>
      </c>
      <c r="O32" s="93">
        <v>3622</v>
      </c>
      <c r="P32" s="93">
        <v>5595</v>
      </c>
      <c r="Q32" s="93">
        <v>4622</v>
      </c>
      <c r="R32" s="254" t="s">
        <v>176</v>
      </c>
    </row>
    <row r="33" spans="1:18" s="46" customFormat="1" ht="17" thickTop="1">
      <c r="A33" s="102" t="s">
        <v>14</v>
      </c>
      <c r="B33" s="170">
        <f>SUM(B21:B32)</f>
        <v>19841.400000000001</v>
      </c>
      <c r="C33" s="171">
        <f t="shared" ref="C33:I33" si="4">SUM(C21:C32)</f>
        <v>40640.57</v>
      </c>
      <c r="D33" s="171">
        <f t="shared" si="4"/>
        <v>39536.26</v>
      </c>
      <c r="E33" s="171">
        <f t="shared" si="4"/>
        <v>68848.179999999993</v>
      </c>
      <c r="F33" s="171">
        <f t="shared" si="4"/>
        <v>26951.329999999998</v>
      </c>
      <c r="G33" s="171">
        <f t="shared" si="4"/>
        <v>3997.79</v>
      </c>
      <c r="H33" s="171">
        <f t="shared" si="4"/>
        <v>63676.55</v>
      </c>
      <c r="I33" s="171">
        <f t="shared" si="4"/>
        <v>34630</v>
      </c>
      <c r="J33" s="171">
        <f t="shared" ref="J33:P33" si="5">SUM(J21:J32)</f>
        <v>53279</v>
      </c>
      <c r="K33" s="171">
        <f t="shared" si="5"/>
        <v>90039</v>
      </c>
      <c r="L33" s="171">
        <f t="shared" si="5"/>
        <v>77726</v>
      </c>
      <c r="M33" s="171">
        <f t="shared" si="5"/>
        <v>67467</v>
      </c>
      <c r="N33" s="171">
        <f t="shared" si="5"/>
        <v>59404</v>
      </c>
      <c r="O33" s="171">
        <f t="shared" si="5"/>
        <v>56513</v>
      </c>
      <c r="P33" s="171">
        <f t="shared" si="5"/>
        <v>66024</v>
      </c>
      <c r="Q33" s="171">
        <f t="shared" ref="Q33" si="6">SUM(Q21:Q32)</f>
        <v>53377</v>
      </c>
      <c r="R33" s="172">
        <f t="shared" ref="R33" si="7">SUM(R21:R32)</f>
        <v>34281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115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99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11" t="s">
        <v>176</v>
      </c>
      <c r="C37" s="115" t="s">
        <v>176</v>
      </c>
      <c r="D37" s="115" t="s">
        <v>176</v>
      </c>
      <c r="E37" s="115" t="s">
        <v>176</v>
      </c>
      <c r="F37" s="115" t="s">
        <v>176</v>
      </c>
      <c r="G37" s="166">
        <v>0</v>
      </c>
      <c r="H37" s="166">
        <v>0</v>
      </c>
      <c r="I37" s="166">
        <v>0</v>
      </c>
      <c r="J37" s="166">
        <v>0</v>
      </c>
      <c r="K37" s="166">
        <v>0</v>
      </c>
      <c r="L37" s="166">
        <v>0</v>
      </c>
      <c r="M37" s="166">
        <v>0</v>
      </c>
      <c r="N37" s="166">
        <v>0</v>
      </c>
      <c r="O37" s="166">
        <v>0</v>
      </c>
      <c r="P37" s="167">
        <v>0</v>
      </c>
      <c r="Q37" s="279">
        <v>0</v>
      </c>
      <c r="R37" s="275">
        <v>0</v>
      </c>
    </row>
    <row r="38" spans="1:18" s="46" customFormat="1" ht="16">
      <c r="A38" s="106" t="s">
        <v>2</v>
      </c>
      <c r="B38" s="112" t="s">
        <v>176</v>
      </c>
      <c r="C38" s="116" t="s">
        <v>176</v>
      </c>
      <c r="D38" s="116" t="s">
        <v>176</v>
      </c>
      <c r="E38" s="116" t="s">
        <v>176</v>
      </c>
      <c r="F38" s="116" t="s">
        <v>176</v>
      </c>
      <c r="G38" s="86">
        <v>-3741</v>
      </c>
      <c r="H38" s="84">
        <v>-18404</v>
      </c>
      <c r="I38" s="86">
        <v>-345</v>
      </c>
      <c r="J38" s="84">
        <v>0</v>
      </c>
      <c r="K38" s="84">
        <v>0</v>
      </c>
      <c r="L38" s="86">
        <v>-5376</v>
      </c>
      <c r="M38" s="84">
        <v>0</v>
      </c>
      <c r="N38" s="84">
        <v>-45258</v>
      </c>
      <c r="O38" s="84">
        <v>0</v>
      </c>
      <c r="P38" s="118">
        <v>-1439</v>
      </c>
      <c r="Q38" s="271">
        <v>-85</v>
      </c>
      <c r="R38" s="266">
        <v>-3937</v>
      </c>
    </row>
    <row r="39" spans="1:18" s="46" customFormat="1" ht="16">
      <c r="A39" s="106" t="s">
        <v>3</v>
      </c>
      <c r="B39" s="110" t="s">
        <v>176</v>
      </c>
      <c r="C39" s="113" t="s">
        <v>176</v>
      </c>
      <c r="D39" s="113" t="s">
        <v>176</v>
      </c>
      <c r="E39" s="113" t="s">
        <v>176</v>
      </c>
      <c r="F39" s="113" t="s">
        <v>176</v>
      </c>
      <c r="G39" s="86">
        <v>-976</v>
      </c>
      <c r="H39" s="84">
        <v>0</v>
      </c>
      <c r="I39" s="84">
        <v>0</v>
      </c>
      <c r="J39" s="84">
        <v>0</v>
      </c>
      <c r="K39" s="86">
        <v>-238</v>
      </c>
      <c r="L39" s="84">
        <v>0</v>
      </c>
      <c r="M39" s="84">
        <v>0</v>
      </c>
      <c r="N39" s="84">
        <v>0</v>
      </c>
      <c r="O39" s="84">
        <v>0</v>
      </c>
      <c r="P39" s="84">
        <v>0</v>
      </c>
      <c r="Q39" s="280">
        <v>-266</v>
      </c>
      <c r="R39" s="276">
        <v>-254</v>
      </c>
    </row>
    <row r="40" spans="1:18" s="46" customFormat="1" ht="16">
      <c r="A40" s="106" t="s">
        <v>4</v>
      </c>
      <c r="B40" s="112" t="s">
        <v>176</v>
      </c>
      <c r="C40" s="116" t="s">
        <v>176</v>
      </c>
      <c r="D40" s="116" t="s">
        <v>176</v>
      </c>
      <c r="E40" s="116" t="s">
        <v>176</v>
      </c>
      <c r="F40" s="108" t="s">
        <v>176</v>
      </c>
      <c r="G40" s="84">
        <v>0</v>
      </c>
      <c r="H40" s="84">
        <v>0</v>
      </c>
      <c r="I40" s="86">
        <v>-53</v>
      </c>
      <c r="J40" s="86">
        <v>-7346</v>
      </c>
      <c r="K40" s="84">
        <v>0</v>
      </c>
      <c r="L40" s="84">
        <v>0</v>
      </c>
      <c r="M40" s="84">
        <v>0</v>
      </c>
      <c r="N40" s="84">
        <v>-1</v>
      </c>
      <c r="O40" s="86">
        <v>-1</v>
      </c>
      <c r="P40" s="84">
        <v>0</v>
      </c>
      <c r="Q40" s="271">
        <v>-28</v>
      </c>
      <c r="R40" s="266">
        <v>-977</v>
      </c>
    </row>
    <row r="41" spans="1:18" s="46" customFormat="1" ht="16">
      <c r="A41" s="106" t="s">
        <v>5</v>
      </c>
      <c r="B41" s="110" t="s">
        <v>176</v>
      </c>
      <c r="C41" s="113" t="s">
        <v>176</v>
      </c>
      <c r="D41" s="113" t="s">
        <v>176</v>
      </c>
      <c r="E41" s="113" t="s">
        <v>176</v>
      </c>
      <c r="F41" s="110" t="s">
        <v>176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6">
        <v>-49</v>
      </c>
      <c r="N41" s="84">
        <v>0</v>
      </c>
      <c r="O41" s="84">
        <v>1</v>
      </c>
      <c r="P41" s="84">
        <v>-165</v>
      </c>
      <c r="Q41" s="281">
        <v>0</v>
      </c>
      <c r="R41" s="277">
        <v>-253</v>
      </c>
    </row>
    <row r="42" spans="1:18" s="46" customFormat="1" ht="16">
      <c r="A42" s="106" t="s">
        <v>6</v>
      </c>
      <c r="B42" s="112" t="s">
        <v>176</v>
      </c>
      <c r="C42" s="116" t="s">
        <v>176</v>
      </c>
      <c r="D42" s="116" t="s">
        <v>176</v>
      </c>
      <c r="E42" s="116" t="s">
        <v>176</v>
      </c>
      <c r="F42" s="108" t="s">
        <v>176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6">
        <v>-17403</v>
      </c>
      <c r="N42" s="84">
        <v>0</v>
      </c>
      <c r="O42" s="84">
        <v>0</v>
      </c>
      <c r="P42" s="84">
        <v>0</v>
      </c>
      <c r="Q42" s="281">
        <v>0</v>
      </c>
      <c r="R42" s="277">
        <v>-3371</v>
      </c>
    </row>
    <row r="43" spans="1:18" s="46" customFormat="1" ht="16">
      <c r="A43" s="106" t="s">
        <v>7</v>
      </c>
      <c r="B43" s="110" t="s">
        <v>176</v>
      </c>
      <c r="C43" s="113" t="s">
        <v>176</v>
      </c>
      <c r="D43" s="113" t="s">
        <v>176</v>
      </c>
      <c r="E43" s="113" t="s">
        <v>176</v>
      </c>
      <c r="F43" s="110" t="s">
        <v>176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-1641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112" t="s">
        <v>176</v>
      </c>
      <c r="C44" s="116" t="s">
        <v>176</v>
      </c>
      <c r="D44" s="116" t="s">
        <v>176</v>
      </c>
      <c r="E44" s="116" t="s">
        <v>176</v>
      </c>
      <c r="F44" s="108" t="s">
        <v>176</v>
      </c>
      <c r="G44" s="84">
        <v>0</v>
      </c>
      <c r="H44" s="84">
        <v>0</v>
      </c>
      <c r="I44" s="84">
        <v>0</v>
      </c>
      <c r="J44" s="86">
        <v>-470</v>
      </c>
      <c r="K44" s="84">
        <v>0</v>
      </c>
      <c r="L44" s="86">
        <v>-62</v>
      </c>
      <c r="M44" s="84">
        <v>0</v>
      </c>
      <c r="N44" s="84">
        <v>0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110" t="s">
        <v>176</v>
      </c>
      <c r="C45" s="113" t="s">
        <v>176</v>
      </c>
      <c r="D45" s="113" t="s">
        <v>176</v>
      </c>
      <c r="E45" s="113" t="s">
        <v>176</v>
      </c>
      <c r="F45" s="110" t="s">
        <v>176</v>
      </c>
      <c r="G45" s="84">
        <v>0</v>
      </c>
      <c r="H45" s="84">
        <v>0</v>
      </c>
      <c r="I45" s="84">
        <v>0</v>
      </c>
      <c r="J45" s="84">
        <v>0</v>
      </c>
      <c r="K45" s="86">
        <v>-13323</v>
      </c>
      <c r="L45" s="86">
        <v>-5945</v>
      </c>
      <c r="M45" s="84">
        <v>0</v>
      </c>
      <c r="N45" s="84">
        <v>0</v>
      </c>
      <c r="O45" s="84">
        <v>0</v>
      </c>
      <c r="P45" s="84">
        <v>0</v>
      </c>
      <c r="Q45" s="84">
        <v>-1</v>
      </c>
      <c r="R45" s="253" t="s">
        <v>176</v>
      </c>
    </row>
    <row r="46" spans="1:18" s="46" customFormat="1" ht="16">
      <c r="A46" s="106" t="s">
        <v>10</v>
      </c>
      <c r="B46" s="112" t="s">
        <v>176</v>
      </c>
      <c r="C46" s="116" t="s">
        <v>176</v>
      </c>
      <c r="D46" s="116" t="s">
        <v>176</v>
      </c>
      <c r="E46" s="116" t="s">
        <v>176</v>
      </c>
      <c r="F46" s="108" t="s">
        <v>176</v>
      </c>
      <c r="G46" s="84">
        <v>-5543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-3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110" t="s">
        <v>176</v>
      </c>
      <c r="C47" s="113" t="s">
        <v>176</v>
      </c>
      <c r="D47" s="113" t="s">
        <v>176</v>
      </c>
      <c r="E47" s="113" t="s">
        <v>176</v>
      </c>
      <c r="F47" s="110" t="s">
        <v>176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0</v>
      </c>
      <c r="M47" s="84">
        <v>0</v>
      </c>
      <c r="N47" s="84">
        <v>0</v>
      </c>
      <c r="O47" s="84">
        <v>0</v>
      </c>
      <c r="P47" s="84">
        <v>0</v>
      </c>
      <c r="Q47" s="84">
        <v>-566</v>
      </c>
      <c r="R47" s="253" t="s">
        <v>176</v>
      </c>
    </row>
    <row r="48" spans="1:18" s="46" customFormat="1" ht="17" thickBot="1">
      <c r="A48" s="107" t="s">
        <v>13</v>
      </c>
      <c r="B48" s="114" t="s">
        <v>176</v>
      </c>
      <c r="C48" s="117" t="s">
        <v>176</v>
      </c>
      <c r="D48" s="117" t="s">
        <v>176</v>
      </c>
      <c r="E48" s="117" t="s">
        <v>176</v>
      </c>
      <c r="F48" s="109" t="s">
        <v>176</v>
      </c>
      <c r="G48" s="92">
        <v>0</v>
      </c>
      <c r="H48" s="93">
        <v>-3061</v>
      </c>
      <c r="I48" s="92">
        <v>0</v>
      </c>
      <c r="J48" s="92">
        <v>0</v>
      </c>
      <c r="K48" s="92">
        <v>0</v>
      </c>
      <c r="L48" s="92">
        <v>0</v>
      </c>
      <c r="M48" s="92">
        <v>0</v>
      </c>
      <c r="N48" s="92">
        <v>0</v>
      </c>
      <c r="O48" s="92">
        <v>0</v>
      </c>
      <c r="P48" s="92">
        <v>0</v>
      </c>
      <c r="Q48" s="92">
        <v>-207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68">
        <f t="shared" ref="G49:P49" si="8">SUM(G37:G48)</f>
        <v>-10260</v>
      </c>
      <c r="H49" s="168">
        <f t="shared" si="8"/>
        <v>-21465</v>
      </c>
      <c r="I49" s="168">
        <f t="shared" si="8"/>
        <v>-398</v>
      </c>
      <c r="J49" s="168">
        <f t="shared" si="8"/>
        <v>-7816</v>
      </c>
      <c r="K49" s="168">
        <f t="shared" si="8"/>
        <v>-13561</v>
      </c>
      <c r="L49" s="168">
        <f t="shared" si="8"/>
        <v>-11383</v>
      </c>
      <c r="M49" s="168">
        <f t="shared" si="8"/>
        <v>-17452</v>
      </c>
      <c r="N49" s="168">
        <f t="shared" si="8"/>
        <v>-46903</v>
      </c>
      <c r="O49" s="168">
        <f t="shared" si="8"/>
        <v>0</v>
      </c>
      <c r="P49" s="169">
        <f t="shared" si="8"/>
        <v>-1604</v>
      </c>
      <c r="Q49" s="282">
        <f t="shared" ref="Q49" si="9">SUM(Q37:Q48)</f>
        <v>-1153</v>
      </c>
      <c r="R49" s="278">
        <f t="shared" ref="R49" si="10">SUM(R37:R48)</f>
        <v>-8792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52" t="s">
        <v>15</v>
      </c>
      <c r="B51" s="352"/>
      <c r="C51" s="352"/>
      <c r="D51" s="352"/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</row>
    <row r="52" spans="1:18" s="48" customFormat="1" ht="14">
      <c r="A52" s="322" t="s">
        <v>287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2" t="str">
        <f>'Local SUT'!A67</f>
        <v>Source:  Minnesota Department of Revenue, Tax Research Division, February 2021</v>
      </c>
      <c r="B53" s="322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</row>
    <row r="54" spans="1:18" s="48" customFormat="1" ht="14">
      <c r="A54" s="323" t="s">
        <v>174</v>
      </c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</row>
    <row r="57" spans="1:18">
      <c r="B57" s="108" t="s">
        <v>176</v>
      </c>
    </row>
  </sheetData>
  <mergeCells count="12">
    <mergeCell ref="A53:R53"/>
    <mergeCell ref="A54:R54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66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5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0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240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128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9</v>
      </c>
      <c r="P5" s="174">
        <v>54026</v>
      </c>
      <c r="Q5" s="174">
        <v>61879</v>
      </c>
      <c r="R5" s="255">
        <v>70006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40821</v>
      </c>
      <c r="P6" s="84">
        <v>49301</v>
      </c>
      <c r="Q6" s="84">
        <v>51482</v>
      </c>
      <c r="R6" s="256">
        <v>59318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42990</v>
      </c>
      <c r="P7" s="84">
        <v>44207</v>
      </c>
      <c r="Q7" s="84">
        <v>47410</v>
      </c>
      <c r="R7" s="257">
        <v>54175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>
        <v>47315</v>
      </c>
      <c r="P8" s="84">
        <v>61565</v>
      </c>
      <c r="Q8" s="84">
        <v>78887</v>
      </c>
      <c r="R8" s="257">
        <v>53058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>
        <v>29781</v>
      </c>
      <c r="P9" s="84">
        <v>33253</v>
      </c>
      <c r="Q9" s="84">
        <v>36798</v>
      </c>
      <c r="R9" s="258">
        <v>23297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>
        <v>47861</v>
      </c>
      <c r="P10" s="84">
        <v>48867</v>
      </c>
      <c r="Q10" s="84">
        <v>57258</v>
      </c>
      <c r="R10" s="259">
        <v>36262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>
        <v>68889</v>
      </c>
      <c r="P11" s="84">
        <v>73881</v>
      </c>
      <c r="Q11" s="84">
        <v>86641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>
        <v>93954</v>
      </c>
      <c r="P12" s="84">
        <v>103598</v>
      </c>
      <c r="Q12" s="84">
        <v>114943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93632</v>
      </c>
      <c r="P13" s="84">
        <v>102095</v>
      </c>
      <c r="Q13" s="84">
        <v>116062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92561</v>
      </c>
      <c r="P14" s="84">
        <v>107691</v>
      </c>
      <c r="Q14" s="84">
        <v>110068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61824</v>
      </c>
      <c r="P15" s="84">
        <v>80201</v>
      </c>
      <c r="Q15" s="84">
        <v>75238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36549</v>
      </c>
      <c r="P16" s="92">
        <v>47851</v>
      </c>
      <c r="Q16" s="92">
        <v>44392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656186</v>
      </c>
      <c r="P17" s="168">
        <f>SUM(P5:P16)</f>
        <v>806536</v>
      </c>
      <c r="Q17" s="168">
        <f>SUM(Q5:Q16)</f>
        <v>881058</v>
      </c>
      <c r="R17" s="172">
        <f t="shared" ref="R17" si="0">SUM(R5:R16)</f>
        <v>296116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129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0</v>
      </c>
      <c r="P21" s="174">
        <v>2166</v>
      </c>
      <c r="Q21" s="174">
        <v>1952</v>
      </c>
      <c r="R21" s="265">
        <v>3025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995</v>
      </c>
      <c r="P22" s="84">
        <v>1257</v>
      </c>
      <c r="Q22" s="84">
        <v>843</v>
      </c>
      <c r="R22" s="266">
        <v>2333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912</v>
      </c>
      <c r="P23" s="84">
        <v>1352</v>
      </c>
      <c r="Q23" s="84">
        <v>1501</v>
      </c>
      <c r="R23" s="267">
        <v>1513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>
        <v>1366</v>
      </c>
      <c r="P24" s="84">
        <v>2786</v>
      </c>
      <c r="Q24" s="84">
        <v>1445</v>
      </c>
      <c r="R24" s="268">
        <v>1949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>
        <v>2118</v>
      </c>
      <c r="P25" s="84">
        <v>768</v>
      </c>
      <c r="Q25" s="84">
        <v>993</v>
      </c>
      <c r="R25" s="267">
        <v>878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>
        <v>1823</v>
      </c>
      <c r="P26" s="84">
        <v>1365</v>
      </c>
      <c r="Q26" s="84">
        <v>1169</v>
      </c>
      <c r="R26" s="269">
        <v>2459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>
        <v>1387</v>
      </c>
      <c r="P27" s="84">
        <v>2541</v>
      </c>
      <c r="Q27" s="84">
        <v>1779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>
        <v>4443</v>
      </c>
      <c r="P28" s="84">
        <v>3156</v>
      </c>
      <c r="Q28" s="84">
        <v>2442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1753</v>
      </c>
      <c r="P29" s="84">
        <v>1107</v>
      </c>
      <c r="Q29" s="84">
        <v>1873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2620</v>
      </c>
      <c r="P30" s="84">
        <v>1882</v>
      </c>
      <c r="Q30" s="84">
        <v>2252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2527</v>
      </c>
      <c r="P31" s="84">
        <v>2199</v>
      </c>
      <c r="Q31" s="84">
        <v>2435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1448</v>
      </c>
      <c r="P32" s="92">
        <v>2345</v>
      </c>
      <c r="Q32" s="92">
        <v>1573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21392</v>
      </c>
      <c r="P33" s="168">
        <f>SUM(P21:P32)</f>
        <v>22924</v>
      </c>
      <c r="Q33" s="168">
        <f>SUM(Q21:Q32)</f>
        <v>20257</v>
      </c>
      <c r="R33" s="172">
        <f t="shared" ref="R33" si="1">SUM(R21:R32)</f>
        <v>12157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130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0</v>
      </c>
      <c r="Q37" s="174">
        <v>0</v>
      </c>
      <c r="R37" s="275">
        <v>0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0</v>
      </c>
      <c r="Q38" s="84">
        <v>-43</v>
      </c>
      <c r="R38" s="266">
        <v>-1560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0</v>
      </c>
      <c r="Q39" s="84">
        <v>-322</v>
      </c>
      <c r="R39" s="276">
        <v>-68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>
        <v>0</v>
      </c>
      <c r="P40" s="84">
        <v>0</v>
      </c>
      <c r="Q40" s="84">
        <v>0</v>
      </c>
      <c r="R40" s="266">
        <v>-461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>
        <v>0</v>
      </c>
      <c r="P41" s="84">
        <v>-45</v>
      </c>
      <c r="Q41" s="84">
        <v>0</v>
      </c>
      <c r="R41" s="277">
        <v>-126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>
        <v>0</v>
      </c>
      <c r="P42" s="84">
        <v>0</v>
      </c>
      <c r="Q42" s="84">
        <v>0</v>
      </c>
      <c r="R42" s="277">
        <v>-1335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-225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-2</v>
      </c>
      <c r="Q48" s="92">
        <v>-44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0</v>
      </c>
      <c r="P49" s="168">
        <f>SUM(P37:P48)</f>
        <v>-47</v>
      </c>
      <c r="Q49" s="168">
        <f>SUM(Q37:Q48)</f>
        <v>-634</v>
      </c>
      <c r="R49" s="278">
        <f t="shared" ref="R49" si="2">SUM(R37:R48)</f>
        <v>-3550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T1"/>
    <mergeCell ref="A2:R2"/>
    <mergeCell ref="A3:R3"/>
    <mergeCell ref="A18:R18"/>
    <mergeCell ref="A19:R19"/>
  </mergeCells>
  <pageMargins left="0.7" right="0.7" top="0.75" bottom="0.75" header="0.3" footer="0.3"/>
  <pageSetup scale="86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5">
    <pageSetUpPr fitToPage="1"/>
  </sheetPr>
  <dimension ref="A1:U54"/>
  <sheetViews>
    <sheetView showGridLines="0" workbookViewId="0">
      <selection sqref="A1:U1"/>
    </sheetView>
  </sheetViews>
  <sheetFormatPr baseColWidth="10" defaultColWidth="12.5" defaultRowHeight="15"/>
  <cols>
    <col min="1" max="1" width="12.5" style="121"/>
    <col min="2" max="15" width="0" style="120" hidden="1" customWidth="1"/>
    <col min="16" max="17" width="12.5" style="120"/>
    <col min="18" max="18" width="13.6640625" style="81" bestFit="1" customWidth="1"/>
    <col min="19" max="16384" width="12.5" style="120"/>
  </cols>
  <sheetData>
    <row r="1" spans="1:21" s="44" customFormat="1" ht="21">
      <c r="A1" s="333" t="s">
        <v>218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</row>
    <row r="2" spans="1:21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1" s="45" customFormat="1" ht="19">
      <c r="A3" s="346" t="s">
        <v>185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1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1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36" t="s">
        <v>176</v>
      </c>
      <c r="Q5" s="174">
        <v>269603</v>
      </c>
      <c r="R5" s="255">
        <v>282032</v>
      </c>
    </row>
    <row r="6" spans="1:21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>
        <v>205188</v>
      </c>
      <c r="R6" s="256">
        <v>209445</v>
      </c>
    </row>
    <row r="7" spans="1:21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>
        <v>188048</v>
      </c>
      <c r="R7" s="257">
        <v>211401</v>
      </c>
    </row>
    <row r="8" spans="1:21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176">
        <v>58</v>
      </c>
      <c r="Q8" s="83">
        <v>217411</v>
      </c>
      <c r="R8" s="257">
        <v>228996</v>
      </c>
    </row>
    <row r="9" spans="1:21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156906</v>
      </c>
      <c r="Q9" s="84">
        <v>229471</v>
      </c>
      <c r="R9" s="258">
        <v>250608</v>
      </c>
    </row>
    <row r="10" spans="1:21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265247</v>
      </c>
      <c r="Q10" s="84">
        <v>272394</v>
      </c>
      <c r="R10" s="259">
        <v>300544</v>
      </c>
    </row>
    <row r="11" spans="1:21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229274</v>
      </c>
      <c r="Q11" s="84">
        <v>263434</v>
      </c>
      <c r="R11" s="252" t="s">
        <v>176</v>
      </c>
    </row>
    <row r="12" spans="1:21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276436</v>
      </c>
      <c r="Q12" s="84">
        <v>309019</v>
      </c>
      <c r="R12" s="253" t="s">
        <v>176</v>
      </c>
    </row>
    <row r="13" spans="1:21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258363</v>
      </c>
      <c r="Q13" s="84">
        <v>277098</v>
      </c>
      <c r="R13" s="253" t="s">
        <v>176</v>
      </c>
    </row>
    <row r="14" spans="1:21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>
        <v>241187</v>
      </c>
      <c r="Q14" s="84">
        <v>266929</v>
      </c>
      <c r="R14" s="253" t="s">
        <v>176</v>
      </c>
    </row>
    <row r="15" spans="1:21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>
        <v>245512</v>
      </c>
      <c r="Q15" s="84">
        <v>250510</v>
      </c>
      <c r="R15" s="253" t="s">
        <v>176</v>
      </c>
    </row>
    <row r="16" spans="1:21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 t="s">
        <v>176</v>
      </c>
      <c r="P16" s="92">
        <v>252195</v>
      </c>
      <c r="Q16" s="92">
        <v>259400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04" t="s">
        <v>176</v>
      </c>
      <c r="P17" s="168">
        <f>SUM(P5:P16)</f>
        <v>1925178</v>
      </c>
      <c r="Q17" s="168">
        <f>SUM(Q5:Q16)</f>
        <v>3008505</v>
      </c>
      <c r="R17" s="172">
        <f t="shared" ref="R17" si="0">SUM(R5:R16)</f>
        <v>1483026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53" t="s">
        <v>186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36" t="s">
        <v>176</v>
      </c>
      <c r="Q21" s="174">
        <v>11521</v>
      </c>
      <c r="R21" s="265">
        <v>25960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>
        <v>9250</v>
      </c>
      <c r="R22" s="266">
        <v>20471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>
        <v>9346</v>
      </c>
      <c r="R23" s="267">
        <v>9687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176">
        <v>0</v>
      </c>
      <c r="Q24" s="83">
        <v>10635</v>
      </c>
      <c r="R24" s="268">
        <v>16244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7519</v>
      </c>
      <c r="Q25" s="84">
        <v>13445</v>
      </c>
      <c r="R25" s="267">
        <v>9172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10818</v>
      </c>
      <c r="Q26" s="84">
        <v>8780</v>
      </c>
      <c r="R26" s="269">
        <v>13522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11333</v>
      </c>
      <c r="Q27" s="84">
        <v>11320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15249</v>
      </c>
      <c r="Q28" s="84">
        <v>13662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19685</v>
      </c>
      <c r="Q29" s="84">
        <v>24095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>
        <v>18332</v>
      </c>
      <c r="Q30" s="84">
        <v>18038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>
        <v>10553</v>
      </c>
      <c r="Q31" s="84">
        <v>20903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 t="s">
        <v>176</v>
      </c>
      <c r="P32" s="92">
        <v>10140</v>
      </c>
      <c r="Q32" s="92">
        <v>9395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04" t="s">
        <v>176</v>
      </c>
      <c r="P33" s="168">
        <f>SUM(P21:P32)</f>
        <v>103629</v>
      </c>
      <c r="Q33" s="168">
        <f>SUM(Q21:Q32)</f>
        <v>160390</v>
      </c>
      <c r="R33" s="172">
        <f t="shared" ref="R33" si="1">SUM(R21:R32)</f>
        <v>95056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187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36" t="s">
        <v>176</v>
      </c>
      <c r="Q37" s="174">
        <v>0</v>
      </c>
      <c r="R37" s="275">
        <v>-5082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>
        <v>-1650</v>
      </c>
      <c r="R38" s="266">
        <v>0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>
        <v>-15</v>
      </c>
      <c r="R39" s="276">
        <v>-47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176">
        <v>0</v>
      </c>
      <c r="Q40" s="83">
        <v>-1</v>
      </c>
      <c r="R40" s="266">
        <v>-87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0</v>
      </c>
      <c r="R41" s="277">
        <v>-5110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-7</v>
      </c>
      <c r="R42" s="277">
        <v>-198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0</v>
      </c>
      <c r="Q44" s="84">
        <v>-1142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 t="s">
        <v>176</v>
      </c>
      <c r="P48" s="92">
        <v>-21</v>
      </c>
      <c r="Q48" s="92">
        <v>0</v>
      </c>
      <c r="R48" s="254" t="s">
        <v>176</v>
      </c>
    </row>
    <row r="49" spans="1:19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04" t="s">
        <v>176</v>
      </c>
      <c r="P49" s="168">
        <f>SUM(P37:P48)</f>
        <v>-21</v>
      </c>
      <c r="Q49" s="168">
        <f>SUM(Q37:Q48)</f>
        <v>-2815</v>
      </c>
      <c r="R49" s="278">
        <f t="shared" ref="R49" si="2">SUM(R37:R48)</f>
        <v>-10524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48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</row>
    <row r="53" spans="1:19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9">
      <c r="R54" s="48"/>
    </row>
  </sheetData>
  <mergeCells count="11">
    <mergeCell ref="A1:U1"/>
    <mergeCell ref="A19:R19"/>
    <mergeCell ref="A3:R3"/>
    <mergeCell ref="A2:R2"/>
    <mergeCell ref="A18:R18"/>
    <mergeCell ref="A53:R53"/>
    <mergeCell ref="A34:R34"/>
    <mergeCell ref="A51:R51"/>
    <mergeCell ref="A35:R35"/>
    <mergeCell ref="A50:R50"/>
    <mergeCell ref="A52:S52"/>
  </mergeCells>
  <pageMargins left="0.7" right="0.7" top="0.75" bottom="0.75" header="0.3" footer="0.3"/>
  <pageSetup scale="86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12.5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241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41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122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167816</v>
      </c>
      <c r="O5" s="174">
        <v>165708</v>
      </c>
      <c r="P5" s="174">
        <v>167554</v>
      </c>
      <c r="Q5" s="174">
        <v>159017</v>
      </c>
      <c r="R5" s="255">
        <v>178721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119448</v>
      </c>
      <c r="O6" s="84">
        <v>126627</v>
      </c>
      <c r="P6" s="84">
        <v>128614</v>
      </c>
      <c r="Q6" s="84">
        <v>122738</v>
      </c>
      <c r="R6" s="256">
        <v>143752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119930</v>
      </c>
      <c r="O7" s="84">
        <v>115711</v>
      </c>
      <c r="P7" s="84">
        <v>111896</v>
      </c>
      <c r="Q7" s="84">
        <v>121022</v>
      </c>
      <c r="R7" s="257">
        <v>138349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>
        <v>139599</v>
      </c>
      <c r="O8" s="84">
        <v>133026</v>
      </c>
      <c r="P8" s="84">
        <v>140402</v>
      </c>
      <c r="Q8" s="84">
        <v>149674</v>
      </c>
      <c r="R8" s="257">
        <v>155560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140581</v>
      </c>
      <c r="O9" s="84">
        <v>146686</v>
      </c>
      <c r="P9" s="84">
        <v>129917</v>
      </c>
      <c r="Q9" s="84">
        <v>145891</v>
      </c>
      <c r="R9" s="258">
        <v>149654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149460</v>
      </c>
      <c r="O10" s="84">
        <v>159755</v>
      </c>
      <c r="P10" s="84">
        <v>161321</v>
      </c>
      <c r="Q10" s="84">
        <v>173708</v>
      </c>
      <c r="R10" s="259">
        <v>183314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136278</v>
      </c>
      <c r="O11" s="84">
        <v>136598</v>
      </c>
      <c r="P11" s="84">
        <v>138247</v>
      </c>
      <c r="Q11" s="84">
        <v>172943</v>
      </c>
      <c r="R11" s="252" t="s">
        <v>176</v>
      </c>
    </row>
    <row r="12" spans="1:18" s="46" customFormat="1" ht="16">
      <c r="A12" s="106" t="s">
        <v>8</v>
      </c>
      <c r="B12" s="147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179771</v>
      </c>
      <c r="O12" s="84">
        <v>177959</v>
      </c>
      <c r="P12" s="84">
        <v>183400</v>
      </c>
      <c r="Q12" s="84">
        <v>178590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148831</v>
      </c>
      <c r="O13" s="84">
        <v>171874</v>
      </c>
      <c r="P13" s="84">
        <v>158052</v>
      </c>
      <c r="Q13" s="84">
        <v>192896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176">
        <v>1</v>
      </c>
      <c r="N14" s="84">
        <v>162693</v>
      </c>
      <c r="O14" s="84">
        <v>172580</v>
      </c>
      <c r="P14" s="84">
        <v>150612</v>
      </c>
      <c r="Q14" s="84">
        <v>168260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>
        <v>133693</v>
      </c>
      <c r="N15" s="84">
        <v>134289</v>
      </c>
      <c r="O15" s="84">
        <v>135696</v>
      </c>
      <c r="P15" s="84">
        <v>157976</v>
      </c>
      <c r="Q15" s="84">
        <v>165388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140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>
        <v>140613</v>
      </c>
      <c r="N16" s="92">
        <v>140355</v>
      </c>
      <c r="O16" s="92">
        <v>145887</v>
      </c>
      <c r="P16" s="92">
        <v>149284</v>
      </c>
      <c r="Q16" s="92">
        <v>165630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274307</v>
      </c>
      <c r="N17" s="168">
        <f>SUM(N5:N16)</f>
        <v>1739051</v>
      </c>
      <c r="O17" s="168">
        <f>SUM(O5:O16)</f>
        <v>1788107</v>
      </c>
      <c r="P17" s="168">
        <f>SUM(P5:P16)</f>
        <v>1777275</v>
      </c>
      <c r="Q17" s="168">
        <f>SUM(Q5:Q16)</f>
        <v>1915757</v>
      </c>
      <c r="R17" s="172">
        <f t="shared" ref="R17" si="0">SUM(R5:R16)</f>
        <v>949350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6" customFormat="1" ht="19">
      <c r="A19" s="348" t="s">
        <v>42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122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16357</v>
      </c>
      <c r="O21" s="174">
        <v>9217</v>
      </c>
      <c r="P21" s="174">
        <v>10082</v>
      </c>
      <c r="Q21" s="174">
        <v>13296</v>
      </c>
      <c r="R21" s="265">
        <v>14706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9091</v>
      </c>
      <c r="O22" s="84">
        <v>6443</v>
      </c>
      <c r="P22" s="84">
        <v>8191</v>
      </c>
      <c r="Q22" s="84">
        <v>15054</v>
      </c>
      <c r="R22" s="266">
        <v>10626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8742</v>
      </c>
      <c r="O23" s="84">
        <v>8015</v>
      </c>
      <c r="P23" s="84">
        <v>8156</v>
      </c>
      <c r="Q23" s="84">
        <v>9232</v>
      </c>
      <c r="R23" s="267">
        <v>-63175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>
        <v>16510</v>
      </c>
      <c r="O24" s="84">
        <v>9634</v>
      </c>
      <c r="P24" s="84">
        <v>10683</v>
      </c>
      <c r="Q24" s="84">
        <v>8954</v>
      </c>
      <c r="R24" s="268">
        <v>11350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12006</v>
      </c>
      <c r="O25" s="84">
        <v>-9460</v>
      </c>
      <c r="P25" s="84">
        <v>10862</v>
      </c>
      <c r="Q25" s="84">
        <v>11623</v>
      </c>
      <c r="R25" s="267">
        <v>11748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11009</v>
      </c>
      <c r="O26" s="84">
        <v>10011</v>
      </c>
      <c r="P26" s="84">
        <v>10804</v>
      </c>
      <c r="Q26" s="84">
        <v>13298</v>
      </c>
      <c r="R26" s="269">
        <v>-62079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14389</v>
      </c>
      <c r="O27" s="84">
        <v>10180</v>
      </c>
      <c r="P27" s="84">
        <v>10051</v>
      </c>
      <c r="Q27" s="84">
        <v>10850</v>
      </c>
      <c r="R27" s="252" t="s">
        <v>176</v>
      </c>
    </row>
    <row r="28" spans="1:18" s="46" customFormat="1" ht="16">
      <c r="A28" s="106" t="s">
        <v>8</v>
      </c>
      <c r="B28" s="147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7469</v>
      </c>
      <c r="O28" s="84">
        <v>10351</v>
      </c>
      <c r="P28" s="84">
        <v>7933</v>
      </c>
      <c r="Q28" s="84">
        <v>15439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3656</v>
      </c>
      <c r="O29" s="84">
        <v>11984</v>
      </c>
      <c r="P29" s="84">
        <v>8862</v>
      </c>
      <c r="Q29" s="84">
        <v>21953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176">
        <v>0</v>
      </c>
      <c r="N30" s="84">
        <v>10233</v>
      </c>
      <c r="O30" s="84">
        <v>10858</v>
      </c>
      <c r="P30" s="84">
        <v>9615</v>
      </c>
      <c r="Q30" s="84">
        <v>14234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>
        <v>8982</v>
      </c>
      <c r="N31" s="84">
        <v>11388</v>
      </c>
      <c r="O31" s="84">
        <v>8061</v>
      </c>
      <c r="P31" s="84">
        <v>22764</v>
      </c>
      <c r="Q31" s="84">
        <v>19726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140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>
        <v>8250</v>
      </c>
      <c r="N32" s="92">
        <v>8480</v>
      </c>
      <c r="O32" s="92">
        <v>7481</v>
      </c>
      <c r="P32" s="92">
        <v>14267</v>
      </c>
      <c r="Q32" s="92">
        <v>10902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17232</v>
      </c>
      <c r="N33" s="168">
        <f>SUM(N21:N32)</f>
        <v>129330</v>
      </c>
      <c r="O33" s="168">
        <f>SUM(O21:O32)</f>
        <v>92775</v>
      </c>
      <c r="P33" s="168">
        <f>SUM(P21:P32)</f>
        <v>132270</v>
      </c>
      <c r="Q33" s="168">
        <f>SUM(Q21:Q32)</f>
        <v>164561</v>
      </c>
      <c r="R33" s="172">
        <f t="shared" ref="R33" si="1">SUM(R21:R32)</f>
        <v>-76824</v>
      </c>
    </row>
    <row r="34" spans="1:18" s="145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6" customFormat="1" ht="19">
      <c r="A35" s="348" t="s">
        <v>105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139" t="s">
        <v>0</v>
      </c>
      <c r="B36" s="137">
        <v>2004</v>
      </c>
      <c r="C36" s="133">
        <v>2005</v>
      </c>
      <c r="D36" s="133">
        <v>2006</v>
      </c>
      <c r="E36" s="133">
        <v>2007</v>
      </c>
      <c r="F36" s="133">
        <v>2008</v>
      </c>
      <c r="G36" s="133">
        <v>2009</v>
      </c>
      <c r="H36" s="133">
        <v>2010</v>
      </c>
      <c r="I36" s="133">
        <v>2011</v>
      </c>
      <c r="J36" s="134">
        <v>2012</v>
      </c>
      <c r="K36" s="134">
        <v>2013</v>
      </c>
      <c r="L36" s="134">
        <v>2014</v>
      </c>
      <c r="M36" s="134">
        <v>2015</v>
      </c>
      <c r="N36" s="134">
        <v>2016</v>
      </c>
      <c r="O36" s="134">
        <v>2017</v>
      </c>
      <c r="P36" s="134">
        <v>2018</v>
      </c>
      <c r="Q36" s="134">
        <v>2019</v>
      </c>
      <c r="R36" s="119">
        <v>2020</v>
      </c>
    </row>
    <row r="37" spans="1:18" s="46" customFormat="1" ht="16">
      <c r="A37" s="215" t="s">
        <v>1</v>
      </c>
      <c r="B37" s="216" t="s">
        <v>176</v>
      </c>
      <c r="C37" s="217" t="s">
        <v>176</v>
      </c>
      <c r="D37" s="220" t="s">
        <v>176</v>
      </c>
      <c r="E37" s="220" t="s">
        <v>176</v>
      </c>
      <c r="F37" s="217" t="s">
        <v>176</v>
      </c>
      <c r="G37" s="217" t="s">
        <v>176</v>
      </c>
      <c r="H37" s="220" t="s">
        <v>176</v>
      </c>
      <c r="I37" s="220" t="s">
        <v>176</v>
      </c>
      <c r="J37" s="220" t="s">
        <v>176</v>
      </c>
      <c r="K37" s="220" t="s">
        <v>176</v>
      </c>
      <c r="L37" s="220" t="s">
        <v>176</v>
      </c>
      <c r="M37" s="220" t="s">
        <v>176</v>
      </c>
      <c r="N37" s="221">
        <v>0</v>
      </c>
      <c r="O37" s="221">
        <v>-148</v>
      </c>
      <c r="P37" s="221">
        <v>-97</v>
      </c>
      <c r="Q37" s="221">
        <v>-440</v>
      </c>
      <c r="R37" s="275">
        <v>0</v>
      </c>
    </row>
    <row r="38" spans="1:18" s="46" customFormat="1" ht="16">
      <c r="A38" s="105" t="s">
        <v>2</v>
      </c>
      <c r="B38" s="138" t="s">
        <v>176</v>
      </c>
      <c r="C38" s="135" t="s">
        <v>176</v>
      </c>
      <c r="D38" s="136" t="s">
        <v>176</v>
      </c>
      <c r="E38" s="136" t="s">
        <v>176</v>
      </c>
      <c r="F38" s="136" t="s">
        <v>176</v>
      </c>
      <c r="G38" s="135" t="s">
        <v>176</v>
      </c>
      <c r="H38" s="136" t="s">
        <v>176</v>
      </c>
      <c r="I38" s="136" t="s">
        <v>176</v>
      </c>
      <c r="J38" s="136" t="s">
        <v>176</v>
      </c>
      <c r="K38" s="136" t="s">
        <v>176</v>
      </c>
      <c r="L38" s="136" t="s">
        <v>176</v>
      </c>
      <c r="M38" s="136" t="s">
        <v>176</v>
      </c>
      <c r="N38" s="136">
        <v>-51</v>
      </c>
      <c r="O38" s="136">
        <v>-169</v>
      </c>
      <c r="P38" s="136">
        <v>-25</v>
      </c>
      <c r="Q38" s="136">
        <v>-1601</v>
      </c>
      <c r="R38" s="266">
        <v>-356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0</v>
      </c>
      <c r="O39" s="84">
        <v>0</v>
      </c>
      <c r="P39" s="84">
        <v>0</v>
      </c>
      <c r="Q39" s="84">
        <v>-148</v>
      </c>
      <c r="R39" s="276">
        <v>-367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>
        <v>0</v>
      </c>
      <c r="O40" s="84">
        <v>0</v>
      </c>
      <c r="P40" s="84">
        <v>0</v>
      </c>
      <c r="Q40" s="84">
        <v>-68</v>
      </c>
      <c r="R40" s="277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-428</v>
      </c>
      <c r="P41" s="84">
        <v>-419</v>
      </c>
      <c r="Q41" s="84">
        <v>0</v>
      </c>
      <c r="R41" s="277">
        <v>-342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-312</v>
      </c>
      <c r="P42" s="84">
        <v>-39</v>
      </c>
      <c r="Q42" s="84">
        <v>0</v>
      </c>
      <c r="R42" s="277">
        <v>-414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147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0</v>
      </c>
      <c r="O44" s="84">
        <v>0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-448</v>
      </c>
      <c r="O45" s="84">
        <v>0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176">
        <v>0</v>
      </c>
      <c r="N46" s="84">
        <v>0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>
        <v>0</v>
      </c>
      <c r="N47" s="84">
        <v>0</v>
      </c>
      <c r="O47" s="84">
        <v>0</v>
      </c>
      <c r="P47" s="84">
        <v>0</v>
      </c>
      <c r="Q47" s="84">
        <v>-14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140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>
        <v>0</v>
      </c>
      <c r="N48" s="92">
        <v>-302</v>
      </c>
      <c r="O48" s="92">
        <v>0</v>
      </c>
      <c r="P48" s="92">
        <v>-86</v>
      </c>
      <c r="Q48" s="92">
        <v>-214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0</v>
      </c>
      <c r="N49" s="168">
        <f>SUM(N37:N48)</f>
        <v>-801</v>
      </c>
      <c r="O49" s="168">
        <f>SUM(O37:O48)</f>
        <v>-1057</v>
      </c>
      <c r="P49" s="168">
        <f>SUM(P37:P48)</f>
        <v>-666</v>
      </c>
      <c r="Q49" s="168">
        <f>SUM(Q37:Q48)</f>
        <v>-2485</v>
      </c>
      <c r="R49" s="278">
        <f t="shared" ref="R49" si="2">SUM(R37:R48)</f>
        <v>-1479</v>
      </c>
    </row>
    <row r="50" spans="1:18" s="145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R1"/>
    <mergeCell ref="A2:R2"/>
    <mergeCell ref="A3:R3"/>
    <mergeCell ref="A18:R18"/>
    <mergeCell ref="A19:R19"/>
  </mergeCells>
  <pageMargins left="0.75" right="0" top="0.75" bottom="0.75" header="0.3" footer="0.3"/>
  <pageSetup scale="86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baseColWidth="10" defaultColWidth="12.5" defaultRowHeight="15"/>
  <cols>
    <col min="1" max="1" width="12.5" style="121"/>
    <col min="2" max="15" width="0" style="120" hidden="1" customWidth="1"/>
    <col min="16" max="17" width="12.5" style="120"/>
    <col min="18" max="18" width="13.6640625" style="81" bestFit="1" customWidth="1"/>
    <col min="19" max="16384" width="12.5" style="120"/>
  </cols>
  <sheetData>
    <row r="1" spans="1:21" s="44" customFormat="1" ht="21">
      <c r="A1" s="333" t="s">
        <v>221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</row>
    <row r="2" spans="1:21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1" s="45" customFormat="1" ht="19">
      <c r="A3" s="346" t="s">
        <v>189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1" s="46" customFormat="1" ht="16">
      <c r="A4" s="291" t="s">
        <v>0</v>
      </c>
      <c r="B4" s="100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294">
        <v>2017</v>
      </c>
      <c r="P4" s="298">
        <v>2018</v>
      </c>
      <c r="Q4" s="101">
        <v>2019</v>
      </c>
      <c r="R4" s="119">
        <v>2020</v>
      </c>
    </row>
    <row r="5" spans="1:21" s="46" customFormat="1" ht="16">
      <c r="A5" s="289" t="s">
        <v>1</v>
      </c>
      <c r="B5" s="122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295" t="s">
        <v>176</v>
      </c>
      <c r="P5" s="299">
        <v>72</v>
      </c>
      <c r="Q5" s="174">
        <v>122099</v>
      </c>
      <c r="R5" s="293">
        <v>159989</v>
      </c>
    </row>
    <row r="6" spans="1:21" s="46" customFormat="1" ht="16">
      <c r="A6" s="146" t="s">
        <v>2</v>
      </c>
      <c r="B6" s="85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118" t="s">
        <v>176</v>
      </c>
      <c r="P6" s="300">
        <v>65641</v>
      </c>
      <c r="Q6" s="84">
        <v>111721</v>
      </c>
      <c r="R6" s="256">
        <v>145112</v>
      </c>
    </row>
    <row r="7" spans="1:21" s="46" customFormat="1" ht="16">
      <c r="A7" s="146" t="s">
        <v>3</v>
      </c>
      <c r="B7" s="85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118" t="s">
        <v>176</v>
      </c>
      <c r="P7" s="300">
        <v>74166</v>
      </c>
      <c r="Q7" s="84">
        <v>100721</v>
      </c>
      <c r="R7" s="257">
        <v>108866</v>
      </c>
    </row>
    <row r="8" spans="1:21" s="46" customFormat="1" ht="16">
      <c r="A8" s="146" t="s">
        <v>4</v>
      </c>
      <c r="B8" s="85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118" t="s">
        <v>176</v>
      </c>
      <c r="P8" s="300">
        <v>92101</v>
      </c>
      <c r="Q8" s="84">
        <v>119977</v>
      </c>
      <c r="R8" s="257">
        <v>147381</v>
      </c>
    </row>
    <row r="9" spans="1:21" s="46" customFormat="1" ht="16">
      <c r="A9" s="146" t="s">
        <v>5</v>
      </c>
      <c r="B9" s="85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118" t="s">
        <v>176</v>
      </c>
      <c r="P9" s="300">
        <v>97083</v>
      </c>
      <c r="Q9" s="84">
        <v>154164</v>
      </c>
      <c r="R9" s="258">
        <v>137543</v>
      </c>
    </row>
    <row r="10" spans="1:21" s="46" customFormat="1" ht="16">
      <c r="A10" s="146" t="s">
        <v>6</v>
      </c>
      <c r="B10" s="85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118" t="s">
        <v>176</v>
      </c>
      <c r="P10" s="300">
        <v>126417</v>
      </c>
      <c r="Q10" s="84">
        <v>148925</v>
      </c>
      <c r="R10" s="259">
        <v>170611</v>
      </c>
    </row>
    <row r="11" spans="1:21" s="46" customFormat="1" ht="16">
      <c r="A11" s="146" t="s">
        <v>7</v>
      </c>
      <c r="B11" s="85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118" t="s">
        <v>176</v>
      </c>
      <c r="P11" s="300">
        <v>128792</v>
      </c>
      <c r="Q11" s="84">
        <v>149307</v>
      </c>
      <c r="R11" s="252" t="s">
        <v>176</v>
      </c>
    </row>
    <row r="12" spans="1:21" s="46" customFormat="1" ht="16">
      <c r="A12" s="146" t="s">
        <v>8</v>
      </c>
      <c r="B12" s="85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118" t="s">
        <v>176</v>
      </c>
      <c r="P12" s="300">
        <v>139388</v>
      </c>
      <c r="Q12" s="84">
        <v>181147</v>
      </c>
      <c r="R12" s="253" t="s">
        <v>176</v>
      </c>
    </row>
    <row r="13" spans="1:21" s="46" customFormat="1" ht="16">
      <c r="A13" s="146" t="s">
        <v>9</v>
      </c>
      <c r="B13" s="85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118" t="s">
        <v>176</v>
      </c>
      <c r="P13" s="300">
        <v>133394</v>
      </c>
      <c r="Q13" s="84">
        <v>167043</v>
      </c>
      <c r="R13" s="253" t="s">
        <v>176</v>
      </c>
    </row>
    <row r="14" spans="1:21" s="46" customFormat="1" ht="16">
      <c r="A14" s="146" t="s">
        <v>10</v>
      </c>
      <c r="B14" s="85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18" t="s">
        <v>176</v>
      </c>
      <c r="P14" s="300">
        <v>119238</v>
      </c>
      <c r="Q14" s="84">
        <v>162287</v>
      </c>
      <c r="R14" s="253" t="s">
        <v>176</v>
      </c>
    </row>
    <row r="15" spans="1:21" s="46" customFormat="1" ht="16">
      <c r="A15" s="146" t="s">
        <v>11</v>
      </c>
      <c r="B15" s="85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118" t="s">
        <v>176</v>
      </c>
      <c r="P15" s="300">
        <v>117129</v>
      </c>
      <c r="Q15" s="84">
        <v>147911</v>
      </c>
      <c r="R15" s="253" t="s">
        <v>176</v>
      </c>
    </row>
    <row r="16" spans="1:21" s="46" customFormat="1" ht="17" thickBot="1">
      <c r="A16" s="288" t="s">
        <v>13</v>
      </c>
      <c r="B16" s="95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296" t="s">
        <v>176</v>
      </c>
      <c r="P16" s="301">
        <v>113782</v>
      </c>
      <c r="Q16" s="92">
        <v>123828</v>
      </c>
      <c r="R16" s="254" t="s">
        <v>176</v>
      </c>
    </row>
    <row r="17" spans="1:18" s="46" customFormat="1" ht="17" thickTop="1">
      <c r="A17" s="287" t="s">
        <v>14</v>
      </c>
      <c r="B17" s="104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297" t="s">
        <v>176</v>
      </c>
      <c r="P17" s="302">
        <f>SUM(P5:P16)</f>
        <v>1207203</v>
      </c>
      <c r="Q17" s="168">
        <f>SUM(Q5:Q16)</f>
        <v>1689130</v>
      </c>
      <c r="R17" s="172">
        <f t="shared" ref="R17" si="0">SUM(R5:R16)</f>
        <v>869502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53" t="s">
        <v>190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</row>
    <row r="20" spans="1:18" s="46" customFormat="1" ht="16">
      <c r="A20" s="291" t="s">
        <v>0</v>
      </c>
      <c r="B20" s="128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303">
        <v>2017</v>
      </c>
      <c r="P20" s="304">
        <v>2018</v>
      </c>
      <c r="Q20" s="128">
        <v>2019</v>
      </c>
      <c r="R20" s="119">
        <v>2020</v>
      </c>
    </row>
    <row r="21" spans="1:18" s="46" customFormat="1" ht="16">
      <c r="A21" s="289" t="s">
        <v>1</v>
      </c>
      <c r="B21" s="122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295" t="s">
        <v>176</v>
      </c>
      <c r="P21" s="299">
        <v>0</v>
      </c>
      <c r="Q21" s="174">
        <v>13418</v>
      </c>
      <c r="R21" s="292">
        <v>9308</v>
      </c>
    </row>
    <row r="22" spans="1:18" s="46" customFormat="1" ht="16">
      <c r="A22" s="146" t="s">
        <v>2</v>
      </c>
      <c r="B22" s="85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118" t="s">
        <v>176</v>
      </c>
      <c r="P22" s="300">
        <v>3485</v>
      </c>
      <c r="Q22" s="84">
        <v>9294</v>
      </c>
      <c r="R22" s="266">
        <v>8344</v>
      </c>
    </row>
    <row r="23" spans="1:18" s="46" customFormat="1" ht="16">
      <c r="A23" s="146" t="s">
        <v>3</v>
      </c>
      <c r="B23" s="85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118" t="s">
        <v>176</v>
      </c>
      <c r="P23" s="300">
        <v>5768</v>
      </c>
      <c r="Q23" s="84">
        <v>9881</v>
      </c>
      <c r="R23" s="267">
        <v>6862</v>
      </c>
    </row>
    <row r="24" spans="1:18" s="46" customFormat="1" ht="16">
      <c r="A24" s="146" t="s">
        <v>4</v>
      </c>
      <c r="B24" s="85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118" t="s">
        <v>176</v>
      </c>
      <c r="P24" s="300">
        <v>7379</v>
      </c>
      <c r="Q24" s="84">
        <v>7444</v>
      </c>
      <c r="R24" s="268">
        <v>5429</v>
      </c>
    </row>
    <row r="25" spans="1:18" s="46" customFormat="1" ht="16">
      <c r="A25" s="146" t="s">
        <v>5</v>
      </c>
      <c r="B25" s="85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118" t="s">
        <v>176</v>
      </c>
      <c r="P25" s="300">
        <v>5663</v>
      </c>
      <c r="Q25" s="84">
        <v>7104</v>
      </c>
      <c r="R25" s="267">
        <v>6934</v>
      </c>
    </row>
    <row r="26" spans="1:18" s="46" customFormat="1" ht="16">
      <c r="A26" s="146" t="s">
        <v>6</v>
      </c>
      <c r="B26" s="85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118" t="s">
        <v>176</v>
      </c>
      <c r="P26" s="300">
        <v>9869</v>
      </c>
      <c r="Q26" s="84">
        <v>6030</v>
      </c>
      <c r="R26" s="269">
        <v>6303</v>
      </c>
    </row>
    <row r="27" spans="1:18" s="46" customFormat="1" ht="16">
      <c r="A27" s="146" t="s">
        <v>7</v>
      </c>
      <c r="B27" s="85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118" t="s">
        <v>176</v>
      </c>
      <c r="P27" s="300">
        <v>7364</v>
      </c>
      <c r="Q27" s="84">
        <v>11316</v>
      </c>
      <c r="R27" s="252" t="s">
        <v>176</v>
      </c>
    </row>
    <row r="28" spans="1:18" s="46" customFormat="1" ht="16">
      <c r="A28" s="146" t="s">
        <v>8</v>
      </c>
      <c r="B28" s="85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118" t="s">
        <v>176</v>
      </c>
      <c r="P28" s="300">
        <v>11768</v>
      </c>
      <c r="Q28" s="84">
        <v>15800</v>
      </c>
      <c r="R28" s="253" t="s">
        <v>176</v>
      </c>
    </row>
    <row r="29" spans="1:18" s="46" customFormat="1" ht="16">
      <c r="A29" s="146" t="s">
        <v>9</v>
      </c>
      <c r="B29" s="85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118" t="s">
        <v>176</v>
      </c>
      <c r="P29" s="300">
        <v>8353</v>
      </c>
      <c r="Q29" s="84">
        <v>20055</v>
      </c>
      <c r="R29" s="253" t="s">
        <v>176</v>
      </c>
    </row>
    <row r="30" spans="1:18" s="46" customFormat="1" ht="16">
      <c r="A30" s="146" t="s">
        <v>10</v>
      </c>
      <c r="B30" s="85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18" t="s">
        <v>176</v>
      </c>
      <c r="P30" s="300">
        <v>7688</v>
      </c>
      <c r="Q30" s="84">
        <v>10950</v>
      </c>
      <c r="R30" s="253" t="s">
        <v>176</v>
      </c>
    </row>
    <row r="31" spans="1:18" s="46" customFormat="1" ht="16">
      <c r="A31" s="146" t="s">
        <v>11</v>
      </c>
      <c r="B31" s="85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118" t="s">
        <v>176</v>
      </c>
      <c r="P31" s="300">
        <v>7176</v>
      </c>
      <c r="Q31" s="84">
        <v>8984</v>
      </c>
      <c r="R31" s="253" t="s">
        <v>176</v>
      </c>
    </row>
    <row r="32" spans="1:18" s="46" customFormat="1" ht="17" thickBot="1">
      <c r="A32" s="288" t="s">
        <v>13</v>
      </c>
      <c r="B32" s="95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296" t="s">
        <v>176</v>
      </c>
      <c r="P32" s="301">
        <v>9271</v>
      </c>
      <c r="Q32" s="92">
        <v>8329</v>
      </c>
      <c r="R32" s="254" t="s">
        <v>176</v>
      </c>
    </row>
    <row r="33" spans="1:18" s="46" customFormat="1" ht="17" thickTop="1">
      <c r="A33" s="287" t="s">
        <v>14</v>
      </c>
      <c r="B33" s="104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297" t="s">
        <v>176</v>
      </c>
      <c r="P33" s="302">
        <f>SUM(P21:P32)</f>
        <v>83784</v>
      </c>
      <c r="Q33" s="168">
        <f>SUM(Q21:Q32)</f>
        <v>128605</v>
      </c>
      <c r="R33" s="172">
        <f t="shared" ref="R33" si="1">SUM(R21:R32)</f>
        <v>43180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53" t="s">
        <v>191</v>
      </c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3"/>
      <c r="O35" s="353"/>
      <c r="P35" s="353"/>
      <c r="Q35" s="353"/>
      <c r="R35" s="353"/>
    </row>
    <row r="36" spans="1:18" s="46" customFormat="1" ht="16">
      <c r="A36" s="291" t="s">
        <v>0</v>
      </c>
      <c r="B36" s="128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303">
        <v>2017</v>
      </c>
      <c r="P36" s="304">
        <v>2018</v>
      </c>
      <c r="Q36" s="128">
        <v>2019</v>
      </c>
      <c r="R36" s="119">
        <v>2020</v>
      </c>
    </row>
    <row r="37" spans="1:18" s="46" customFormat="1" ht="16">
      <c r="A37" s="289" t="s">
        <v>1</v>
      </c>
      <c r="B37" s="122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295" t="s">
        <v>176</v>
      </c>
      <c r="P37" s="299">
        <v>0</v>
      </c>
      <c r="Q37" s="174">
        <v>0</v>
      </c>
      <c r="R37" s="290">
        <v>-65</v>
      </c>
    </row>
    <row r="38" spans="1:18" s="46" customFormat="1" ht="16">
      <c r="A38" s="146" t="s">
        <v>2</v>
      </c>
      <c r="B38" s="85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118" t="s">
        <v>176</v>
      </c>
      <c r="P38" s="300">
        <v>0</v>
      </c>
      <c r="Q38" s="84">
        <v>0</v>
      </c>
      <c r="R38" s="266">
        <v>-13</v>
      </c>
    </row>
    <row r="39" spans="1:18" s="46" customFormat="1" ht="16">
      <c r="A39" s="146" t="s">
        <v>3</v>
      </c>
      <c r="B39" s="85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118" t="s">
        <v>176</v>
      </c>
      <c r="P39" s="300">
        <v>0</v>
      </c>
      <c r="Q39" s="84">
        <v>0</v>
      </c>
      <c r="R39" s="277">
        <v>-9</v>
      </c>
    </row>
    <row r="40" spans="1:18" s="46" customFormat="1" ht="16">
      <c r="A40" s="146" t="s">
        <v>4</v>
      </c>
      <c r="B40" s="85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118" t="s">
        <v>176</v>
      </c>
      <c r="P40" s="300">
        <v>0</v>
      </c>
      <c r="Q40" s="84">
        <v>0</v>
      </c>
      <c r="R40" s="277">
        <v>-11</v>
      </c>
    </row>
    <row r="41" spans="1:18" s="46" customFormat="1" ht="16">
      <c r="A41" s="146" t="s">
        <v>5</v>
      </c>
      <c r="B41" s="85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118" t="s">
        <v>176</v>
      </c>
      <c r="P41" s="300">
        <v>-4</v>
      </c>
      <c r="Q41" s="84">
        <v>-117</v>
      </c>
      <c r="R41" s="277">
        <v>-117</v>
      </c>
    </row>
    <row r="42" spans="1:18" s="46" customFormat="1" ht="16">
      <c r="A42" s="146" t="s">
        <v>6</v>
      </c>
      <c r="B42" s="85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118" t="s">
        <v>176</v>
      </c>
      <c r="P42" s="300">
        <v>0</v>
      </c>
      <c r="Q42" s="84">
        <v>-206</v>
      </c>
      <c r="R42" s="277">
        <v>0</v>
      </c>
    </row>
    <row r="43" spans="1:18" s="46" customFormat="1" ht="16">
      <c r="A43" s="146" t="s">
        <v>7</v>
      </c>
      <c r="B43" s="85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118" t="s">
        <v>176</v>
      </c>
      <c r="P43" s="300">
        <v>0</v>
      </c>
      <c r="Q43" s="84">
        <v>-68</v>
      </c>
      <c r="R43" s="252" t="s">
        <v>176</v>
      </c>
    </row>
    <row r="44" spans="1:18" s="46" customFormat="1" ht="16">
      <c r="A44" s="146" t="s">
        <v>8</v>
      </c>
      <c r="B44" s="85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118" t="s">
        <v>176</v>
      </c>
      <c r="P44" s="300">
        <v>0</v>
      </c>
      <c r="Q44" s="84">
        <v>0</v>
      </c>
      <c r="R44" s="253" t="s">
        <v>176</v>
      </c>
    </row>
    <row r="45" spans="1:18" s="46" customFormat="1" ht="16">
      <c r="A45" s="146" t="s">
        <v>9</v>
      </c>
      <c r="B45" s="85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118" t="s">
        <v>176</v>
      </c>
      <c r="P45" s="300">
        <v>0</v>
      </c>
      <c r="Q45" s="84">
        <v>0</v>
      </c>
      <c r="R45" s="253" t="s">
        <v>176</v>
      </c>
    </row>
    <row r="46" spans="1:18" s="46" customFormat="1" ht="16">
      <c r="A46" s="146" t="s">
        <v>10</v>
      </c>
      <c r="B46" s="85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18" t="s">
        <v>176</v>
      </c>
      <c r="P46" s="300">
        <v>0</v>
      </c>
      <c r="Q46" s="84">
        <v>0</v>
      </c>
      <c r="R46" s="253" t="s">
        <v>176</v>
      </c>
    </row>
    <row r="47" spans="1:18" s="46" customFormat="1" ht="16">
      <c r="A47" s="146" t="s">
        <v>11</v>
      </c>
      <c r="B47" s="85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118" t="s">
        <v>176</v>
      </c>
      <c r="P47" s="300">
        <v>0</v>
      </c>
      <c r="Q47" s="84">
        <v>0</v>
      </c>
      <c r="R47" s="253" t="s">
        <v>176</v>
      </c>
    </row>
    <row r="48" spans="1:18" s="46" customFormat="1" ht="17" thickBot="1">
      <c r="A48" s="288" t="s">
        <v>13</v>
      </c>
      <c r="B48" s="95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296" t="s">
        <v>176</v>
      </c>
      <c r="P48" s="301">
        <v>-14</v>
      </c>
      <c r="Q48" s="92">
        <v>-9</v>
      </c>
      <c r="R48" s="254" t="s">
        <v>176</v>
      </c>
    </row>
    <row r="49" spans="1:19" s="46" customFormat="1" ht="17" thickTop="1">
      <c r="A49" s="287" t="s">
        <v>14</v>
      </c>
      <c r="B49" s="104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297" t="s">
        <v>176</v>
      </c>
      <c r="P49" s="302">
        <f>SUM(P37:P48)</f>
        <v>-18</v>
      </c>
      <c r="Q49" s="168">
        <f>SUM(Q37:Q48)</f>
        <v>-400</v>
      </c>
      <c r="R49" s="178">
        <f t="shared" ref="R49" si="2">SUM(R37:R48)</f>
        <v>-215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48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</row>
    <row r="53" spans="1:19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9">
      <c r="R54" s="48"/>
    </row>
  </sheetData>
  <mergeCells count="11">
    <mergeCell ref="A51:R51"/>
    <mergeCell ref="A34:R34"/>
    <mergeCell ref="A50:R50"/>
    <mergeCell ref="A52:S52"/>
    <mergeCell ref="A53:R53"/>
    <mergeCell ref="A19:R19"/>
    <mergeCell ref="A35:R35"/>
    <mergeCell ref="A1:U1"/>
    <mergeCell ref="A3:R3"/>
    <mergeCell ref="A2:R2"/>
    <mergeCell ref="A18:R18"/>
  </mergeCells>
  <pageMargins left="0.7" right="0.7" top="0.75" bottom="0.75" header="0.3" footer="0.3"/>
  <pageSetup scale="86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7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5" width="0" style="120" hidden="1" customWidth="1"/>
    <col min="16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222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6" t="s">
        <v>193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0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0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1</v>
      </c>
      <c r="Q5" s="174">
        <v>171691</v>
      </c>
      <c r="R5" s="255">
        <v>179947</v>
      </c>
    </row>
    <row r="6" spans="1:20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108850</v>
      </c>
      <c r="Q6" s="84">
        <v>133320</v>
      </c>
      <c r="R6" s="256">
        <v>145585</v>
      </c>
    </row>
    <row r="7" spans="1:20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106118</v>
      </c>
      <c r="Q7" s="84">
        <v>122699</v>
      </c>
      <c r="R7" s="257">
        <v>130147</v>
      </c>
    </row>
    <row r="8" spans="1:20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128726</v>
      </c>
      <c r="Q8" s="84">
        <v>145998</v>
      </c>
      <c r="R8" s="257">
        <v>149144</v>
      </c>
    </row>
    <row r="9" spans="1:20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124605</v>
      </c>
      <c r="Q9" s="84">
        <v>159822</v>
      </c>
      <c r="R9" s="258">
        <v>134831</v>
      </c>
    </row>
    <row r="10" spans="1:20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139823</v>
      </c>
      <c r="Q10" s="84">
        <v>148020</v>
      </c>
      <c r="R10" s="259">
        <v>159945</v>
      </c>
    </row>
    <row r="11" spans="1:20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135203</v>
      </c>
      <c r="Q11" s="84">
        <v>149853</v>
      </c>
      <c r="R11" s="252" t="s">
        <v>176</v>
      </c>
    </row>
    <row r="12" spans="1:20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170292</v>
      </c>
      <c r="Q12" s="84">
        <v>184096</v>
      </c>
      <c r="R12" s="253" t="s">
        <v>176</v>
      </c>
    </row>
    <row r="13" spans="1:20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170969</v>
      </c>
      <c r="Q13" s="84">
        <v>169695</v>
      </c>
      <c r="R13" s="253" t="s">
        <v>176</v>
      </c>
    </row>
    <row r="14" spans="1:20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>
        <v>145139</v>
      </c>
      <c r="Q14" s="84">
        <v>170227</v>
      </c>
      <c r="R14" s="253" t="s">
        <v>176</v>
      </c>
    </row>
    <row r="15" spans="1:20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>
        <v>143308</v>
      </c>
      <c r="Q15" s="84">
        <v>169517</v>
      </c>
      <c r="R15" s="253" t="s">
        <v>176</v>
      </c>
    </row>
    <row r="16" spans="1:20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 t="s">
        <v>176</v>
      </c>
      <c r="P16" s="92">
        <v>144561</v>
      </c>
      <c r="Q16" s="92">
        <v>158941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04" t="s">
        <v>176</v>
      </c>
      <c r="P17" s="168">
        <f>SUM(P5:P16)</f>
        <v>1517595</v>
      </c>
      <c r="Q17" s="168">
        <f>SUM(Q5:Q16)</f>
        <v>1883879</v>
      </c>
      <c r="R17" s="172">
        <f t="shared" ref="R17" si="0">SUM(R5:R16)</f>
        <v>899599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53" t="s">
        <v>194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0</v>
      </c>
      <c r="Q21" s="174">
        <v>10589</v>
      </c>
      <c r="R21" s="265">
        <v>9154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2895</v>
      </c>
      <c r="Q22" s="84">
        <v>5018</v>
      </c>
      <c r="R22" s="266">
        <v>4702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5059</v>
      </c>
      <c r="Q23" s="84">
        <v>4191</v>
      </c>
      <c r="R23" s="267">
        <v>5746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5541</v>
      </c>
      <c r="Q24" s="84">
        <v>8886</v>
      </c>
      <c r="R24" s="268">
        <v>6395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4109</v>
      </c>
      <c r="Q25" s="84">
        <v>7378</v>
      </c>
      <c r="R25" s="267">
        <v>4468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4364</v>
      </c>
      <c r="Q26" s="84">
        <v>4092</v>
      </c>
      <c r="R26" s="269">
        <v>7816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5646</v>
      </c>
      <c r="Q27" s="84">
        <v>6834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5737</v>
      </c>
      <c r="Q28" s="84">
        <v>6522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4024</v>
      </c>
      <c r="Q29" s="84">
        <v>2648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>
        <v>5616</v>
      </c>
      <c r="Q30" s="84">
        <v>11866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>
        <v>5506</v>
      </c>
      <c r="Q31" s="84">
        <v>6831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 t="s">
        <v>176</v>
      </c>
      <c r="P32" s="92">
        <v>4825</v>
      </c>
      <c r="Q32" s="92">
        <v>5917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04" t="s">
        <v>176</v>
      </c>
      <c r="P33" s="168">
        <f>SUM(P21:P32)</f>
        <v>53322</v>
      </c>
      <c r="Q33" s="168">
        <f>SUM(Q21:Q32)</f>
        <v>80772</v>
      </c>
      <c r="R33" s="172">
        <f t="shared" ref="R33" si="1">SUM(R21:R32)</f>
        <v>38281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195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0</v>
      </c>
      <c r="R37" s="275">
        <v>-1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0</v>
      </c>
      <c r="R38" s="277">
        <v>-76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-212</v>
      </c>
      <c r="R39" s="277">
        <v>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0</v>
      </c>
      <c r="R40" s="277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0</v>
      </c>
      <c r="R41" s="277">
        <v>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-102</v>
      </c>
      <c r="R42" s="277">
        <v>-2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0</v>
      </c>
      <c r="Q44" s="84">
        <v>-1328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-4290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>
        <v>0</v>
      </c>
      <c r="Q46" s="84">
        <v>-1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>
        <v>0</v>
      </c>
      <c r="Q47" s="84">
        <v>-76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 t="s">
        <v>176</v>
      </c>
      <c r="P48" s="92">
        <v>0</v>
      </c>
      <c r="Q48" s="92">
        <v>0</v>
      </c>
      <c r="R48" s="254" t="s">
        <v>176</v>
      </c>
    </row>
    <row r="49" spans="1:19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04" t="s">
        <v>176</v>
      </c>
      <c r="P49" s="168">
        <f>SUM(P37:P48)</f>
        <v>0</v>
      </c>
      <c r="Q49" s="168">
        <f>SUM(Q37:Q48)</f>
        <v>-6009</v>
      </c>
      <c r="R49" s="278">
        <f t="shared" ref="R49" si="2">SUM(R37:R48)</f>
        <v>-79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48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</row>
    <row r="53" spans="1:19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9">
      <c r="R54" s="48"/>
    </row>
  </sheetData>
  <mergeCells count="11">
    <mergeCell ref="A51:R51"/>
    <mergeCell ref="A52:S52"/>
    <mergeCell ref="A53:R53"/>
    <mergeCell ref="A19:R19"/>
    <mergeCell ref="A3:R3"/>
    <mergeCell ref="A50:R50"/>
    <mergeCell ref="A1:T1"/>
    <mergeCell ref="A2:R2"/>
    <mergeCell ref="A18:R18"/>
    <mergeCell ref="A34:R34"/>
    <mergeCell ref="A35:R35"/>
  </mergeCells>
  <pageMargins left="0.7" right="0.7" top="0.75" bottom="0.75" header="0.3" footer="0.3"/>
  <pageSetup scale="86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8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5" width="12.5" style="120" hidden="1" customWidth="1"/>
    <col min="16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33" t="s">
        <v>223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6" t="s">
        <v>197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0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0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60</v>
      </c>
      <c r="Q5" s="174">
        <v>132525</v>
      </c>
      <c r="R5" s="255">
        <v>137472</v>
      </c>
    </row>
    <row r="6" spans="1:20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74492</v>
      </c>
      <c r="Q6" s="84">
        <v>106358</v>
      </c>
      <c r="R6" s="256">
        <v>108818</v>
      </c>
    </row>
    <row r="7" spans="1:20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86046</v>
      </c>
      <c r="Q7" s="84">
        <v>96338</v>
      </c>
      <c r="R7" s="257">
        <v>120542</v>
      </c>
    </row>
    <row r="8" spans="1:20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98343</v>
      </c>
      <c r="Q8" s="84">
        <v>110716</v>
      </c>
      <c r="R8" s="257">
        <v>108376</v>
      </c>
    </row>
    <row r="9" spans="1:20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95318</v>
      </c>
      <c r="Q9" s="84">
        <v>115339</v>
      </c>
      <c r="R9" s="258">
        <v>106401</v>
      </c>
    </row>
    <row r="10" spans="1:20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119376</v>
      </c>
      <c r="Q10" s="84">
        <v>123585</v>
      </c>
      <c r="R10" s="259">
        <v>127826</v>
      </c>
    </row>
    <row r="11" spans="1:20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112955</v>
      </c>
      <c r="Q11" s="84">
        <v>126612</v>
      </c>
      <c r="R11" s="252" t="s">
        <v>176</v>
      </c>
    </row>
    <row r="12" spans="1:20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133576</v>
      </c>
      <c r="Q12" s="84">
        <v>135487</v>
      </c>
      <c r="R12" s="253" t="s">
        <v>176</v>
      </c>
    </row>
    <row r="13" spans="1:20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123636</v>
      </c>
      <c r="Q13" s="84">
        <v>132054</v>
      </c>
      <c r="R13" s="253" t="s">
        <v>176</v>
      </c>
    </row>
    <row r="14" spans="1:20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>
        <v>126275</v>
      </c>
      <c r="Q14" s="84">
        <v>133662</v>
      </c>
      <c r="R14" s="253" t="s">
        <v>176</v>
      </c>
    </row>
    <row r="15" spans="1:20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>
        <v>128510</v>
      </c>
      <c r="Q15" s="84">
        <v>126006</v>
      </c>
      <c r="R15" s="253" t="s">
        <v>176</v>
      </c>
    </row>
    <row r="16" spans="1:20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 t="s">
        <v>176</v>
      </c>
      <c r="P16" s="92">
        <v>121980</v>
      </c>
      <c r="Q16" s="92">
        <v>114962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04" t="s">
        <v>176</v>
      </c>
      <c r="P17" s="168">
        <f>SUM(P5:P16)</f>
        <v>1220567</v>
      </c>
      <c r="Q17" s="168">
        <f>SUM(Q5:Q16)</f>
        <v>1453644</v>
      </c>
      <c r="R17" s="172">
        <f t="shared" ref="R17" si="0">SUM(R5:R16)</f>
        <v>709435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53" t="s">
        <v>198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0</v>
      </c>
      <c r="Q21" s="174">
        <v>6484</v>
      </c>
      <c r="R21" s="265">
        <v>7128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3855</v>
      </c>
      <c r="Q22" s="84">
        <v>5971</v>
      </c>
      <c r="R22" s="266">
        <v>7204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2783</v>
      </c>
      <c r="Q23" s="84">
        <v>5160</v>
      </c>
      <c r="R23" s="267">
        <v>6482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8487</v>
      </c>
      <c r="Q24" s="84">
        <v>4847</v>
      </c>
      <c r="R24" s="268">
        <v>6859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6048</v>
      </c>
      <c r="Q25" s="84">
        <v>5465</v>
      </c>
      <c r="R25" s="267">
        <v>3873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1320</v>
      </c>
      <c r="Q26" s="84">
        <v>6685</v>
      </c>
      <c r="R26" s="269">
        <v>6457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7453</v>
      </c>
      <c r="Q27" s="84">
        <v>10220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7073</v>
      </c>
      <c r="Q28" s="84">
        <v>8470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5547</v>
      </c>
      <c r="Q29" s="84">
        <v>6085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>
        <v>8478</v>
      </c>
      <c r="Q30" s="84">
        <v>5387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>
        <v>12687</v>
      </c>
      <c r="Q31" s="84">
        <v>8526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 t="s">
        <v>176</v>
      </c>
      <c r="P32" s="92">
        <v>7216</v>
      </c>
      <c r="Q32" s="92">
        <v>5018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04" t="s">
        <v>176</v>
      </c>
      <c r="P33" s="168">
        <f>SUM(P21:P32)</f>
        <v>70947</v>
      </c>
      <c r="Q33" s="168">
        <f>SUM(Q21:Q32)</f>
        <v>78318</v>
      </c>
      <c r="R33" s="172">
        <f t="shared" ref="R33" si="1">SUM(R21:R32)</f>
        <v>38003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199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-1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-1967</v>
      </c>
      <c r="R38" s="84">
        <v>-3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-45</v>
      </c>
      <c r="R39" s="276">
        <v>-172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0</v>
      </c>
      <c r="R40" s="266">
        <v>-702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0</v>
      </c>
      <c r="R41" s="277">
        <v>-627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-5</v>
      </c>
      <c r="R42" s="277">
        <v>-141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-989</v>
      </c>
      <c r="Q43" s="84">
        <v>-5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-18914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>
        <v>0</v>
      </c>
      <c r="Q47" s="84">
        <v>-3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 t="s">
        <v>176</v>
      </c>
      <c r="P48" s="92">
        <v>0</v>
      </c>
      <c r="Q48" s="92">
        <v>0</v>
      </c>
      <c r="R48" s="254" t="s">
        <v>176</v>
      </c>
    </row>
    <row r="49" spans="1:19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04" t="s">
        <v>176</v>
      </c>
      <c r="P49" s="168">
        <f>SUM(P37:P48)</f>
        <v>-19903</v>
      </c>
      <c r="Q49" s="168">
        <f>SUM(Q37:Q48)</f>
        <v>-2026</v>
      </c>
      <c r="R49" s="278">
        <f t="shared" ref="R49" si="2">SUM(R37:R48)</f>
        <v>-1645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48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</row>
    <row r="53" spans="1:19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9">
      <c r="R54" s="48"/>
    </row>
  </sheetData>
  <mergeCells count="11">
    <mergeCell ref="A52:S52"/>
    <mergeCell ref="A53:R53"/>
    <mergeCell ref="A1:T1"/>
    <mergeCell ref="A3:R3"/>
    <mergeCell ref="A19:R19"/>
    <mergeCell ref="A51:R51"/>
    <mergeCell ref="A2:R2"/>
    <mergeCell ref="A18:R18"/>
    <mergeCell ref="A34:R34"/>
    <mergeCell ref="A35:R35"/>
    <mergeCell ref="A50:R50"/>
  </mergeCells>
  <pageMargins left="0.7" right="0.7" top="0.75" bottom="0.75" header="0.3" footer="0.3"/>
  <pageSetup scale="86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12.6640625" style="120" hidden="1" customWidth="1"/>
    <col min="12" max="15" width="12.6640625" style="120" bestFit="1" customWidth="1"/>
    <col min="16" max="17" width="13.5" style="120" bestFit="1" customWidth="1"/>
    <col min="18" max="18" width="13.6640625" style="81" bestFit="1" customWidth="1"/>
    <col min="19" max="16384" width="12.5" style="120"/>
  </cols>
  <sheetData>
    <row r="1" spans="1:18" s="44" customFormat="1" ht="21">
      <c r="A1" s="338" t="s">
        <v>242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161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174">
        <v>67</v>
      </c>
      <c r="M5" s="174">
        <v>536126</v>
      </c>
      <c r="N5" s="174">
        <v>583655</v>
      </c>
      <c r="O5" s="174">
        <v>595402</v>
      </c>
      <c r="P5" s="174">
        <v>1152576</v>
      </c>
      <c r="Q5" s="174">
        <v>1011996</v>
      </c>
      <c r="R5" s="255">
        <v>1284000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>
        <v>310569</v>
      </c>
      <c r="M6" s="84">
        <v>407720</v>
      </c>
      <c r="N6" s="84">
        <v>440644</v>
      </c>
      <c r="O6" s="84">
        <v>441381</v>
      </c>
      <c r="P6" s="84">
        <v>892276</v>
      </c>
      <c r="Q6" s="84">
        <v>945331</v>
      </c>
      <c r="R6" s="256">
        <v>1054024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>
        <v>318125</v>
      </c>
      <c r="M7" s="84">
        <v>395357</v>
      </c>
      <c r="N7" s="84">
        <v>425930</v>
      </c>
      <c r="O7" s="84">
        <v>407232</v>
      </c>
      <c r="P7" s="84">
        <v>847092</v>
      </c>
      <c r="Q7" s="84">
        <v>859309</v>
      </c>
      <c r="R7" s="257">
        <v>971180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>
        <v>389150</v>
      </c>
      <c r="M8" s="84">
        <v>467632</v>
      </c>
      <c r="N8" s="84">
        <v>514617</v>
      </c>
      <c r="O8" s="84">
        <v>496127</v>
      </c>
      <c r="P8" s="84">
        <v>1007159</v>
      </c>
      <c r="Q8" s="84">
        <v>1068536</v>
      </c>
      <c r="R8" s="257">
        <v>994143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>
        <v>385642</v>
      </c>
      <c r="M9" s="84">
        <v>464136</v>
      </c>
      <c r="N9" s="84">
        <v>485999</v>
      </c>
      <c r="O9" s="84">
        <v>456334</v>
      </c>
      <c r="P9" s="84">
        <v>960043</v>
      </c>
      <c r="Q9" s="84">
        <v>1085051</v>
      </c>
      <c r="R9" s="258">
        <v>866548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>
        <v>415585</v>
      </c>
      <c r="M10" s="84">
        <v>495062</v>
      </c>
      <c r="N10" s="84">
        <v>513520</v>
      </c>
      <c r="O10" s="84">
        <v>528955</v>
      </c>
      <c r="P10" s="84">
        <v>1129345</v>
      </c>
      <c r="Q10" s="84">
        <v>1234509</v>
      </c>
      <c r="R10" s="259">
        <v>1058291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>
        <v>406565</v>
      </c>
      <c r="M11" s="84">
        <v>448815</v>
      </c>
      <c r="N11" s="84">
        <v>453774</v>
      </c>
      <c r="O11" s="84">
        <v>483134</v>
      </c>
      <c r="P11" s="84">
        <v>981416</v>
      </c>
      <c r="Q11" s="84">
        <v>1113449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>
        <v>461330</v>
      </c>
      <c r="M12" s="84">
        <v>598731</v>
      </c>
      <c r="N12" s="84">
        <v>615972</v>
      </c>
      <c r="O12" s="84">
        <v>1144503</v>
      </c>
      <c r="P12" s="84">
        <v>1299331</v>
      </c>
      <c r="Q12" s="84">
        <v>1307231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>
        <v>439792</v>
      </c>
      <c r="M13" s="84">
        <v>510278</v>
      </c>
      <c r="N13" s="84">
        <v>534889</v>
      </c>
      <c r="O13" s="84">
        <v>1082387</v>
      </c>
      <c r="P13" s="84">
        <v>1142316</v>
      </c>
      <c r="Q13" s="84">
        <v>1180026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>
        <v>484872</v>
      </c>
      <c r="M14" s="84">
        <v>527046</v>
      </c>
      <c r="N14" s="84">
        <v>542373</v>
      </c>
      <c r="O14" s="84">
        <v>1099841</v>
      </c>
      <c r="P14" s="84">
        <v>1088105</v>
      </c>
      <c r="Q14" s="84">
        <v>1176167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>
        <v>468811</v>
      </c>
      <c r="M15" s="84">
        <v>507978</v>
      </c>
      <c r="N15" s="84">
        <v>521814</v>
      </c>
      <c r="O15" s="84">
        <v>1023536</v>
      </c>
      <c r="P15" s="84">
        <v>1121962</v>
      </c>
      <c r="Q15" s="84">
        <v>1191418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>
        <v>450255</v>
      </c>
      <c r="M16" s="92">
        <v>470427</v>
      </c>
      <c r="N16" s="92">
        <v>485646</v>
      </c>
      <c r="O16" s="92">
        <v>1041362</v>
      </c>
      <c r="P16" s="92">
        <v>1321353</v>
      </c>
      <c r="Q16" s="92">
        <v>1134775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R17" si="0">SUM(L5:L16)</f>
        <v>4530763</v>
      </c>
      <c r="M17" s="168">
        <f t="shared" si="0"/>
        <v>5829308</v>
      </c>
      <c r="N17" s="168">
        <f t="shared" si="0"/>
        <v>6118833</v>
      </c>
      <c r="O17" s="168">
        <f t="shared" si="0"/>
        <v>8800194</v>
      </c>
      <c r="P17" s="168">
        <f t="shared" si="0"/>
        <v>12942974</v>
      </c>
      <c r="Q17" s="168">
        <f t="shared" si="0"/>
        <v>13307798</v>
      </c>
      <c r="R17" s="172">
        <f t="shared" si="0"/>
        <v>6228186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162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174">
        <v>0</v>
      </c>
      <c r="M21" s="174">
        <v>46612</v>
      </c>
      <c r="N21" s="174">
        <v>77002</v>
      </c>
      <c r="O21" s="174">
        <v>67499</v>
      </c>
      <c r="P21" s="174">
        <v>100163</v>
      </c>
      <c r="Q21" s="174">
        <v>138376</v>
      </c>
      <c r="R21" s="265">
        <v>106236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>
        <v>36438</v>
      </c>
      <c r="M22" s="84">
        <v>40274</v>
      </c>
      <c r="N22" s="84">
        <v>37219</v>
      </c>
      <c r="O22" s="84">
        <v>37401</v>
      </c>
      <c r="P22" s="84">
        <v>97788</v>
      </c>
      <c r="Q22" s="84">
        <v>107506</v>
      </c>
      <c r="R22" s="266">
        <v>127739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>
        <v>44577</v>
      </c>
      <c r="M23" s="84">
        <v>37520</v>
      </c>
      <c r="N23" s="84">
        <v>59305</v>
      </c>
      <c r="O23" s="84">
        <v>31680</v>
      </c>
      <c r="P23" s="84">
        <v>56860</v>
      </c>
      <c r="Q23" s="84">
        <v>73631</v>
      </c>
      <c r="R23" s="267">
        <v>97934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>
        <v>53548</v>
      </c>
      <c r="M24" s="84">
        <v>41282</v>
      </c>
      <c r="N24" s="84">
        <v>48137</v>
      </c>
      <c r="O24" s="84">
        <v>49137</v>
      </c>
      <c r="P24" s="84">
        <v>90693</v>
      </c>
      <c r="Q24" s="84">
        <v>91505</v>
      </c>
      <c r="R24" s="268">
        <v>81267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>
        <v>56272</v>
      </c>
      <c r="M25" s="84">
        <v>50101</v>
      </c>
      <c r="N25" s="84">
        <v>32147</v>
      </c>
      <c r="O25" s="84">
        <v>57443</v>
      </c>
      <c r="P25" s="84">
        <v>71641</v>
      </c>
      <c r="Q25" s="84">
        <v>107318</v>
      </c>
      <c r="R25" s="267">
        <v>83885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>
        <v>57869</v>
      </c>
      <c r="M26" s="84">
        <v>46486</v>
      </c>
      <c r="N26" s="84">
        <v>34570</v>
      </c>
      <c r="O26" s="84">
        <v>49451</v>
      </c>
      <c r="P26" s="84">
        <v>83082</v>
      </c>
      <c r="Q26" s="84">
        <v>100501</v>
      </c>
      <c r="R26" s="269">
        <v>74165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>
        <v>34245</v>
      </c>
      <c r="M27" s="84">
        <v>57154</v>
      </c>
      <c r="N27" s="84">
        <v>23519</v>
      </c>
      <c r="O27" s="84">
        <v>40955</v>
      </c>
      <c r="P27" s="84">
        <v>98026</v>
      </c>
      <c r="Q27" s="84">
        <v>104826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>
        <v>104098</v>
      </c>
      <c r="M28" s="84">
        <v>52128</v>
      </c>
      <c r="N28" s="84">
        <v>47769</v>
      </c>
      <c r="O28" s="84">
        <v>78446</v>
      </c>
      <c r="P28" s="84">
        <v>91264</v>
      </c>
      <c r="Q28" s="84">
        <v>115222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>
        <v>66343</v>
      </c>
      <c r="M29" s="84">
        <v>41334</v>
      </c>
      <c r="N29" s="84">
        <v>51163</v>
      </c>
      <c r="O29" s="84">
        <v>97643</v>
      </c>
      <c r="P29" s="84">
        <v>100519</v>
      </c>
      <c r="Q29" s="84">
        <v>88674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>
        <v>66731</v>
      </c>
      <c r="M30" s="84">
        <v>70264</v>
      </c>
      <c r="N30" s="84">
        <v>42056</v>
      </c>
      <c r="O30" s="84">
        <v>93376</v>
      </c>
      <c r="P30" s="84">
        <v>78880</v>
      </c>
      <c r="Q30" s="84">
        <v>139260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>
        <v>55412</v>
      </c>
      <c r="M31" s="84">
        <v>47853</v>
      </c>
      <c r="N31" s="84">
        <v>43417</v>
      </c>
      <c r="O31" s="84">
        <v>79764</v>
      </c>
      <c r="P31" s="84">
        <v>104887</v>
      </c>
      <c r="Q31" s="84">
        <v>93674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>
        <v>50750</v>
      </c>
      <c r="M32" s="92">
        <v>53474</v>
      </c>
      <c r="N32" s="92">
        <v>63565</v>
      </c>
      <c r="O32" s="92">
        <v>78954</v>
      </c>
      <c r="P32" s="92">
        <v>83248</v>
      </c>
      <c r="Q32" s="92">
        <v>85753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R33" si="1">SUM(L21:L32)</f>
        <v>626283</v>
      </c>
      <c r="M33" s="168">
        <f t="shared" si="1"/>
        <v>584482</v>
      </c>
      <c r="N33" s="168">
        <f t="shared" si="1"/>
        <v>559869</v>
      </c>
      <c r="O33" s="168">
        <f t="shared" si="1"/>
        <v>761749</v>
      </c>
      <c r="P33" s="168">
        <f t="shared" si="1"/>
        <v>1057051</v>
      </c>
      <c r="Q33" s="168">
        <f t="shared" si="1"/>
        <v>1246246</v>
      </c>
      <c r="R33" s="172">
        <f t="shared" si="1"/>
        <v>571226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106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174">
        <v>0</v>
      </c>
      <c r="M37" s="174">
        <v>-5729</v>
      </c>
      <c r="N37" s="174">
        <v>-13047</v>
      </c>
      <c r="O37" s="174">
        <v>-46</v>
      </c>
      <c r="P37" s="174">
        <v>-5540</v>
      </c>
      <c r="Q37" s="174">
        <v>-3576</v>
      </c>
      <c r="R37" s="275">
        <v>-610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>
        <v>0</v>
      </c>
      <c r="M38" s="84">
        <v>-10</v>
      </c>
      <c r="N38" s="84">
        <v>-834</v>
      </c>
      <c r="O38" s="84">
        <v>-1575</v>
      </c>
      <c r="P38" s="84">
        <v>-46132</v>
      </c>
      <c r="Q38" s="84">
        <v>-1685</v>
      </c>
      <c r="R38" s="266">
        <v>-2218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>
        <v>0</v>
      </c>
      <c r="M39" s="84">
        <v>-2928</v>
      </c>
      <c r="N39" s="84">
        <v>-1633</v>
      </c>
      <c r="O39" s="84">
        <v>-1617</v>
      </c>
      <c r="P39" s="84">
        <v>-2508</v>
      </c>
      <c r="Q39" s="84">
        <v>-17563</v>
      </c>
      <c r="R39" s="276">
        <v>-55846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>
        <v>-27</v>
      </c>
      <c r="M40" s="84">
        <v>-51</v>
      </c>
      <c r="N40" s="84">
        <v>-647</v>
      </c>
      <c r="O40" s="84">
        <v>-122</v>
      </c>
      <c r="P40" s="84">
        <v>-1476</v>
      </c>
      <c r="Q40" s="84">
        <v>-129438</v>
      </c>
      <c r="R40" s="266">
        <v>-1805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>
        <v>-144</v>
      </c>
      <c r="M41" s="84">
        <v>-3611</v>
      </c>
      <c r="N41" s="84">
        <v>-17229</v>
      </c>
      <c r="O41" s="84">
        <v>-8231</v>
      </c>
      <c r="P41" s="84">
        <v>-4033</v>
      </c>
      <c r="Q41" s="84">
        <v>-14891</v>
      </c>
      <c r="R41" s="277">
        <v>-106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>
        <v>0</v>
      </c>
      <c r="M42" s="84">
        <v>-3090</v>
      </c>
      <c r="N42" s="84">
        <v>-5351</v>
      </c>
      <c r="O42" s="84">
        <v>-26404</v>
      </c>
      <c r="P42" s="84">
        <v>-480</v>
      </c>
      <c r="Q42" s="84">
        <v>-4005</v>
      </c>
      <c r="R42" s="277">
        <v>-66905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>
        <v>-1765</v>
      </c>
      <c r="M43" s="84">
        <v>-25292</v>
      </c>
      <c r="N43" s="84">
        <v>-479</v>
      </c>
      <c r="O43" s="84">
        <v>-9411</v>
      </c>
      <c r="P43" s="84">
        <v>-143</v>
      </c>
      <c r="Q43" s="84">
        <v>-469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>
        <v>-297</v>
      </c>
      <c r="M44" s="84">
        <v>-16</v>
      </c>
      <c r="N44" s="84">
        <v>-2853</v>
      </c>
      <c r="O44" s="84">
        <v>-8069</v>
      </c>
      <c r="P44" s="84">
        <v>-11</v>
      </c>
      <c r="Q44" s="84">
        <v>-10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>
        <v>-155</v>
      </c>
      <c r="M45" s="84">
        <v>-1608</v>
      </c>
      <c r="N45" s="84">
        <v>-694</v>
      </c>
      <c r="O45" s="84">
        <v>-1522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>
        <v>-21</v>
      </c>
      <c r="M46" s="84">
        <v>-625</v>
      </c>
      <c r="N46" s="84">
        <v>-2</v>
      </c>
      <c r="O46" s="84">
        <v>-661</v>
      </c>
      <c r="P46" s="84">
        <v>-12630</v>
      </c>
      <c r="Q46" s="84">
        <v>-177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>
        <v>-906</v>
      </c>
      <c r="M47" s="84">
        <v>-18228</v>
      </c>
      <c r="N47" s="84">
        <v>-5711</v>
      </c>
      <c r="O47" s="84">
        <v>-62</v>
      </c>
      <c r="P47" s="84">
        <v>-57</v>
      </c>
      <c r="Q47" s="84">
        <v>-990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>
        <v>-12866</v>
      </c>
      <c r="M48" s="92">
        <v>-1488</v>
      </c>
      <c r="N48" s="92">
        <v>-8461</v>
      </c>
      <c r="O48" s="92">
        <v>-445</v>
      </c>
      <c r="P48" s="92">
        <v>-11</v>
      </c>
      <c r="Q48" s="92">
        <v>-420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R49" si="2">SUM(L37:L48)</f>
        <v>-16181</v>
      </c>
      <c r="M49" s="168">
        <f t="shared" si="2"/>
        <v>-62676</v>
      </c>
      <c r="N49" s="168">
        <f t="shared" si="2"/>
        <v>-56941</v>
      </c>
      <c r="O49" s="168">
        <f t="shared" si="2"/>
        <v>-58165</v>
      </c>
      <c r="P49" s="168">
        <f t="shared" si="2"/>
        <v>-73021</v>
      </c>
      <c r="Q49" s="168">
        <f t="shared" si="2"/>
        <v>-173224</v>
      </c>
      <c r="R49" s="278">
        <f t="shared" si="2"/>
        <v>-127490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1:R51"/>
    <mergeCell ref="A52:R52"/>
    <mergeCell ref="A53:R53"/>
    <mergeCell ref="A1:R1"/>
    <mergeCell ref="A2:R2"/>
    <mergeCell ref="A3:R3"/>
    <mergeCell ref="A18:R18"/>
    <mergeCell ref="A19:R19"/>
    <mergeCell ref="A34:R34"/>
    <mergeCell ref="A35:R35"/>
    <mergeCell ref="A50:R50"/>
  </mergeCells>
  <pageMargins left="0" right="0" top="0.75" bottom="0.75" header="0.3" footer="0.3"/>
  <pageSetup scale="86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6640625" style="120" hidden="1" customWidth="1"/>
    <col min="15" max="15" width="12.6640625" style="120" bestFit="1" customWidth="1"/>
    <col min="16" max="17" width="13.5" style="120" bestFit="1" customWidth="1"/>
    <col min="18" max="18" width="13.6640625" style="81" bestFit="1" customWidth="1"/>
    <col min="19" max="16384" width="12.5" style="120"/>
  </cols>
  <sheetData>
    <row r="1" spans="1:20" s="44" customFormat="1" ht="21">
      <c r="A1" s="333" t="s">
        <v>243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163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3403362</v>
      </c>
      <c r="Q5" s="174">
        <v>3752879</v>
      </c>
      <c r="R5" s="255">
        <v>3805675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2814839</v>
      </c>
      <c r="Q6" s="84">
        <v>3010843</v>
      </c>
      <c r="R6" s="256">
        <v>3032146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2782455</v>
      </c>
      <c r="Q7" s="84">
        <v>2703454</v>
      </c>
      <c r="R7" s="257">
        <v>2864737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3144388</v>
      </c>
      <c r="Q8" s="84">
        <v>3262250</v>
      </c>
      <c r="R8" s="257">
        <v>2891354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2767321</v>
      </c>
      <c r="Q9" s="84">
        <v>3251502</v>
      </c>
      <c r="R9" s="258">
        <v>2449154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3118172</v>
      </c>
      <c r="Q10" s="84">
        <v>3305809</v>
      </c>
      <c r="R10" s="259">
        <v>2753232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2978258</v>
      </c>
      <c r="Q11" s="84">
        <v>3198105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176">
        <v>0</v>
      </c>
      <c r="P12" s="84">
        <v>3397328</v>
      </c>
      <c r="Q12" s="84">
        <v>3735107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6</v>
      </c>
      <c r="P13" s="84">
        <v>3381455</v>
      </c>
      <c r="Q13" s="84">
        <v>3655732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3057</v>
      </c>
      <c r="P14" s="84">
        <v>3348530</v>
      </c>
      <c r="Q14" s="84">
        <v>3650397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2828255</v>
      </c>
      <c r="P15" s="84">
        <v>3319534</v>
      </c>
      <c r="Q15" s="84">
        <v>3511282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3035100</v>
      </c>
      <c r="P16" s="92">
        <v>3343298</v>
      </c>
      <c r="Q16" s="92">
        <v>3271253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5866418</v>
      </c>
      <c r="P17" s="168">
        <f>SUM(P5:P16)</f>
        <v>37798940</v>
      </c>
      <c r="Q17" s="168">
        <f>SUM(Q5:Q16)</f>
        <v>40308613</v>
      </c>
      <c r="R17" s="172">
        <f t="shared" ref="R17" si="0">SUM(R5:R16)</f>
        <v>17796298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164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361528</v>
      </c>
      <c r="Q21" s="174">
        <v>393179</v>
      </c>
      <c r="R21" s="265">
        <v>691947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382067</v>
      </c>
      <c r="Q22" s="84">
        <v>440465</v>
      </c>
      <c r="R22" s="266">
        <v>349348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284053</v>
      </c>
      <c r="Q23" s="84">
        <v>303634</v>
      </c>
      <c r="R23" s="267">
        <v>299058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307955</v>
      </c>
      <c r="Q24" s="84">
        <v>359614</v>
      </c>
      <c r="R24" s="268">
        <v>352778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325940</v>
      </c>
      <c r="Q25" s="84">
        <v>640512</v>
      </c>
      <c r="R25" s="267">
        <v>514109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338014</v>
      </c>
      <c r="Q26" s="84">
        <v>394667</v>
      </c>
      <c r="R26" s="269">
        <v>309443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617083</v>
      </c>
      <c r="Q27" s="84">
        <v>425551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176">
        <v>12</v>
      </c>
      <c r="P28" s="84">
        <v>361300</v>
      </c>
      <c r="Q28" s="84">
        <v>521893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0</v>
      </c>
      <c r="P29" s="84">
        <v>360603</v>
      </c>
      <c r="Q29" s="84">
        <v>343012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67</v>
      </c>
      <c r="P30" s="84">
        <v>380589</v>
      </c>
      <c r="Q30" s="84">
        <v>488221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293183</v>
      </c>
      <c r="P31" s="84">
        <v>383622</v>
      </c>
      <c r="Q31" s="84">
        <v>529876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253167</v>
      </c>
      <c r="P32" s="92">
        <v>325499</v>
      </c>
      <c r="Q32" s="92">
        <v>335390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546429</v>
      </c>
      <c r="P33" s="168">
        <f>SUM(P21:P32)</f>
        <v>4428253</v>
      </c>
      <c r="Q33" s="168">
        <f>SUM(Q21:Q32)</f>
        <v>5176014</v>
      </c>
      <c r="R33" s="172">
        <f t="shared" ref="R33" si="1">SUM(R21:R32)</f>
        <v>2516683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165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-93</v>
      </c>
      <c r="Q37" s="174">
        <v>-345</v>
      </c>
      <c r="R37" s="275">
        <v>-5885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-22</v>
      </c>
      <c r="Q38" s="84">
        <v>-384</v>
      </c>
      <c r="R38" s="266">
        <v>-420059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-10</v>
      </c>
      <c r="Q39" s="84">
        <v>-689</v>
      </c>
      <c r="R39" s="276">
        <v>-43169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-79</v>
      </c>
      <c r="Q40" s="84">
        <v>-235361</v>
      </c>
      <c r="R40" s="266">
        <v>-82516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-161</v>
      </c>
      <c r="Q41" s="84">
        <v>-1834</v>
      </c>
      <c r="R41" s="277">
        <v>-109544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-207</v>
      </c>
      <c r="Q42" s="84">
        <v>-1788</v>
      </c>
      <c r="R42" s="277">
        <v>-6765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-340</v>
      </c>
      <c r="Q43" s="84">
        <v>-2438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176">
        <v>0</v>
      </c>
      <c r="P44" s="84">
        <v>-2009</v>
      </c>
      <c r="Q44" s="84">
        <v>-1212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-166</v>
      </c>
      <c r="Q45" s="84">
        <v>-4128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-3362</v>
      </c>
      <c r="Q46" s="84">
        <v>-198691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-7</v>
      </c>
      <c r="P47" s="84">
        <v>-485</v>
      </c>
      <c r="Q47" s="84">
        <v>-122285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-7712</v>
      </c>
      <c r="Q48" s="92">
        <v>-17581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-7</v>
      </c>
      <c r="P49" s="168">
        <f>SUM(P37:P48)</f>
        <v>-14646</v>
      </c>
      <c r="Q49" s="168">
        <f>SUM(Q37:Q48)</f>
        <v>-586736</v>
      </c>
      <c r="R49" s="278">
        <f t="shared" ref="R49" si="2">SUM(R37:R48)</f>
        <v>-667938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3:R53"/>
    <mergeCell ref="A1:T1"/>
    <mergeCell ref="A52:R52"/>
    <mergeCell ref="A2:R2"/>
    <mergeCell ref="A3:R3"/>
    <mergeCell ref="A18:R18"/>
    <mergeCell ref="A19:R19"/>
    <mergeCell ref="A34:R34"/>
  </mergeCells>
  <pageMargins left="0.7" right="0.7" top="0.75" bottom="0.75" header="0.3" footer="0.3"/>
  <pageSetup scale="86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0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0" style="120" hidden="1" customWidth="1"/>
    <col min="12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244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48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174">
        <v>151</v>
      </c>
      <c r="M5" s="174">
        <v>298572</v>
      </c>
      <c r="N5" s="174">
        <v>268743</v>
      </c>
      <c r="O5" s="174">
        <v>278338</v>
      </c>
      <c r="P5" s="174">
        <v>279186</v>
      </c>
      <c r="Q5" s="174">
        <v>312831</v>
      </c>
      <c r="R5" s="255">
        <v>340069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>
        <v>184310</v>
      </c>
      <c r="M6" s="84">
        <v>203117</v>
      </c>
      <c r="N6" s="84">
        <v>201365</v>
      </c>
      <c r="O6" s="84">
        <v>225092</v>
      </c>
      <c r="P6" s="84">
        <v>232603</v>
      </c>
      <c r="Q6" s="84">
        <v>256732</v>
      </c>
      <c r="R6" s="256">
        <v>271607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>
        <v>170183</v>
      </c>
      <c r="M7" s="84">
        <v>201502</v>
      </c>
      <c r="N7" s="84">
        <v>198817</v>
      </c>
      <c r="O7" s="84">
        <v>207080</v>
      </c>
      <c r="P7" s="84">
        <v>209388</v>
      </c>
      <c r="Q7" s="84">
        <v>225981</v>
      </c>
      <c r="R7" s="257">
        <v>250744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>
        <v>209072</v>
      </c>
      <c r="M8" s="84">
        <v>232116</v>
      </c>
      <c r="N8" s="84">
        <v>243812</v>
      </c>
      <c r="O8" s="84">
        <v>304494</v>
      </c>
      <c r="P8" s="84">
        <v>256874</v>
      </c>
      <c r="Q8" s="84">
        <v>277582</v>
      </c>
      <c r="R8" s="257">
        <v>285856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>
        <v>206066</v>
      </c>
      <c r="M9" s="84">
        <v>224340</v>
      </c>
      <c r="N9" s="84">
        <v>239533</v>
      </c>
      <c r="O9" s="84">
        <v>245779</v>
      </c>
      <c r="P9" s="84">
        <v>257625</v>
      </c>
      <c r="Q9" s="84">
        <v>293710</v>
      </c>
      <c r="R9" s="258">
        <v>286728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>
        <v>250615</v>
      </c>
      <c r="M10" s="84">
        <v>248995</v>
      </c>
      <c r="N10" s="84">
        <v>262503</v>
      </c>
      <c r="O10" s="84">
        <v>279845</v>
      </c>
      <c r="P10" s="84">
        <v>314104</v>
      </c>
      <c r="Q10" s="84">
        <v>347657</v>
      </c>
      <c r="R10" s="259">
        <v>342847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>
        <v>231341</v>
      </c>
      <c r="M11" s="84">
        <v>238495</v>
      </c>
      <c r="N11" s="84">
        <v>242838</v>
      </c>
      <c r="O11" s="84">
        <v>264096</v>
      </c>
      <c r="P11" s="84">
        <v>260037</v>
      </c>
      <c r="Q11" s="84">
        <v>369364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>
        <v>263007</v>
      </c>
      <c r="M12" s="84">
        <v>288456</v>
      </c>
      <c r="N12" s="84">
        <v>311367</v>
      </c>
      <c r="O12" s="84">
        <v>329453</v>
      </c>
      <c r="P12" s="84">
        <v>350666</v>
      </c>
      <c r="Q12" s="84">
        <v>334999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>
        <v>233468</v>
      </c>
      <c r="M13" s="84">
        <v>242379</v>
      </c>
      <c r="N13" s="84">
        <v>284795</v>
      </c>
      <c r="O13" s="84">
        <v>288423</v>
      </c>
      <c r="P13" s="84">
        <v>301293</v>
      </c>
      <c r="Q13" s="84">
        <v>329667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>
        <v>254662</v>
      </c>
      <c r="M14" s="84">
        <v>258924</v>
      </c>
      <c r="N14" s="84">
        <v>283945</v>
      </c>
      <c r="O14" s="84">
        <v>296875</v>
      </c>
      <c r="P14" s="84">
        <v>295866</v>
      </c>
      <c r="Q14" s="84">
        <v>334134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>
        <v>248146</v>
      </c>
      <c r="M15" s="84">
        <v>245126</v>
      </c>
      <c r="N15" s="84">
        <v>275080</v>
      </c>
      <c r="O15" s="84">
        <v>278369</v>
      </c>
      <c r="P15" s="84">
        <v>337115</v>
      </c>
      <c r="Q15" s="84">
        <v>314824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>
        <v>220674</v>
      </c>
      <c r="M16" s="92">
        <v>222190</v>
      </c>
      <c r="N16" s="92">
        <v>250771</v>
      </c>
      <c r="O16" s="92">
        <v>267796</v>
      </c>
      <c r="P16" s="92">
        <v>295946</v>
      </c>
      <c r="Q16" s="92">
        <v>294611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R17" si="0">SUM(L5:L16)</f>
        <v>2471695</v>
      </c>
      <c r="M17" s="168">
        <f t="shared" si="0"/>
        <v>2904212</v>
      </c>
      <c r="N17" s="168">
        <f t="shared" si="0"/>
        <v>3063569</v>
      </c>
      <c r="O17" s="168">
        <f t="shared" si="0"/>
        <v>3265640</v>
      </c>
      <c r="P17" s="168">
        <f t="shared" si="0"/>
        <v>3390703</v>
      </c>
      <c r="Q17" s="168">
        <f t="shared" si="0"/>
        <v>3692092</v>
      </c>
      <c r="R17" s="172">
        <f t="shared" si="0"/>
        <v>1777851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49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174">
        <v>22</v>
      </c>
      <c r="M21" s="174">
        <v>21066</v>
      </c>
      <c r="N21" s="174">
        <v>18334</v>
      </c>
      <c r="O21" s="174">
        <v>18806</v>
      </c>
      <c r="P21" s="174">
        <v>15696</v>
      </c>
      <c r="Q21" s="174">
        <v>33197</v>
      </c>
      <c r="R21" s="265">
        <v>27620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>
        <v>3741</v>
      </c>
      <c r="M22" s="84">
        <v>9959</v>
      </c>
      <c r="N22" s="84">
        <v>10113</v>
      </c>
      <c r="O22" s="84">
        <v>12092</v>
      </c>
      <c r="P22" s="84">
        <v>9711</v>
      </c>
      <c r="Q22" s="84">
        <v>13522</v>
      </c>
      <c r="R22" s="266">
        <v>18608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>
        <v>6709</v>
      </c>
      <c r="M23" s="84">
        <v>9491</v>
      </c>
      <c r="N23" s="84">
        <v>16294</v>
      </c>
      <c r="O23" s="84">
        <v>15685</v>
      </c>
      <c r="P23" s="84">
        <v>9753</v>
      </c>
      <c r="Q23" s="84">
        <v>13792</v>
      </c>
      <c r="R23" s="267">
        <v>7521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>
        <v>14054</v>
      </c>
      <c r="M24" s="84">
        <v>11226</v>
      </c>
      <c r="N24" s="84">
        <v>9906</v>
      </c>
      <c r="O24" s="84">
        <v>12877</v>
      </c>
      <c r="P24" s="84">
        <v>16169</v>
      </c>
      <c r="Q24" s="84">
        <v>15463</v>
      </c>
      <c r="R24" s="268">
        <v>24649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>
        <v>12773</v>
      </c>
      <c r="M25" s="84">
        <v>13252</v>
      </c>
      <c r="N25" s="84">
        <v>15981</v>
      </c>
      <c r="O25" s="84">
        <v>13866</v>
      </c>
      <c r="P25" s="84">
        <v>11048</v>
      </c>
      <c r="Q25" s="84">
        <v>12213</v>
      </c>
      <c r="R25" s="267">
        <v>12612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>
        <v>8938</v>
      </c>
      <c r="M26" s="84">
        <v>13900</v>
      </c>
      <c r="N26" s="84">
        <v>8414</v>
      </c>
      <c r="O26" s="84">
        <v>13176</v>
      </c>
      <c r="P26" s="84">
        <v>12027</v>
      </c>
      <c r="Q26" s="84">
        <v>15773</v>
      </c>
      <c r="R26" s="269">
        <v>13871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>
        <v>14538</v>
      </c>
      <c r="M27" s="84">
        <v>12795</v>
      </c>
      <c r="N27" s="84">
        <v>15061</v>
      </c>
      <c r="O27" s="84">
        <v>16715</v>
      </c>
      <c r="P27" s="84">
        <v>12610</v>
      </c>
      <c r="Q27" s="84">
        <v>13951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>
        <v>17464</v>
      </c>
      <c r="M28" s="84">
        <v>15167</v>
      </c>
      <c r="N28" s="84">
        <v>13059</v>
      </c>
      <c r="O28" s="84">
        <v>11397</v>
      </c>
      <c r="P28" s="84">
        <v>18807</v>
      </c>
      <c r="Q28" s="84">
        <v>19927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>
        <v>12466</v>
      </c>
      <c r="M29" s="84">
        <v>8558</v>
      </c>
      <c r="N29" s="84">
        <v>14824</v>
      </c>
      <c r="O29" s="84">
        <v>15635</v>
      </c>
      <c r="P29" s="84">
        <v>15114</v>
      </c>
      <c r="Q29" s="84">
        <v>18319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>
        <v>20689</v>
      </c>
      <c r="M30" s="84">
        <v>13174</v>
      </c>
      <c r="N30" s="84">
        <v>17258</v>
      </c>
      <c r="O30" s="84">
        <v>15927</v>
      </c>
      <c r="P30" s="84">
        <v>10855</v>
      </c>
      <c r="Q30" s="84">
        <v>25749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>
        <v>10709</v>
      </c>
      <c r="M31" s="84">
        <v>12780</v>
      </c>
      <c r="N31" s="84">
        <v>25583</v>
      </c>
      <c r="O31" s="84">
        <v>18649</v>
      </c>
      <c r="P31" s="84">
        <v>18393</v>
      </c>
      <c r="Q31" s="84">
        <v>11651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>
        <v>10055</v>
      </c>
      <c r="M32" s="92">
        <v>9140</v>
      </c>
      <c r="N32" s="92">
        <v>20351</v>
      </c>
      <c r="O32" s="92">
        <v>13300</v>
      </c>
      <c r="P32" s="92">
        <v>16547</v>
      </c>
      <c r="Q32" s="92">
        <v>7632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R33" si="1">SUM(L21:L32)</f>
        <v>132158</v>
      </c>
      <c r="M33" s="168">
        <f t="shared" si="1"/>
        <v>150508</v>
      </c>
      <c r="N33" s="168">
        <f t="shared" si="1"/>
        <v>185178</v>
      </c>
      <c r="O33" s="168">
        <f t="shared" si="1"/>
        <v>178125</v>
      </c>
      <c r="P33" s="168">
        <f t="shared" si="1"/>
        <v>166730</v>
      </c>
      <c r="Q33" s="168">
        <f t="shared" si="1"/>
        <v>201189</v>
      </c>
      <c r="R33" s="172">
        <f t="shared" si="1"/>
        <v>104881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108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174">
        <v>0</v>
      </c>
      <c r="M37" s="174">
        <v>-589</v>
      </c>
      <c r="N37" s="174">
        <v>-15646</v>
      </c>
      <c r="O37" s="174">
        <v>0</v>
      </c>
      <c r="P37" s="174">
        <v>-6116</v>
      </c>
      <c r="Q37" s="174">
        <v>0</v>
      </c>
      <c r="R37" s="275">
        <v>-3042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>
        <v>0</v>
      </c>
      <c r="M38" s="84">
        <v>-1979</v>
      </c>
      <c r="N38" s="84">
        <v>-318</v>
      </c>
      <c r="O38" s="84">
        <v>-69</v>
      </c>
      <c r="P38" s="84">
        <v>-70</v>
      </c>
      <c r="Q38" s="84">
        <v>0</v>
      </c>
      <c r="R38" s="266">
        <v>-398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>
        <v>-3</v>
      </c>
      <c r="M39" s="84">
        <v>0</v>
      </c>
      <c r="N39" s="84">
        <v>-2967</v>
      </c>
      <c r="O39" s="84">
        <v>-716</v>
      </c>
      <c r="P39" s="84">
        <v>-265</v>
      </c>
      <c r="Q39" s="84">
        <v>0</v>
      </c>
      <c r="R39" s="276">
        <v>-7414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>
        <v>0</v>
      </c>
      <c r="M40" s="84">
        <v>-557</v>
      </c>
      <c r="N40" s="84">
        <v>-1965</v>
      </c>
      <c r="O40" s="84">
        <v>-499</v>
      </c>
      <c r="P40" s="84">
        <v>-457</v>
      </c>
      <c r="Q40" s="84">
        <v>-33</v>
      </c>
      <c r="R40" s="277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>
        <v>-2</v>
      </c>
      <c r="M41" s="84">
        <v>-7599</v>
      </c>
      <c r="N41" s="84">
        <v>-1356</v>
      </c>
      <c r="O41" s="84">
        <v>-51530</v>
      </c>
      <c r="P41" s="84">
        <v>-33</v>
      </c>
      <c r="Q41" s="84">
        <v>-57</v>
      </c>
      <c r="R41" s="277">
        <v>-12244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>
        <v>0</v>
      </c>
      <c r="M42" s="84">
        <v>-1</v>
      </c>
      <c r="N42" s="84">
        <v>-14009</v>
      </c>
      <c r="O42" s="84">
        <v>-1601</v>
      </c>
      <c r="P42" s="84">
        <v>-719</v>
      </c>
      <c r="Q42" s="84">
        <v>-473</v>
      </c>
      <c r="R42" s="277">
        <v>-398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>
        <v>-10</v>
      </c>
      <c r="M43" s="84">
        <v>0</v>
      </c>
      <c r="N43" s="84">
        <v>-661</v>
      </c>
      <c r="O43" s="84">
        <v>-1907</v>
      </c>
      <c r="P43" s="84">
        <v>-21250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>
        <v>0</v>
      </c>
      <c r="M44" s="84">
        <v>-670</v>
      </c>
      <c r="N44" s="84">
        <v>-42</v>
      </c>
      <c r="O44" s="84">
        <v>-3795</v>
      </c>
      <c r="P44" s="84">
        <v>-692</v>
      </c>
      <c r="Q44" s="84">
        <v>-5948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>
        <v>-7</v>
      </c>
      <c r="M45" s="84">
        <v>-877</v>
      </c>
      <c r="N45" s="84">
        <v>0</v>
      </c>
      <c r="O45" s="84">
        <v>-1017</v>
      </c>
      <c r="P45" s="84">
        <v>-670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>
        <v>-2983</v>
      </c>
      <c r="M46" s="84">
        <v>-22296</v>
      </c>
      <c r="N46" s="84">
        <v>-1</v>
      </c>
      <c r="O46" s="84">
        <v>-19648</v>
      </c>
      <c r="P46" s="84">
        <v>-8697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>
        <v>-1</v>
      </c>
      <c r="M47" s="84">
        <v>0</v>
      </c>
      <c r="N47" s="84">
        <v>-2</v>
      </c>
      <c r="O47" s="84">
        <v>0</v>
      </c>
      <c r="P47" s="84">
        <v>-2192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>
        <v>-1936</v>
      </c>
      <c r="M48" s="92">
        <v>-71</v>
      </c>
      <c r="N48" s="92">
        <v>0</v>
      </c>
      <c r="O48" s="92">
        <v>-156</v>
      </c>
      <c r="P48" s="92">
        <v>-748</v>
      </c>
      <c r="Q48" s="92">
        <v>-7221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R49" si="2">SUM(L37:L48)</f>
        <v>-4942</v>
      </c>
      <c r="M49" s="168">
        <f t="shared" si="2"/>
        <v>-34639</v>
      </c>
      <c r="N49" s="168">
        <f t="shared" si="2"/>
        <v>-36967</v>
      </c>
      <c r="O49" s="168">
        <f t="shared" si="2"/>
        <v>-80938</v>
      </c>
      <c r="P49" s="168">
        <f t="shared" si="2"/>
        <v>-41909</v>
      </c>
      <c r="Q49" s="168">
        <f t="shared" si="2"/>
        <v>-13732</v>
      </c>
      <c r="R49" s="278">
        <f t="shared" si="2"/>
        <v>-23496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5" right="0.5" top="0.75" bottom="0.75" header="0.3" footer="0.3"/>
  <pageSetup scale="86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12.6640625" style="120" hidden="1" customWidth="1"/>
    <col min="15" max="15" width="13.5" style="120" bestFit="1" customWidth="1"/>
    <col min="16" max="17" width="14.6640625" style="120" bestFit="1" customWidth="1"/>
    <col min="18" max="18" width="13.6640625" style="81" bestFit="1" customWidth="1"/>
    <col min="19" max="16384" width="12.5" style="120"/>
  </cols>
  <sheetData>
    <row r="1" spans="1:20" s="44" customFormat="1" ht="21">
      <c r="A1" s="347" t="s">
        <v>245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156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11038915</v>
      </c>
      <c r="Q5" s="174">
        <v>11719388</v>
      </c>
      <c r="R5" s="255">
        <v>12700251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9100494</v>
      </c>
      <c r="Q6" s="84">
        <v>9184930</v>
      </c>
      <c r="R6" s="256">
        <v>9650888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8463856</v>
      </c>
      <c r="Q7" s="84">
        <v>8519905</v>
      </c>
      <c r="R7" s="257">
        <v>8953006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9650976</v>
      </c>
      <c r="Q8" s="84">
        <v>10259545</v>
      </c>
      <c r="R8" s="257">
        <v>9235581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9119441</v>
      </c>
      <c r="Q9" s="84">
        <v>10356236</v>
      </c>
      <c r="R9" s="258">
        <v>7477996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10282415</v>
      </c>
      <c r="Q10" s="84">
        <v>10971202</v>
      </c>
      <c r="R10" s="259">
        <v>8368382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9919660</v>
      </c>
      <c r="Q11" s="84">
        <v>10601873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176">
        <v>30</v>
      </c>
      <c r="P12" s="84">
        <v>11535255</v>
      </c>
      <c r="Q12" s="84">
        <v>12092266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>
        <v>5</v>
      </c>
      <c r="P13" s="84">
        <v>10775752</v>
      </c>
      <c r="Q13" s="84">
        <v>11336602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>
        <v>11260</v>
      </c>
      <c r="P14" s="84">
        <v>10791721</v>
      </c>
      <c r="Q14" s="84">
        <v>11457922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9274024</v>
      </c>
      <c r="P15" s="84">
        <v>10543463</v>
      </c>
      <c r="Q15" s="84">
        <v>11075750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9432530</v>
      </c>
      <c r="P16" s="92">
        <v>10381498</v>
      </c>
      <c r="Q16" s="92">
        <v>10262279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18717849</v>
      </c>
      <c r="P17" s="168">
        <f>SUM(P5:P16)</f>
        <v>121603446</v>
      </c>
      <c r="Q17" s="168">
        <f>SUM(Q5:Q16)</f>
        <v>127837898</v>
      </c>
      <c r="R17" s="172">
        <f t="shared" ref="R17" si="0">SUM(R5:R16)</f>
        <v>56386104</v>
      </c>
    </row>
    <row r="18" spans="1:18" s="47" customFormat="1" ht="8">
      <c r="A18" s="305" t="s">
        <v>212</v>
      </c>
      <c r="B18" s="305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</row>
    <row r="19" spans="1:18" s="45" customFormat="1" ht="19">
      <c r="A19" s="343" t="s">
        <v>157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946683</v>
      </c>
      <c r="Q21" s="174">
        <v>908499</v>
      </c>
      <c r="R21" s="265">
        <v>1020607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742284</v>
      </c>
      <c r="Q22" s="84">
        <v>711498</v>
      </c>
      <c r="R22" s="266">
        <v>669462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710557</v>
      </c>
      <c r="Q23" s="84">
        <v>550587</v>
      </c>
      <c r="R23" s="267">
        <v>552167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667996</v>
      </c>
      <c r="Q24" s="84">
        <v>700411</v>
      </c>
      <c r="R24" s="268">
        <v>638516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508669</v>
      </c>
      <c r="Q25" s="84">
        <v>576188</v>
      </c>
      <c r="R25" s="267">
        <v>498902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724911</v>
      </c>
      <c r="Q26" s="84">
        <v>631969</v>
      </c>
      <c r="R26" s="269">
        <v>373286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695589</v>
      </c>
      <c r="Q27" s="84">
        <v>659221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176">
        <v>0</v>
      </c>
      <c r="P28" s="84">
        <v>659666</v>
      </c>
      <c r="Q28" s="84">
        <v>709340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>
        <v>5</v>
      </c>
      <c r="P29" s="84">
        <v>700491</v>
      </c>
      <c r="Q29" s="84">
        <v>673940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>
        <v>2302</v>
      </c>
      <c r="P30" s="84">
        <v>691448</v>
      </c>
      <c r="Q30" s="84">
        <v>831788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665687</v>
      </c>
      <c r="P31" s="84">
        <v>759421</v>
      </c>
      <c r="Q31" s="84">
        <v>742080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597098</v>
      </c>
      <c r="P32" s="92">
        <v>648431</v>
      </c>
      <c r="Q32" s="92">
        <v>596217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1265092</v>
      </c>
      <c r="P33" s="168">
        <f>SUM(P21:P32)</f>
        <v>8456146</v>
      </c>
      <c r="Q33" s="168">
        <f>SUM(Q21:Q32)</f>
        <v>8291738</v>
      </c>
      <c r="R33" s="172">
        <f t="shared" ref="R33" si="1">SUM(R21:R32)</f>
        <v>3752940</v>
      </c>
    </row>
    <row r="34" spans="1:18" s="47" customFormat="1" ht="8">
      <c r="A34" s="305" t="s">
        <v>212</v>
      </c>
      <c r="B34" s="305"/>
      <c r="C34" s="305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</row>
    <row r="35" spans="1:18" s="45" customFormat="1" ht="19">
      <c r="A35" s="343" t="s">
        <v>158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-734</v>
      </c>
      <c r="Q37" s="174">
        <v>-8967</v>
      </c>
      <c r="R37" s="275">
        <v>-102311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-379</v>
      </c>
      <c r="Q38" s="84">
        <v>-14541</v>
      </c>
      <c r="R38" s="266">
        <v>-247803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-261</v>
      </c>
      <c r="Q39" s="84">
        <v>-136432</v>
      </c>
      <c r="R39" s="276">
        <v>-53671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-326</v>
      </c>
      <c r="Q40" s="84">
        <v>-11096</v>
      </c>
      <c r="R40" s="266">
        <v>-47084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-3863</v>
      </c>
      <c r="Q41" s="84">
        <v>-41020</v>
      </c>
      <c r="R41" s="277">
        <v>-248411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-780</v>
      </c>
      <c r="Q42" s="84">
        <v>-95839</v>
      </c>
      <c r="R42" s="277">
        <v>-37586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-2193</v>
      </c>
      <c r="Q43" s="84">
        <v>-18138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176">
        <v>0</v>
      </c>
      <c r="P44" s="84">
        <v>-1774</v>
      </c>
      <c r="Q44" s="84">
        <v>-20226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>
        <v>0</v>
      </c>
      <c r="P45" s="84">
        <v>-20558</v>
      </c>
      <c r="Q45" s="84">
        <v>-78173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>
        <v>0</v>
      </c>
      <c r="P46" s="84">
        <v>-15256</v>
      </c>
      <c r="Q46" s="84">
        <v>-177247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-103</v>
      </c>
      <c r="P47" s="84">
        <v>-2347</v>
      </c>
      <c r="Q47" s="84">
        <v>-70471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-76</v>
      </c>
      <c r="P48" s="92">
        <v>-1574</v>
      </c>
      <c r="Q48" s="92">
        <v>-25017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-179</v>
      </c>
      <c r="P49" s="168">
        <f>SUM(P37:P48)</f>
        <v>-50045</v>
      </c>
      <c r="Q49" s="168">
        <f>SUM(Q37:Q48)</f>
        <v>-697167</v>
      </c>
      <c r="R49" s="278">
        <f t="shared" ref="R49" si="2">SUM(R37:R48)</f>
        <v>-736866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9">
    <mergeCell ref="A53:R53"/>
    <mergeCell ref="A1:T1"/>
    <mergeCell ref="A52:R52"/>
    <mergeCell ref="A2:R2"/>
    <mergeCell ref="A3:R3"/>
    <mergeCell ref="A19:R19"/>
    <mergeCell ref="A35:R35"/>
    <mergeCell ref="A50:R50"/>
    <mergeCell ref="A51:R51"/>
  </mergeCells>
  <pageMargins left="0.7" right="0.7" top="0.75" bottom="0.75" header="0.3" footer="0.3"/>
  <pageSetup scale="86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4" width="12.6640625" style="120" hidden="1" customWidth="1"/>
    <col min="5" max="17" width="13.5" style="120" bestFit="1" customWidth="1"/>
    <col min="18" max="18" width="13.6640625" style="81" bestFit="1" customWidth="1"/>
    <col min="19" max="16384" width="12.5" style="120"/>
  </cols>
  <sheetData>
    <row r="1" spans="1:18" s="44" customFormat="1" ht="21">
      <c r="A1" s="338" t="s">
        <v>245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16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174">
        <v>1027</v>
      </c>
      <c r="F5" s="174">
        <v>2576167.29</v>
      </c>
      <c r="G5" s="177">
        <v>2863101</v>
      </c>
      <c r="H5" s="174">
        <v>2611586</v>
      </c>
      <c r="I5" s="174">
        <v>2818016</v>
      </c>
      <c r="J5" s="174">
        <v>2882030</v>
      </c>
      <c r="K5" s="174">
        <v>3110533</v>
      </c>
      <c r="L5" s="174">
        <v>3208696</v>
      </c>
      <c r="M5" s="174">
        <v>3366835</v>
      </c>
      <c r="N5" s="174">
        <v>3442299</v>
      </c>
      <c r="O5" s="174">
        <v>3511135</v>
      </c>
      <c r="P5" s="174">
        <v>3306839</v>
      </c>
      <c r="Q5" s="174">
        <v>3366831</v>
      </c>
      <c r="R5" s="255">
        <v>3780962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>
        <v>1585180</v>
      </c>
      <c r="F6" s="84">
        <v>2043025.33</v>
      </c>
      <c r="G6" s="85">
        <v>2238664</v>
      </c>
      <c r="H6" s="84">
        <v>1885849</v>
      </c>
      <c r="I6" s="84">
        <v>2062932</v>
      </c>
      <c r="J6" s="84">
        <v>2117712</v>
      </c>
      <c r="K6" s="84">
        <v>2232224</v>
      </c>
      <c r="L6" s="84">
        <v>2407774</v>
      </c>
      <c r="M6" s="84">
        <v>2591569</v>
      </c>
      <c r="N6" s="84">
        <v>2490509</v>
      </c>
      <c r="O6" s="84">
        <v>2580829</v>
      </c>
      <c r="P6" s="84">
        <v>2741527</v>
      </c>
      <c r="Q6" s="84">
        <v>2756322</v>
      </c>
      <c r="R6" s="256">
        <v>2933600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>
        <v>1748485</v>
      </c>
      <c r="F7" s="84">
        <v>1960256.06</v>
      </c>
      <c r="G7" s="85">
        <v>1932240</v>
      </c>
      <c r="H7" s="84">
        <v>1769727</v>
      </c>
      <c r="I7" s="84">
        <v>2060950</v>
      </c>
      <c r="J7" s="84">
        <v>2061491</v>
      </c>
      <c r="K7" s="84">
        <v>2130434</v>
      </c>
      <c r="L7" s="84">
        <v>2190258</v>
      </c>
      <c r="M7" s="84">
        <v>2365419</v>
      </c>
      <c r="N7" s="84">
        <v>2494808</v>
      </c>
      <c r="O7" s="84">
        <v>2414365</v>
      </c>
      <c r="P7" s="84">
        <v>2533649</v>
      </c>
      <c r="Q7" s="84">
        <v>2560241</v>
      </c>
      <c r="R7" s="257">
        <v>2718701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>
        <v>2093194.95</v>
      </c>
      <c r="F8" s="84">
        <v>2245422.0099999998</v>
      </c>
      <c r="G8" s="85">
        <v>2070952</v>
      </c>
      <c r="H8" s="84">
        <v>2181410</v>
      </c>
      <c r="I8" s="84">
        <v>2275689</v>
      </c>
      <c r="J8" s="84">
        <v>2439039</v>
      </c>
      <c r="K8" s="84">
        <v>2475783</v>
      </c>
      <c r="L8" s="84">
        <v>2557590</v>
      </c>
      <c r="M8" s="84">
        <v>2789219</v>
      </c>
      <c r="N8" s="84">
        <v>2790886</v>
      </c>
      <c r="O8" s="84">
        <v>2885390</v>
      </c>
      <c r="P8" s="84">
        <v>2895431</v>
      </c>
      <c r="Q8" s="84">
        <v>3089242</v>
      </c>
      <c r="R8" s="257">
        <v>2766498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>
        <v>1897694.39</v>
      </c>
      <c r="F9" s="84">
        <v>2164733.33</v>
      </c>
      <c r="G9" s="85">
        <v>2033307</v>
      </c>
      <c r="H9" s="84">
        <v>2149291</v>
      </c>
      <c r="I9" s="84">
        <v>2288872</v>
      </c>
      <c r="J9" s="84">
        <v>2434009</v>
      </c>
      <c r="K9" s="84">
        <v>2458644</v>
      </c>
      <c r="L9" s="84">
        <v>2555938</v>
      </c>
      <c r="M9" s="84">
        <v>2719071</v>
      </c>
      <c r="N9" s="84">
        <v>2759000</v>
      </c>
      <c r="O9" s="84">
        <v>2735356</v>
      </c>
      <c r="P9" s="84">
        <v>2741516</v>
      </c>
      <c r="Q9" s="84">
        <v>3100999</v>
      </c>
      <c r="R9" s="258">
        <v>2243812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>
        <v>2211335.33</v>
      </c>
      <c r="F10" s="84">
        <v>2282595.5</v>
      </c>
      <c r="G10" s="85">
        <v>2133938</v>
      </c>
      <c r="H10" s="84">
        <v>2157162</v>
      </c>
      <c r="I10" s="84">
        <v>2440929</v>
      </c>
      <c r="J10" s="84">
        <v>2402751</v>
      </c>
      <c r="K10" s="84">
        <v>2685700</v>
      </c>
      <c r="L10" s="84">
        <v>2780752</v>
      </c>
      <c r="M10" s="84">
        <v>2846152</v>
      </c>
      <c r="N10" s="84">
        <v>2937106</v>
      </c>
      <c r="O10" s="84">
        <v>2941351</v>
      </c>
      <c r="P10" s="84">
        <v>3070989</v>
      </c>
      <c r="Q10" s="84">
        <v>3270675</v>
      </c>
      <c r="R10" s="259">
        <v>2474896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>
        <v>1898005.81</v>
      </c>
      <c r="F11" s="84">
        <v>2079806.38</v>
      </c>
      <c r="G11" s="85">
        <v>1822885</v>
      </c>
      <c r="H11" s="84">
        <v>2140071</v>
      </c>
      <c r="I11" s="84">
        <v>2208845</v>
      </c>
      <c r="J11" s="84">
        <v>2448042</v>
      </c>
      <c r="K11" s="84">
        <v>2574092</v>
      </c>
      <c r="L11" s="84">
        <v>2690648</v>
      </c>
      <c r="M11" s="84">
        <v>2828178</v>
      </c>
      <c r="N11" s="84">
        <v>2776221</v>
      </c>
      <c r="O11" s="84">
        <v>2827773</v>
      </c>
      <c r="P11" s="84">
        <v>2979708</v>
      </c>
      <c r="Q11" s="84">
        <v>3167856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>
        <v>2576851.46</v>
      </c>
      <c r="F12" s="84">
        <v>2762147.06</v>
      </c>
      <c r="G12" s="85">
        <v>2480226</v>
      </c>
      <c r="H12" s="84">
        <v>2577213</v>
      </c>
      <c r="I12" s="84">
        <v>2637252</v>
      </c>
      <c r="J12" s="84">
        <v>2886192</v>
      </c>
      <c r="K12" s="84">
        <v>3095959</v>
      </c>
      <c r="L12" s="84">
        <v>3203233</v>
      </c>
      <c r="M12" s="84">
        <v>3377127</v>
      </c>
      <c r="N12" s="84">
        <v>3366771</v>
      </c>
      <c r="O12" s="84">
        <v>3337540</v>
      </c>
      <c r="P12" s="84">
        <v>3437200</v>
      </c>
      <c r="Q12" s="84">
        <v>3610243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>
        <v>2205567.64</v>
      </c>
      <c r="F13" s="84">
        <v>2388277.11</v>
      </c>
      <c r="G13" s="85">
        <v>2071343</v>
      </c>
      <c r="H13" s="84">
        <v>2335424</v>
      </c>
      <c r="I13" s="84">
        <v>2710384</v>
      </c>
      <c r="J13" s="84">
        <v>2581544</v>
      </c>
      <c r="K13" s="84">
        <v>2756143</v>
      </c>
      <c r="L13" s="84">
        <v>2776294</v>
      </c>
      <c r="M13" s="84">
        <v>2890834</v>
      </c>
      <c r="N13" s="84">
        <v>3022764</v>
      </c>
      <c r="O13" s="84">
        <v>3094202</v>
      </c>
      <c r="P13" s="84">
        <v>3169509</v>
      </c>
      <c r="Q13" s="84">
        <v>3431471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>
        <v>2171577.29</v>
      </c>
      <c r="F14" s="84">
        <v>2482983.6</v>
      </c>
      <c r="G14" s="85">
        <v>2267187</v>
      </c>
      <c r="H14" s="84">
        <v>2485948</v>
      </c>
      <c r="I14" s="84">
        <v>2548473</v>
      </c>
      <c r="J14" s="84">
        <v>2626595</v>
      </c>
      <c r="K14" s="84">
        <v>2919213</v>
      </c>
      <c r="L14" s="84">
        <v>2815334</v>
      </c>
      <c r="M14" s="84">
        <v>2942616</v>
      </c>
      <c r="N14" s="84">
        <v>3086267</v>
      </c>
      <c r="O14" s="84">
        <v>3094909</v>
      </c>
      <c r="P14" s="84">
        <v>3218453</v>
      </c>
      <c r="Q14" s="84">
        <v>3416622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>
        <v>2394942.71</v>
      </c>
      <c r="F15" s="84" t="s">
        <v>12</v>
      </c>
      <c r="G15" s="85">
        <v>2040965</v>
      </c>
      <c r="H15" s="84">
        <v>2140051</v>
      </c>
      <c r="I15" s="84">
        <v>2341267</v>
      </c>
      <c r="J15" s="84">
        <v>2424498</v>
      </c>
      <c r="K15" s="84">
        <v>2688799</v>
      </c>
      <c r="L15" s="84">
        <v>2765204</v>
      </c>
      <c r="M15" s="84">
        <v>2811353</v>
      </c>
      <c r="N15" s="84">
        <v>2901386</v>
      </c>
      <c r="O15" s="84">
        <v>2899070</v>
      </c>
      <c r="P15" s="84">
        <v>3194923</v>
      </c>
      <c r="Q15" s="84">
        <v>3332984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>
        <v>2137374.4700000002</v>
      </c>
      <c r="F16" s="95">
        <v>3849412</v>
      </c>
      <c r="G16" s="95">
        <v>1943836</v>
      </c>
      <c r="H16" s="92">
        <v>2202201</v>
      </c>
      <c r="I16" s="92">
        <v>2249639</v>
      </c>
      <c r="J16" s="92">
        <v>2331339</v>
      </c>
      <c r="K16" s="92">
        <v>2603621</v>
      </c>
      <c r="L16" s="92">
        <v>2573492</v>
      </c>
      <c r="M16" s="92">
        <v>2751674</v>
      </c>
      <c r="N16" s="92">
        <v>2765080</v>
      </c>
      <c r="O16" s="92">
        <v>2824578</v>
      </c>
      <c r="P16" s="92">
        <v>3257244</v>
      </c>
      <c r="Q16" s="92">
        <v>3063415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68">
        <f t="shared" ref="E17:K17" si="0">SUM(E5:E16)</f>
        <v>22921236.050000001</v>
      </c>
      <c r="F17" s="168">
        <f t="shared" si="0"/>
        <v>26834825.669999998</v>
      </c>
      <c r="G17" s="168">
        <f t="shared" si="0"/>
        <v>25898644</v>
      </c>
      <c r="H17" s="168">
        <f t="shared" si="0"/>
        <v>26635933</v>
      </c>
      <c r="I17" s="168">
        <f t="shared" si="0"/>
        <v>28643248</v>
      </c>
      <c r="J17" s="168">
        <f t="shared" si="0"/>
        <v>29635242</v>
      </c>
      <c r="K17" s="168">
        <f t="shared" si="0"/>
        <v>31731145</v>
      </c>
      <c r="L17" s="168">
        <f t="shared" ref="L17:R17" si="1">SUM(L5:L16)</f>
        <v>32525213</v>
      </c>
      <c r="M17" s="168">
        <f t="shared" si="1"/>
        <v>34280047</v>
      </c>
      <c r="N17" s="168">
        <f t="shared" si="1"/>
        <v>34833097</v>
      </c>
      <c r="O17" s="168">
        <f t="shared" si="1"/>
        <v>35146498</v>
      </c>
      <c r="P17" s="168">
        <f t="shared" si="1"/>
        <v>36546988</v>
      </c>
      <c r="Q17" s="168">
        <f t="shared" si="1"/>
        <v>38166901</v>
      </c>
      <c r="R17" s="172">
        <f t="shared" si="1"/>
        <v>16918469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17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174">
        <v>16</v>
      </c>
      <c r="F21" s="174">
        <v>206587.9</v>
      </c>
      <c r="G21" s="177">
        <v>284180</v>
      </c>
      <c r="H21" s="174">
        <v>237473</v>
      </c>
      <c r="I21" s="174">
        <v>304120</v>
      </c>
      <c r="J21" s="174">
        <v>282925</v>
      </c>
      <c r="K21" s="174">
        <v>294212</v>
      </c>
      <c r="L21" s="174">
        <v>286634</v>
      </c>
      <c r="M21" s="174">
        <v>334954</v>
      </c>
      <c r="N21" s="174">
        <v>312028</v>
      </c>
      <c r="O21" s="174">
        <v>360923</v>
      </c>
      <c r="P21" s="174">
        <v>352093</v>
      </c>
      <c r="Q21" s="174">
        <v>3152000</v>
      </c>
      <c r="R21" s="265">
        <v>410641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>
        <v>105922</v>
      </c>
      <c r="F22" s="84">
        <v>187883.22</v>
      </c>
      <c r="G22" s="85">
        <v>189810</v>
      </c>
      <c r="H22" s="84">
        <v>219586</v>
      </c>
      <c r="I22" s="84">
        <v>169496</v>
      </c>
      <c r="J22" s="84">
        <v>289614</v>
      </c>
      <c r="K22" s="84">
        <v>213780</v>
      </c>
      <c r="L22" s="84">
        <v>260483</v>
      </c>
      <c r="M22" s="84">
        <v>232395</v>
      </c>
      <c r="N22" s="84">
        <v>273718</v>
      </c>
      <c r="O22" s="84">
        <v>174248</v>
      </c>
      <c r="P22" s="84">
        <v>262305</v>
      </c>
      <c r="Q22" s="84">
        <v>222696</v>
      </c>
      <c r="R22" s="266">
        <v>189149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>
        <v>108553</v>
      </c>
      <c r="F23" s="84">
        <v>165902.85</v>
      </c>
      <c r="G23" s="85">
        <v>167521</v>
      </c>
      <c r="H23" s="84">
        <v>220552</v>
      </c>
      <c r="I23" s="84">
        <v>155027</v>
      </c>
      <c r="J23" s="84">
        <v>197072</v>
      </c>
      <c r="K23" s="84">
        <v>155365</v>
      </c>
      <c r="L23" s="84">
        <v>176787</v>
      </c>
      <c r="M23" s="84">
        <v>6543</v>
      </c>
      <c r="N23" s="84">
        <v>238644</v>
      </c>
      <c r="O23" s="84">
        <v>201307</v>
      </c>
      <c r="P23" s="84">
        <v>120556</v>
      </c>
      <c r="Q23" s="84">
        <v>189115</v>
      </c>
      <c r="R23" s="267">
        <v>186371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>
        <v>164321.28</v>
      </c>
      <c r="F24" s="84">
        <v>239239.05</v>
      </c>
      <c r="G24" s="85">
        <v>170137</v>
      </c>
      <c r="H24" s="84">
        <v>227087</v>
      </c>
      <c r="I24" s="84">
        <v>185153</v>
      </c>
      <c r="J24" s="84">
        <v>142284</v>
      </c>
      <c r="K24" s="84">
        <v>241966</v>
      </c>
      <c r="L24" s="84">
        <v>313160</v>
      </c>
      <c r="M24" s="84">
        <v>243496</v>
      </c>
      <c r="N24" s="84">
        <v>217994</v>
      </c>
      <c r="O24" s="84">
        <v>239563</v>
      </c>
      <c r="P24" s="84">
        <v>235399</v>
      </c>
      <c r="Q24" s="84">
        <v>226319</v>
      </c>
      <c r="R24" s="268">
        <v>200322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>
        <v>143844.74</v>
      </c>
      <c r="F25" s="84">
        <v>187804.58</v>
      </c>
      <c r="G25" s="85">
        <v>144160</v>
      </c>
      <c r="H25" s="84">
        <v>155680</v>
      </c>
      <c r="I25" s="84">
        <v>205854</v>
      </c>
      <c r="J25" s="84">
        <v>203921</v>
      </c>
      <c r="K25" s="84">
        <v>191578</v>
      </c>
      <c r="L25" s="84">
        <v>247523</v>
      </c>
      <c r="M25" s="84">
        <v>231685</v>
      </c>
      <c r="N25" s="84">
        <v>266197</v>
      </c>
      <c r="O25" s="84">
        <v>175143</v>
      </c>
      <c r="P25" s="84">
        <v>234815</v>
      </c>
      <c r="Q25" s="84">
        <v>191798</v>
      </c>
      <c r="R25" s="267">
        <v>240831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>
        <v>152181.92000000001</v>
      </c>
      <c r="F26" s="84">
        <v>160098.25</v>
      </c>
      <c r="G26" s="85">
        <v>206194</v>
      </c>
      <c r="H26" s="84">
        <v>149132</v>
      </c>
      <c r="I26" s="84">
        <v>207366</v>
      </c>
      <c r="J26" s="84">
        <v>220831</v>
      </c>
      <c r="K26" s="84">
        <v>187809</v>
      </c>
      <c r="L26" s="84">
        <v>208800</v>
      </c>
      <c r="M26" s="84">
        <v>227655</v>
      </c>
      <c r="N26" s="84">
        <v>147393</v>
      </c>
      <c r="O26" s="84">
        <v>188026</v>
      </c>
      <c r="P26" s="84">
        <v>236715</v>
      </c>
      <c r="Q26" s="84">
        <v>209622</v>
      </c>
      <c r="R26" s="269">
        <v>121714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>
        <v>130712.78</v>
      </c>
      <c r="F27" s="84">
        <v>156214</v>
      </c>
      <c r="G27" s="84">
        <v>130001</v>
      </c>
      <c r="H27" s="84">
        <v>153405</v>
      </c>
      <c r="I27" s="84">
        <v>202776</v>
      </c>
      <c r="J27" s="84">
        <v>223951</v>
      </c>
      <c r="K27" s="84">
        <v>213412</v>
      </c>
      <c r="L27" s="84">
        <v>209209</v>
      </c>
      <c r="M27" s="84">
        <v>240729</v>
      </c>
      <c r="N27" s="84">
        <v>213815</v>
      </c>
      <c r="O27" s="84">
        <v>264291</v>
      </c>
      <c r="P27" s="84">
        <v>228776</v>
      </c>
      <c r="Q27" s="84">
        <v>178151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>
        <v>173157.03</v>
      </c>
      <c r="F28" s="84">
        <v>213513.60000000001</v>
      </c>
      <c r="G28" s="84">
        <v>183288</v>
      </c>
      <c r="H28" s="84">
        <v>180961</v>
      </c>
      <c r="I28" s="84">
        <v>229293</v>
      </c>
      <c r="J28" s="84">
        <v>238416</v>
      </c>
      <c r="K28" s="84">
        <v>212552</v>
      </c>
      <c r="L28" s="84">
        <v>102060</v>
      </c>
      <c r="M28" s="84">
        <v>301737</v>
      </c>
      <c r="N28" s="84">
        <v>214767</v>
      </c>
      <c r="O28" s="84">
        <v>209001</v>
      </c>
      <c r="P28" s="84">
        <v>215439</v>
      </c>
      <c r="Q28" s="84">
        <v>212897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>
        <v>162817.98000000001</v>
      </c>
      <c r="F29" s="84">
        <v>174971.38</v>
      </c>
      <c r="G29" s="84">
        <v>135109</v>
      </c>
      <c r="H29" s="84">
        <v>181393</v>
      </c>
      <c r="I29" s="84">
        <v>192901</v>
      </c>
      <c r="J29" s="84">
        <v>196567</v>
      </c>
      <c r="K29" s="84">
        <v>164752</v>
      </c>
      <c r="L29" s="84">
        <v>178581</v>
      </c>
      <c r="M29" s="84">
        <v>198613</v>
      </c>
      <c r="N29" s="84">
        <v>215497</v>
      </c>
      <c r="O29" s="84">
        <v>195314</v>
      </c>
      <c r="P29" s="84">
        <v>232131</v>
      </c>
      <c r="Q29" s="84">
        <v>218085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>
        <v>170197.09</v>
      </c>
      <c r="F30" s="84">
        <v>235886.41</v>
      </c>
      <c r="G30" s="84">
        <v>188154</v>
      </c>
      <c r="H30" s="84">
        <v>177149</v>
      </c>
      <c r="I30" s="84">
        <v>217956</v>
      </c>
      <c r="J30" s="84">
        <v>327736</v>
      </c>
      <c r="K30" s="84">
        <v>253294</v>
      </c>
      <c r="L30" s="84">
        <v>92985</v>
      </c>
      <c r="M30" s="84">
        <v>246003</v>
      </c>
      <c r="N30" s="84">
        <v>206499</v>
      </c>
      <c r="O30" s="84">
        <v>260312</v>
      </c>
      <c r="P30" s="84">
        <v>241137</v>
      </c>
      <c r="Q30" s="84">
        <v>258878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>
        <v>192044.06</v>
      </c>
      <c r="F31" s="84" t="s">
        <v>12</v>
      </c>
      <c r="G31" s="84">
        <v>165437</v>
      </c>
      <c r="H31" s="84">
        <v>167128</v>
      </c>
      <c r="I31" s="84">
        <v>191592</v>
      </c>
      <c r="J31" s="84">
        <v>197017</v>
      </c>
      <c r="K31" s="84">
        <v>194545</v>
      </c>
      <c r="L31" s="84">
        <v>273127</v>
      </c>
      <c r="M31" s="84">
        <v>215502</v>
      </c>
      <c r="N31" s="84">
        <v>227731</v>
      </c>
      <c r="O31" s="84">
        <v>236335</v>
      </c>
      <c r="P31" s="84">
        <v>219897</v>
      </c>
      <c r="Q31" s="84">
        <v>240642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>
        <v>148561.64000000001</v>
      </c>
      <c r="F32" s="95">
        <v>319647</v>
      </c>
      <c r="G32" s="92">
        <v>168123</v>
      </c>
      <c r="H32" s="92">
        <v>159194</v>
      </c>
      <c r="I32" s="92">
        <v>158547</v>
      </c>
      <c r="J32" s="92">
        <v>189048</v>
      </c>
      <c r="K32" s="92">
        <v>195293</v>
      </c>
      <c r="L32" s="92">
        <v>177985</v>
      </c>
      <c r="M32" s="92">
        <v>194520</v>
      </c>
      <c r="N32" s="92">
        <v>108848</v>
      </c>
      <c r="O32" s="92">
        <v>207814</v>
      </c>
      <c r="P32" s="92">
        <v>221916</v>
      </c>
      <c r="Q32" s="92">
        <v>207762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68">
        <f t="shared" ref="E33:K33" si="2">SUM(E21:E32)</f>
        <v>1652329.5200000005</v>
      </c>
      <c r="F33" s="168">
        <f t="shared" si="2"/>
        <v>2247748.2400000002</v>
      </c>
      <c r="G33" s="168">
        <f t="shared" si="2"/>
        <v>2132114</v>
      </c>
      <c r="H33" s="168">
        <f t="shared" si="2"/>
        <v>2228740</v>
      </c>
      <c r="I33" s="168">
        <f t="shared" si="2"/>
        <v>2420081</v>
      </c>
      <c r="J33" s="168">
        <f t="shared" si="2"/>
        <v>2709382</v>
      </c>
      <c r="K33" s="168">
        <f t="shared" si="2"/>
        <v>2518558</v>
      </c>
      <c r="L33" s="168">
        <f t="shared" ref="L33:R33" si="3">SUM(L21:L32)</f>
        <v>2527334</v>
      </c>
      <c r="M33" s="168">
        <f t="shared" si="3"/>
        <v>2673832</v>
      </c>
      <c r="N33" s="168">
        <f t="shared" si="3"/>
        <v>2643131</v>
      </c>
      <c r="O33" s="168">
        <f t="shared" si="3"/>
        <v>2712277</v>
      </c>
      <c r="P33" s="168">
        <f t="shared" si="3"/>
        <v>2801179</v>
      </c>
      <c r="Q33" s="168">
        <f t="shared" si="3"/>
        <v>5507965</v>
      </c>
      <c r="R33" s="172">
        <f t="shared" si="3"/>
        <v>1349028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23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97" t="s">
        <v>176</v>
      </c>
      <c r="G37" s="177">
        <v>-38422</v>
      </c>
      <c r="H37" s="174">
        <v>-65800</v>
      </c>
      <c r="I37" s="174">
        <v>-9615</v>
      </c>
      <c r="J37" s="174">
        <v>-36767</v>
      </c>
      <c r="K37" s="174">
        <v>-48252</v>
      </c>
      <c r="L37" s="174">
        <v>-51733</v>
      </c>
      <c r="M37" s="174">
        <v>-122795</v>
      </c>
      <c r="N37" s="174">
        <v>-87579</v>
      </c>
      <c r="O37" s="174">
        <v>-19246</v>
      </c>
      <c r="P37" s="174">
        <v>-62617</v>
      </c>
      <c r="Q37" s="174">
        <v>-365586</v>
      </c>
      <c r="R37" s="275">
        <v>-38508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5">
        <v>-61888</v>
      </c>
      <c r="H38" s="84">
        <v>-34494</v>
      </c>
      <c r="I38" s="84">
        <v>-139216</v>
      </c>
      <c r="J38" s="84">
        <v>-63898</v>
      </c>
      <c r="K38" s="84">
        <v>-56023</v>
      </c>
      <c r="L38" s="84">
        <v>-63001</v>
      </c>
      <c r="M38" s="84">
        <v>-326961</v>
      </c>
      <c r="N38" s="84">
        <v>-183004</v>
      </c>
      <c r="O38" s="84">
        <v>-58406</v>
      </c>
      <c r="P38" s="84">
        <v>-54126</v>
      </c>
      <c r="Q38" s="84">
        <v>-77551</v>
      </c>
      <c r="R38" s="266">
        <v>-263634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5">
        <v>-131680</v>
      </c>
      <c r="H39" s="84">
        <v>-62870</v>
      </c>
      <c r="I39" s="84">
        <v>-74332</v>
      </c>
      <c r="J39" s="84">
        <v>-112975</v>
      </c>
      <c r="K39" s="84">
        <v>-41402</v>
      </c>
      <c r="L39" s="84">
        <v>-37210</v>
      </c>
      <c r="M39" s="84">
        <v>-169569</v>
      </c>
      <c r="N39" s="84">
        <v>-187902</v>
      </c>
      <c r="O39" s="84">
        <v>-170794</v>
      </c>
      <c r="P39" s="84">
        <v>-137296</v>
      </c>
      <c r="Q39" s="84">
        <v>-73041</v>
      </c>
      <c r="R39" s="276">
        <v>-129056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5">
        <v>-59228</v>
      </c>
      <c r="H40" s="84">
        <v>-30622</v>
      </c>
      <c r="I40" s="84">
        <v>-77303</v>
      </c>
      <c r="J40" s="84">
        <v>-22385</v>
      </c>
      <c r="K40" s="84">
        <v>-36363</v>
      </c>
      <c r="L40" s="84">
        <v>-46461</v>
      </c>
      <c r="M40" s="84">
        <v>-72810</v>
      </c>
      <c r="N40" s="84">
        <v>-84857</v>
      </c>
      <c r="O40" s="84">
        <v>-16099</v>
      </c>
      <c r="P40" s="84">
        <v>-206035</v>
      </c>
      <c r="Q40" s="84">
        <v>-120194</v>
      </c>
      <c r="R40" s="266">
        <v>-20506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5">
        <v>-64703</v>
      </c>
      <c r="H41" s="84">
        <v>-132871</v>
      </c>
      <c r="I41" s="84">
        <v>-75953</v>
      </c>
      <c r="J41" s="84">
        <v>-31478</v>
      </c>
      <c r="K41" s="84">
        <v>-68658</v>
      </c>
      <c r="L41" s="84">
        <v>-73490</v>
      </c>
      <c r="M41" s="84">
        <v>-38532</v>
      </c>
      <c r="N41" s="84">
        <v>-33673</v>
      </c>
      <c r="O41" s="84">
        <v>-59921</v>
      </c>
      <c r="P41" s="84">
        <v>-158761</v>
      </c>
      <c r="Q41" s="84">
        <v>-25293</v>
      </c>
      <c r="R41" s="277">
        <v>-103109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5">
        <v>-46636</v>
      </c>
      <c r="H42" s="84">
        <v>-20393</v>
      </c>
      <c r="I42" s="84">
        <v>-38419</v>
      </c>
      <c r="J42" s="84">
        <v>-35819</v>
      </c>
      <c r="K42" s="84">
        <v>-92636</v>
      </c>
      <c r="L42" s="84">
        <v>-47747</v>
      </c>
      <c r="M42" s="84">
        <v>-30743</v>
      </c>
      <c r="N42" s="84">
        <v>-95625</v>
      </c>
      <c r="O42" s="84">
        <v>-219586</v>
      </c>
      <c r="P42" s="84">
        <v>-53850</v>
      </c>
      <c r="Q42" s="84">
        <v>-60440</v>
      </c>
      <c r="R42" s="277">
        <v>-30758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5">
        <v>-36954</v>
      </c>
      <c r="H43" s="84">
        <v>-1581</v>
      </c>
      <c r="I43" s="84">
        <v>-127423</v>
      </c>
      <c r="J43" s="84">
        <v>-109887</v>
      </c>
      <c r="K43" s="84">
        <v>-93955</v>
      </c>
      <c r="L43" s="84">
        <v>-42391</v>
      </c>
      <c r="M43" s="84">
        <v>-66459</v>
      </c>
      <c r="N43" s="84">
        <v>-64445</v>
      </c>
      <c r="O43" s="84">
        <v>-212034</v>
      </c>
      <c r="P43" s="84">
        <v>-59470</v>
      </c>
      <c r="Q43" s="84">
        <v>-36804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5">
        <v>-67417</v>
      </c>
      <c r="H44" s="84">
        <v>-18378</v>
      </c>
      <c r="I44" s="84">
        <v>-40924</v>
      </c>
      <c r="J44" s="84">
        <v>-51707</v>
      </c>
      <c r="K44" s="84">
        <v>-89647</v>
      </c>
      <c r="L44" s="84">
        <v>-55721</v>
      </c>
      <c r="M44" s="84">
        <v>-97754</v>
      </c>
      <c r="N44" s="84">
        <v>-42172</v>
      </c>
      <c r="O44" s="84">
        <v>-40136</v>
      </c>
      <c r="P44" s="84">
        <v>-49979</v>
      </c>
      <c r="Q44" s="84">
        <v>-25012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5">
        <v>-36728</v>
      </c>
      <c r="H45" s="84">
        <v>-3212</v>
      </c>
      <c r="I45" s="84">
        <v>-112005</v>
      </c>
      <c r="J45" s="84">
        <v>-110646</v>
      </c>
      <c r="K45" s="84">
        <v>-42524</v>
      </c>
      <c r="L45" s="84">
        <v>-46522</v>
      </c>
      <c r="M45" s="84">
        <v>-45418</v>
      </c>
      <c r="N45" s="84">
        <v>-72703</v>
      </c>
      <c r="O45" s="84">
        <v>-44081</v>
      </c>
      <c r="P45" s="84">
        <v>-223069</v>
      </c>
      <c r="Q45" s="84">
        <v>-22700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5">
        <v>-42523</v>
      </c>
      <c r="H46" s="84">
        <v>-4640</v>
      </c>
      <c r="I46" s="84">
        <v>-62107</v>
      </c>
      <c r="J46" s="84">
        <v>-53667</v>
      </c>
      <c r="K46" s="84">
        <v>-97376</v>
      </c>
      <c r="L46" s="84">
        <v>-154658</v>
      </c>
      <c r="M46" s="84">
        <v>-32322</v>
      </c>
      <c r="N46" s="84">
        <v>-70129</v>
      </c>
      <c r="O46" s="84">
        <v>-36891</v>
      </c>
      <c r="P46" s="84">
        <v>-82830</v>
      </c>
      <c r="Q46" s="84">
        <v>-131044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5">
        <v>-45391</v>
      </c>
      <c r="H47" s="84">
        <v>-300647</v>
      </c>
      <c r="I47" s="84">
        <v>-104741</v>
      </c>
      <c r="J47" s="84">
        <v>-88767</v>
      </c>
      <c r="K47" s="84">
        <v>-47928</v>
      </c>
      <c r="L47" s="84">
        <v>-70645</v>
      </c>
      <c r="M47" s="84">
        <v>-47559</v>
      </c>
      <c r="N47" s="84">
        <v>-25641</v>
      </c>
      <c r="O47" s="84">
        <v>-32255</v>
      </c>
      <c r="P47" s="84">
        <v>-104436</v>
      </c>
      <c r="Q47" s="84">
        <v>-126824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>
        <v>-42276</v>
      </c>
      <c r="H48" s="92">
        <v>-11664</v>
      </c>
      <c r="I48" s="92">
        <v>-107479</v>
      </c>
      <c r="J48" s="92">
        <v>-40383</v>
      </c>
      <c r="K48" s="92">
        <v>-86220</v>
      </c>
      <c r="L48" s="92">
        <v>-102581</v>
      </c>
      <c r="M48" s="92">
        <v>-134017</v>
      </c>
      <c r="N48" s="92">
        <v>-84377</v>
      </c>
      <c r="O48" s="92">
        <v>-57590</v>
      </c>
      <c r="P48" s="92">
        <v>-2815</v>
      </c>
      <c r="Q48" s="92">
        <v>-12206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68">
        <f t="shared" ref="G49:P49" si="4">SUM(G37:G48)</f>
        <v>-673846</v>
      </c>
      <c r="H49" s="168">
        <f t="shared" si="4"/>
        <v>-687172</v>
      </c>
      <c r="I49" s="168">
        <f t="shared" si="4"/>
        <v>-969517</v>
      </c>
      <c r="J49" s="168">
        <f t="shared" si="4"/>
        <v>-758379</v>
      </c>
      <c r="K49" s="168">
        <f t="shared" si="4"/>
        <v>-800984</v>
      </c>
      <c r="L49" s="168">
        <f t="shared" si="4"/>
        <v>-792160</v>
      </c>
      <c r="M49" s="168">
        <f t="shared" si="4"/>
        <v>-1184939</v>
      </c>
      <c r="N49" s="168">
        <f t="shared" si="4"/>
        <v>-1032107</v>
      </c>
      <c r="O49" s="168">
        <f t="shared" si="4"/>
        <v>-967039</v>
      </c>
      <c r="P49" s="168">
        <f t="shared" si="4"/>
        <v>-1195284</v>
      </c>
      <c r="Q49" s="168">
        <f t="shared" ref="Q49:R49" si="5">SUM(Q37:Q48)</f>
        <v>-1076695</v>
      </c>
      <c r="R49" s="278">
        <f t="shared" si="5"/>
        <v>-585571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177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52" t="s">
        <v>15</v>
      </c>
      <c r="B52" s="352"/>
      <c r="C52" s="352"/>
      <c r="D52" s="352"/>
      <c r="E52" s="352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</row>
    <row r="53" spans="1:18" s="48" customFormat="1" ht="14">
      <c r="A53" s="322" t="str">
        <f>'Local SUT'!A67</f>
        <v>Source:  Minnesota Department of Revenue, Tax Research Division, February 2021</v>
      </c>
      <c r="B53" s="322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</row>
    <row r="54" spans="1:18" s="48" customFormat="1" ht="14">
      <c r="A54" s="323" t="s">
        <v>174</v>
      </c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</row>
  </sheetData>
  <mergeCells count="12">
    <mergeCell ref="A53:R53"/>
    <mergeCell ref="A54:R54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72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>
    <pageSetUpPr fitToPage="1"/>
  </sheetPr>
  <dimension ref="A1:R68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0" style="120" hidden="1" customWidth="1"/>
    <col min="13" max="16" width="12.5" style="120"/>
    <col min="17" max="17" width="13.5" style="120" bestFit="1" customWidth="1"/>
    <col min="18" max="18" width="13.6640625" style="81" bestFit="1" customWidth="1"/>
    <col min="19" max="16384" width="12.5" style="120"/>
  </cols>
  <sheetData>
    <row r="1" spans="1:18" s="44" customFormat="1" ht="21">
      <c r="A1" s="338" t="s">
        <v>246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50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693117</v>
      </c>
      <c r="O5" s="174">
        <v>713096</v>
      </c>
      <c r="P5" s="174">
        <v>755207</v>
      </c>
      <c r="Q5" s="174">
        <v>837002</v>
      </c>
      <c r="R5" s="255">
        <v>1017398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510869</v>
      </c>
      <c r="O6" s="84">
        <v>538571</v>
      </c>
      <c r="P6" s="84">
        <v>596091</v>
      </c>
      <c r="Q6" s="84">
        <v>677298</v>
      </c>
      <c r="R6" s="256">
        <v>750185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547053</v>
      </c>
      <c r="O7" s="84">
        <v>510237</v>
      </c>
      <c r="P7" s="84">
        <v>546771</v>
      </c>
      <c r="Q7" s="84">
        <v>667129</v>
      </c>
      <c r="R7" s="257">
        <v>733357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>
        <v>585287</v>
      </c>
      <c r="O8" s="84">
        <v>617626</v>
      </c>
      <c r="P8" s="84">
        <v>657950</v>
      </c>
      <c r="Q8" s="84">
        <v>770796</v>
      </c>
      <c r="R8" s="257">
        <v>776261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629636</v>
      </c>
      <c r="O9" s="84">
        <v>623250</v>
      </c>
      <c r="P9" s="84">
        <v>614371</v>
      </c>
      <c r="Q9" s="84">
        <v>768167</v>
      </c>
      <c r="R9" s="258">
        <v>757241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704410</v>
      </c>
      <c r="O10" s="84">
        <v>719620</v>
      </c>
      <c r="P10" s="84">
        <v>802787</v>
      </c>
      <c r="Q10" s="84">
        <v>892265</v>
      </c>
      <c r="R10" s="259">
        <v>906020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696304</v>
      </c>
      <c r="O11" s="84">
        <v>760833</v>
      </c>
      <c r="P11" s="84">
        <v>820169</v>
      </c>
      <c r="Q11" s="84">
        <v>923150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796797</v>
      </c>
      <c r="O12" s="84">
        <v>841924</v>
      </c>
      <c r="P12" s="84">
        <v>913472</v>
      </c>
      <c r="Q12" s="84">
        <v>1027810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763297</v>
      </c>
      <c r="O13" s="84">
        <v>773037</v>
      </c>
      <c r="P13" s="84">
        <v>899700</v>
      </c>
      <c r="Q13" s="84">
        <v>1009517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176">
        <v>42</v>
      </c>
      <c r="N14" s="84">
        <v>751146</v>
      </c>
      <c r="O14" s="84">
        <v>779814</v>
      </c>
      <c r="P14" s="84">
        <v>819076</v>
      </c>
      <c r="Q14" s="84">
        <v>990774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>
        <v>552029</v>
      </c>
      <c r="N15" s="84">
        <v>659164</v>
      </c>
      <c r="O15" s="84">
        <v>684523</v>
      </c>
      <c r="P15" s="84">
        <v>809520</v>
      </c>
      <c r="Q15" s="84">
        <v>924047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>
        <v>558792</v>
      </c>
      <c r="N16" s="92">
        <v>649787</v>
      </c>
      <c r="O16" s="92">
        <v>660156</v>
      </c>
      <c r="P16" s="92">
        <v>741113</v>
      </c>
      <c r="Q16" s="92">
        <v>847325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1110863</v>
      </c>
      <c r="N17" s="168">
        <f>SUM(N5:N16)</f>
        <v>7986867</v>
      </c>
      <c r="O17" s="168">
        <f>SUM(O5:O16)</f>
        <v>8222687</v>
      </c>
      <c r="P17" s="168">
        <f>SUM(P5:P16)</f>
        <v>8976227</v>
      </c>
      <c r="Q17" s="168">
        <f>SUM(Q5:Q16)</f>
        <v>10335280</v>
      </c>
      <c r="R17" s="172">
        <f t="shared" ref="R17" si="0">SUM(R5:R16)</f>
        <v>4940462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51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50078</v>
      </c>
      <c r="O21" s="174">
        <v>47431</v>
      </c>
      <c r="P21" s="174">
        <v>40018</v>
      </c>
      <c r="Q21" s="174">
        <v>67353</v>
      </c>
      <c r="R21" s="265">
        <v>63490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24833</v>
      </c>
      <c r="O22" s="84">
        <v>40048</v>
      </c>
      <c r="P22" s="84">
        <v>48146</v>
      </c>
      <c r="Q22" s="84">
        <v>38602</v>
      </c>
      <c r="R22" s="266">
        <v>46417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23661</v>
      </c>
      <c r="O23" s="84">
        <v>31119</v>
      </c>
      <c r="P23" s="84">
        <v>38625</v>
      </c>
      <c r="Q23" s="84">
        <v>54492</v>
      </c>
      <c r="R23" s="267">
        <v>57616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>
        <v>28813</v>
      </c>
      <c r="O24" s="84">
        <v>32608</v>
      </c>
      <c r="P24" s="84">
        <v>44985</v>
      </c>
      <c r="Q24" s="84">
        <v>51042</v>
      </c>
      <c r="R24" s="268">
        <v>40480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31696</v>
      </c>
      <c r="O25" s="84">
        <v>35945</v>
      </c>
      <c r="P25" s="84">
        <v>36704</v>
      </c>
      <c r="Q25" s="84">
        <v>43931</v>
      </c>
      <c r="R25" s="267">
        <v>34131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36201</v>
      </c>
      <c r="O26" s="84">
        <v>46213</v>
      </c>
      <c r="P26" s="84">
        <v>45080</v>
      </c>
      <c r="Q26" s="84">
        <v>39052</v>
      </c>
      <c r="R26" s="269">
        <v>37129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206012</v>
      </c>
      <c r="O27" s="84">
        <v>40406</v>
      </c>
      <c r="P27" s="84">
        <v>52608</v>
      </c>
      <c r="Q27" s="84">
        <v>49052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38172</v>
      </c>
      <c r="O28" s="84">
        <v>38218</v>
      </c>
      <c r="P28" s="84">
        <v>52260</v>
      </c>
      <c r="Q28" s="84">
        <v>53264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35920</v>
      </c>
      <c r="O29" s="84">
        <v>47709</v>
      </c>
      <c r="P29" s="84">
        <v>51816</v>
      </c>
      <c r="Q29" s="84">
        <v>46898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176">
        <v>0</v>
      </c>
      <c r="N30" s="84">
        <v>36769</v>
      </c>
      <c r="O30" s="84">
        <v>48558</v>
      </c>
      <c r="P30" s="84">
        <v>50195</v>
      </c>
      <c r="Q30" s="84">
        <v>50420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>
        <v>38174</v>
      </c>
      <c r="N31" s="84">
        <v>36836</v>
      </c>
      <c r="O31" s="84">
        <v>36686</v>
      </c>
      <c r="P31" s="84">
        <v>49882</v>
      </c>
      <c r="Q31" s="84">
        <v>58596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>
        <v>25755</v>
      </c>
      <c r="N32" s="92">
        <v>25477</v>
      </c>
      <c r="O32" s="92">
        <v>28733</v>
      </c>
      <c r="P32" s="92">
        <v>51522</v>
      </c>
      <c r="Q32" s="92">
        <v>37662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63929</v>
      </c>
      <c r="N33" s="168">
        <f>SUM(N21:N32)</f>
        <v>574468</v>
      </c>
      <c r="O33" s="168">
        <f>SUM(O21:O32)</f>
        <v>473674</v>
      </c>
      <c r="P33" s="168">
        <f>SUM(P21:P32)</f>
        <v>561841</v>
      </c>
      <c r="Q33" s="168">
        <f>SUM(Q21:Q32)</f>
        <v>590364</v>
      </c>
      <c r="R33" s="172">
        <f t="shared" ref="R33" si="1">SUM(R21:R32)</f>
        <v>279263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109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0</v>
      </c>
      <c r="O37" s="174">
        <v>-824</v>
      </c>
      <c r="P37" s="174">
        <v>-4937</v>
      </c>
      <c r="Q37" s="174">
        <v>-9210</v>
      </c>
      <c r="R37" s="275">
        <v>-1134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-914</v>
      </c>
      <c r="O38" s="84">
        <v>-20370</v>
      </c>
      <c r="P38" s="84">
        <v>-559</v>
      </c>
      <c r="Q38" s="84">
        <v>-6022</v>
      </c>
      <c r="R38" s="266">
        <v>-24443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-709</v>
      </c>
      <c r="O39" s="84">
        <v>-110</v>
      </c>
      <c r="P39" s="84">
        <v>-15348</v>
      </c>
      <c r="Q39" s="84">
        <v>-4389</v>
      </c>
      <c r="R39" s="276">
        <v>-4189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>
        <v>-457</v>
      </c>
      <c r="O40" s="84">
        <v>-15515</v>
      </c>
      <c r="P40" s="84">
        <v>-9860</v>
      </c>
      <c r="Q40" s="84">
        <v>-205</v>
      </c>
      <c r="R40" s="266">
        <v>-12766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-31</v>
      </c>
      <c r="O41" s="84">
        <v>-2570</v>
      </c>
      <c r="P41" s="84">
        <v>-303</v>
      </c>
      <c r="Q41" s="84">
        <v>-3588</v>
      </c>
      <c r="R41" s="277">
        <v>-35504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-300</v>
      </c>
      <c r="O42" s="84">
        <v>-58</v>
      </c>
      <c r="P42" s="84">
        <v>-125</v>
      </c>
      <c r="Q42" s="84">
        <v>-454</v>
      </c>
      <c r="R42" s="277">
        <v>-21336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-105</v>
      </c>
      <c r="P43" s="84">
        <v>-1</v>
      </c>
      <c r="Q43" s="84">
        <v>-1289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-269</v>
      </c>
      <c r="O44" s="84">
        <v>-6713</v>
      </c>
      <c r="P44" s="84">
        <v>-1288</v>
      </c>
      <c r="Q44" s="84">
        <v>-683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-45</v>
      </c>
      <c r="O45" s="84">
        <v>-1286</v>
      </c>
      <c r="P45" s="84">
        <v>-13</v>
      </c>
      <c r="Q45" s="84">
        <v>-766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176">
        <v>0</v>
      </c>
      <c r="N46" s="84">
        <v>-159</v>
      </c>
      <c r="O46" s="84">
        <v>-521</v>
      </c>
      <c r="P46" s="84">
        <v>-640</v>
      </c>
      <c r="Q46" s="84">
        <v>-89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>
        <v>0</v>
      </c>
      <c r="N47" s="84">
        <v>-183</v>
      </c>
      <c r="O47" s="84">
        <v>-477</v>
      </c>
      <c r="P47" s="84">
        <v>-676</v>
      </c>
      <c r="Q47" s="84">
        <v>-599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>
        <v>-86</v>
      </c>
      <c r="N48" s="92">
        <v>-9</v>
      </c>
      <c r="O48" s="92">
        <v>-892</v>
      </c>
      <c r="P48" s="92">
        <v>0</v>
      </c>
      <c r="Q48" s="92">
        <v>-12529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-86</v>
      </c>
      <c r="N49" s="168">
        <f>SUM(N37:N48)</f>
        <v>-3076</v>
      </c>
      <c r="O49" s="168">
        <f>SUM(O37:O48)</f>
        <v>-49441</v>
      </c>
      <c r="P49" s="168">
        <f>SUM(P37:P48)</f>
        <v>-33750</v>
      </c>
      <c r="Q49" s="168">
        <f>SUM(Q37:Q48)</f>
        <v>-39823</v>
      </c>
      <c r="R49" s="278">
        <f t="shared" ref="R49" si="2">SUM(R37:R48)</f>
        <v>-99372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  <row r="68" spans="1:10">
      <c r="A68" s="153"/>
      <c r="B68" s="153"/>
      <c r="C68" s="153"/>
      <c r="D68" s="153"/>
      <c r="E68" s="153"/>
      <c r="F68" s="153"/>
      <c r="G68" s="153"/>
      <c r="H68" s="153"/>
      <c r="I68" s="153"/>
      <c r="J68" s="153"/>
    </row>
  </sheetData>
  <mergeCells count="11">
    <mergeCell ref="A51:R51"/>
    <mergeCell ref="A52:R52"/>
    <mergeCell ref="A53:R53"/>
    <mergeCell ref="A1:R1"/>
    <mergeCell ref="A2:R2"/>
    <mergeCell ref="A3:R3"/>
    <mergeCell ref="A18:R18"/>
    <mergeCell ref="A19:R19"/>
    <mergeCell ref="A34:R34"/>
    <mergeCell ref="A35:R35"/>
    <mergeCell ref="A50:R50"/>
  </mergeCells>
  <pageMargins left="0" right="0" top="0.75" bottom="0.75" header="0.3" footer="0.3"/>
  <pageSetup scale="86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>
    <pageSetUpPr fitToPage="1"/>
  </sheetPr>
  <dimension ref="A1:R68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12.6640625" style="120" hidden="1" customWidth="1"/>
    <col min="13" max="13" width="12.6640625" style="120" bestFit="1" customWidth="1"/>
    <col min="14" max="17" width="13.5" style="120" bestFit="1" customWidth="1"/>
    <col min="18" max="18" width="13.6640625" style="81" bestFit="1" customWidth="1"/>
    <col min="19" max="16384" width="12.5" style="120"/>
  </cols>
  <sheetData>
    <row r="1" spans="1:18" s="44" customFormat="1" ht="21">
      <c r="A1" s="338" t="s">
        <v>247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52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1216347</v>
      </c>
      <c r="O5" s="174">
        <v>1224889</v>
      </c>
      <c r="P5" s="174">
        <v>1218691</v>
      </c>
      <c r="Q5" s="174">
        <v>1318469</v>
      </c>
      <c r="R5" s="255">
        <v>1357743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883413</v>
      </c>
      <c r="O6" s="84">
        <v>917472</v>
      </c>
      <c r="P6" s="84">
        <v>934406</v>
      </c>
      <c r="Q6" s="84">
        <v>992795</v>
      </c>
      <c r="R6" s="256">
        <v>1038424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887619</v>
      </c>
      <c r="O7" s="84">
        <v>855108</v>
      </c>
      <c r="P7" s="84">
        <v>851976</v>
      </c>
      <c r="Q7" s="84">
        <v>944794</v>
      </c>
      <c r="R7" s="257">
        <v>1014080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176">
        <v>66</v>
      </c>
      <c r="N8" s="84">
        <v>1012821</v>
      </c>
      <c r="O8" s="84">
        <v>992443</v>
      </c>
      <c r="P8" s="84">
        <v>1044158</v>
      </c>
      <c r="Q8" s="84">
        <v>1055284</v>
      </c>
      <c r="R8" s="257">
        <v>1033042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>
        <v>907391</v>
      </c>
      <c r="N9" s="84">
        <v>988375</v>
      </c>
      <c r="O9" s="84">
        <v>967072</v>
      </c>
      <c r="P9" s="84">
        <v>950962</v>
      </c>
      <c r="Q9" s="84">
        <v>1087476</v>
      </c>
      <c r="R9" s="258">
        <v>947530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>
        <v>1052231</v>
      </c>
      <c r="N10" s="84">
        <v>1106229</v>
      </c>
      <c r="O10" s="84">
        <v>1117780</v>
      </c>
      <c r="P10" s="84">
        <v>1174374</v>
      </c>
      <c r="Q10" s="84">
        <v>1232770</v>
      </c>
      <c r="R10" s="259">
        <v>1188179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>
        <v>1047670</v>
      </c>
      <c r="N11" s="84">
        <v>1057312</v>
      </c>
      <c r="O11" s="84">
        <v>1141149</v>
      </c>
      <c r="P11" s="84">
        <v>1129942</v>
      </c>
      <c r="Q11" s="84">
        <v>1305627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>
        <v>1385227</v>
      </c>
      <c r="N12" s="84">
        <v>1395042</v>
      </c>
      <c r="O12" s="84">
        <v>1370165</v>
      </c>
      <c r="P12" s="84">
        <v>1451396</v>
      </c>
      <c r="Q12" s="84">
        <v>1487930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>
        <v>1198545</v>
      </c>
      <c r="N13" s="84">
        <v>1247935</v>
      </c>
      <c r="O13" s="84">
        <v>1267536</v>
      </c>
      <c r="P13" s="84">
        <v>1317555</v>
      </c>
      <c r="Q13" s="84">
        <v>1426914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>
        <v>1194367</v>
      </c>
      <c r="N14" s="84">
        <v>1205218</v>
      </c>
      <c r="O14" s="84">
        <v>1253280</v>
      </c>
      <c r="P14" s="84">
        <v>1243381</v>
      </c>
      <c r="Q14" s="84">
        <v>1331675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>
        <v>1136988</v>
      </c>
      <c r="N15" s="84">
        <v>1115836</v>
      </c>
      <c r="O15" s="84">
        <v>1123317</v>
      </c>
      <c r="P15" s="84">
        <v>1193283</v>
      </c>
      <c r="Q15" s="84">
        <v>1265054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>
        <v>991372</v>
      </c>
      <c r="N16" s="92">
        <v>1029275</v>
      </c>
      <c r="O16" s="92">
        <v>1049517</v>
      </c>
      <c r="P16" s="92">
        <v>1125776</v>
      </c>
      <c r="Q16" s="92">
        <v>1130183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8913857</v>
      </c>
      <c r="N17" s="168">
        <f>SUM(N5:N16)</f>
        <v>13145422</v>
      </c>
      <c r="O17" s="168">
        <f>SUM(O5:O16)</f>
        <v>13279728</v>
      </c>
      <c r="P17" s="168">
        <f>SUM(P5:P16)</f>
        <v>13635900</v>
      </c>
      <c r="Q17" s="168">
        <f>SUM(Q5:Q16)</f>
        <v>14578971</v>
      </c>
      <c r="R17" s="172">
        <f t="shared" ref="R17" si="0">SUM(R5:R16)</f>
        <v>6578998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53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94053</v>
      </c>
      <c r="O21" s="174">
        <v>125315</v>
      </c>
      <c r="P21" s="174">
        <v>121920</v>
      </c>
      <c r="Q21" s="174">
        <v>131984</v>
      </c>
      <c r="R21" s="265">
        <v>114170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77947</v>
      </c>
      <c r="O22" s="84">
        <v>101093</v>
      </c>
      <c r="P22" s="84">
        <v>97949</v>
      </c>
      <c r="Q22" s="84">
        <v>100601</v>
      </c>
      <c r="R22" s="266">
        <v>105282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119824</v>
      </c>
      <c r="O23" s="84">
        <v>75788</v>
      </c>
      <c r="P23" s="84">
        <v>103831</v>
      </c>
      <c r="Q23" s="84">
        <v>90960</v>
      </c>
      <c r="R23" s="267">
        <v>118710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176">
        <v>218</v>
      </c>
      <c r="N24" s="84">
        <v>75050</v>
      </c>
      <c r="O24" s="84">
        <v>85339</v>
      </c>
      <c r="P24" s="84">
        <v>97321</v>
      </c>
      <c r="Q24" s="84">
        <v>92736</v>
      </c>
      <c r="R24" s="268">
        <v>118052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>
        <v>172955</v>
      </c>
      <c r="N25" s="84">
        <v>72495</v>
      </c>
      <c r="O25" s="84">
        <v>77460</v>
      </c>
      <c r="P25" s="84">
        <v>104247</v>
      </c>
      <c r="Q25" s="84">
        <v>107336</v>
      </c>
      <c r="R25" s="267">
        <v>137588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>
        <v>247629</v>
      </c>
      <c r="N26" s="84">
        <v>75552</v>
      </c>
      <c r="O26" s="84">
        <v>94002</v>
      </c>
      <c r="P26" s="84">
        <v>79616</v>
      </c>
      <c r="Q26" s="84">
        <v>102593</v>
      </c>
      <c r="R26" s="269">
        <v>111363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>
        <v>144984</v>
      </c>
      <c r="N27" s="84">
        <v>85290</v>
      </c>
      <c r="O27" s="84">
        <v>80993</v>
      </c>
      <c r="P27" s="84">
        <v>95164</v>
      </c>
      <c r="Q27" s="84">
        <v>109018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>
        <v>184853</v>
      </c>
      <c r="N28" s="84">
        <v>97003</v>
      </c>
      <c r="O28" s="84">
        <v>117046</v>
      </c>
      <c r="P28" s="84">
        <v>136733</v>
      </c>
      <c r="Q28" s="84">
        <v>141151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>
        <v>105856</v>
      </c>
      <c r="N29" s="84">
        <v>92164</v>
      </c>
      <c r="O29" s="84">
        <v>113936</v>
      </c>
      <c r="P29" s="84">
        <v>103198</v>
      </c>
      <c r="Q29" s="84">
        <v>134855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>
        <v>96076</v>
      </c>
      <c r="N30" s="84">
        <v>97765</v>
      </c>
      <c r="O30" s="84">
        <v>112363</v>
      </c>
      <c r="P30" s="84">
        <v>110834</v>
      </c>
      <c r="Q30" s="84">
        <v>120583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>
        <v>97714</v>
      </c>
      <c r="N31" s="84">
        <v>85668</v>
      </c>
      <c r="O31" s="84">
        <v>111407</v>
      </c>
      <c r="P31" s="84">
        <v>113080</v>
      </c>
      <c r="Q31" s="84">
        <v>120210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>
        <v>81808</v>
      </c>
      <c r="N32" s="92">
        <v>80231</v>
      </c>
      <c r="O32" s="92">
        <v>86759</v>
      </c>
      <c r="P32" s="92">
        <v>116343</v>
      </c>
      <c r="Q32" s="92">
        <v>104005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1132093</v>
      </c>
      <c r="N33" s="168">
        <f>SUM(N21:N32)</f>
        <v>1053042</v>
      </c>
      <c r="O33" s="168">
        <f>SUM(O21:O32)</f>
        <v>1181501</v>
      </c>
      <c r="P33" s="168">
        <f>SUM(P21:P32)</f>
        <v>1280236</v>
      </c>
      <c r="Q33" s="168">
        <f>SUM(Q21:Q32)</f>
        <v>1356032</v>
      </c>
      <c r="R33" s="172">
        <f t="shared" ref="R33" si="1">SUM(R21:R32)</f>
        <v>705165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110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-828</v>
      </c>
      <c r="O37" s="174">
        <v>-1865</v>
      </c>
      <c r="P37" s="174">
        <v>-1384</v>
      </c>
      <c r="Q37" s="174">
        <v>-2160</v>
      </c>
      <c r="R37" s="275">
        <v>-17256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-12272</v>
      </c>
      <c r="O38" s="84">
        <v>-625</v>
      </c>
      <c r="P38" s="84">
        <v>-3188</v>
      </c>
      <c r="Q38" s="84">
        <v>-7069</v>
      </c>
      <c r="R38" s="266">
        <v>-1051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-621</v>
      </c>
      <c r="O39" s="84">
        <v>-246</v>
      </c>
      <c r="P39" s="84">
        <v>-25437</v>
      </c>
      <c r="Q39" s="84">
        <v>-3594</v>
      </c>
      <c r="R39" s="276">
        <v>-2673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176">
        <v>0</v>
      </c>
      <c r="N40" s="84">
        <v>-84478</v>
      </c>
      <c r="O40" s="84">
        <v>-504</v>
      </c>
      <c r="P40" s="84">
        <v>-607</v>
      </c>
      <c r="Q40" s="84">
        <v>-6964</v>
      </c>
      <c r="R40" s="266">
        <v>-7070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>
        <v>0</v>
      </c>
      <c r="N41" s="84">
        <v>-15522</v>
      </c>
      <c r="O41" s="84">
        <v>-1358</v>
      </c>
      <c r="P41" s="84">
        <v>0</v>
      </c>
      <c r="Q41" s="84">
        <v>-6796</v>
      </c>
      <c r="R41" s="277">
        <v>-9463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>
        <v>0</v>
      </c>
      <c r="N42" s="84">
        <v>-79906</v>
      </c>
      <c r="O42" s="84">
        <v>-1092</v>
      </c>
      <c r="P42" s="84">
        <v>-63019</v>
      </c>
      <c r="Q42" s="84">
        <v>-5196</v>
      </c>
      <c r="R42" s="277">
        <v>-2744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>
        <v>0</v>
      </c>
      <c r="N43" s="84">
        <v>-8826</v>
      </c>
      <c r="O43" s="84">
        <v>-218</v>
      </c>
      <c r="P43" s="84">
        <v>-23910</v>
      </c>
      <c r="Q43" s="84">
        <v>-1933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>
        <v>-1082</v>
      </c>
      <c r="N44" s="84">
        <v>-291</v>
      </c>
      <c r="O44" s="84">
        <v>-15</v>
      </c>
      <c r="P44" s="84">
        <v>-180</v>
      </c>
      <c r="Q44" s="84">
        <v>-86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>
        <v>-29678</v>
      </c>
      <c r="N45" s="84">
        <v>-13</v>
      </c>
      <c r="O45" s="84">
        <v>-591</v>
      </c>
      <c r="P45" s="84">
        <v>-294</v>
      </c>
      <c r="Q45" s="84">
        <v>-15147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>
        <v>0</v>
      </c>
      <c r="N46" s="84">
        <v>-63399</v>
      </c>
      <c r="O46" s="84">
        <v>-263</v>
      </c>
      <c r="P46" s="84">
        <v>-211</v>
      </c>
      <c r="Q46" s="84">
        <v>-1529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>
        <v>-2976</v>
      </c>
      <c r="N47" s="84">
        <v>-9571</v>
      </c>
      <c r="O47" s="84">
        <v>-484</v>
      </c>
      <c r="P47" s="84">
        <v>-3202</v>
      </c>
      <c r="Q47" s="84">
        <v>-287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>
        <v>-53276</v>
      </c>
      <c r="N48" s="92">
        <v>-43313</v>
      </c>
      <c r="O48" s="92">
        <v>-173</v>
      </c>
      <c r="P48" s="92">
        <v>-2</v>
      </c>
      <c r="Q48" s="92">
        <v>-5108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-87012</v>
      </c>
      <c r="N49" s="168">
        <f>SUM(N37:N48)</f>
        <v>-319040</v>
      </c>
      <c r="O49" s="168">
        <f>SUM(O37:O48)</f>
        <v>-7434</v>
      </c>
      <c r="P49" s="168">
        <f>SUM(P37:P48)</f>
        <v>-121434</v>
      </c>
      <c r="Q49" s="168">
        <f>SUM(Q37:Q48)</f>
        <v>-55869</v>
      </c>
      <c r="R49" s="278">
        <f t="shared" ref="R49" si="2">SUM(R37:R48)</f>
        <v>-40257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  <row r="68" spans="1:10">
      <c r="A68" s="153"/>
      <c r="B68" s="153"/>
      <c r="C68" s="153"/>
      <c r="D68" s="153"/>
      <c r="E68" s="153"/>
      <c r="F68" s="153"/>
      <c r="G68" s="153"/>
      <c r="H68" s="153"/>
      <c r="I68" s="153"/>
      <c r="J68" s="153"/>
    </row>
  </sheetData>
  <mergeCells count="11">
    <mergeCell ref="A35:R35"/>
    <mergeCell ref="A50:R50"/>
    <mergeCell ref="A51:R51"/>
    <mergeCell ref="A52:R52"/>
    <mergeCell ref="A53:R53"/>
    <mergeCell ref="A34:R34"/>
    <mergeCell ref="A1:R1"/>
    <mergeCell ref="A2:R2"/>
    <mergeCell ref="A3:R3"/>
    <mergeCell ref="A18:R18"/>
    <mergeCell ref="A19:R19"/>
  </mergeCells>
  <pageMargins left="0.5" right="0" top="0.75" bottom="0.75" header="0.3" footer="0.3"/>
  <pageSetup scale="86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0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baseColWidth="10" defaultColWidth="12.5" defaultRowHeight="15"/>
  <cols>
    <col min="1" max="1" width="12.5" style="150"/>
    <col min="2" max="15" width="12.5" style="148" hidden="1" customWidth="1"/>
    <col min="16" max="17" width="12.5" style="148"/>
    <col min="18" max="18" width="13.6640625" style="81" bestFit="1" customWidth="1"/>
    <col min="19" max="16384" width="12.5" style="148"/>
  </cols>
  <sheetData>
    <row r="1" spans="1:21" s="151" customFormat="1" ht="21">
      <c r="A1" s="356" t="s">
        <v>248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</row>
    <row r="2" spans="1:21" s="152" customFormat="1" ht="19">
      <c r="A2" s="357" t="str">
        <f>'Local SUT'!A2</f>
        <v>CY 2004-2020</v>
      </c>
      <c r="B2" s="357"/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</row>
    <row r="3" spans="1:21" s="152" customFormat="1" ht="19">
      <c r="A3" s="346" t="s">
        <v>205</v>
      </c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21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1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346</v>
      </c>
      <c r="Q5" s="174">
        <v>547964</v>
      </c>
      <c r="R5" s="255">
        <v>585106</v>
      </c>
    </row>
    <row r="6" spans="1:21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362478</v>
      </c>
      <c r="Q6" s="84">
        <v>441928</v>
      </c>
      <c r="R6" s="256">
        <v>457847</v>
      </c>
    </row>
    <row r="7" spans="1:21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371170</v>
      </c>
      <c r="Q7" s="84">
        <v>405162</v>
      </c>
      <c r="R7" s="257">
        <v>427931</v>
      </c>
    </row>
    <row r="8" spans="1:21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444049</v>
      </c>
      <c r="Q8" s="84">
        <v>477960</v>
      </c>
      <c r="R8" s="257">
        <v>450815</v>
      </c>
    </row>
    <row r="9" spans="1:21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444084</v>
      </c>
      <c r="Q9" s="84">
        <v>494103</v>
      </c>
      <c r="R9" s="258">
        <v>454629</v>
      </c>
    </row>
    <row r="10" spans="1:21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530925</v>
      </c>
      <c r="Q10" s="84">
        <v>557983</v>
      </c>
      <c r="R10" s="259">
        <v>524838</v>
      </c>
    </row>
    <row r="11" spans="1:21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469851</v>
      </c>
      <c r="Q11" s="84">
        <v>491730</v>
      </c>
      <c r="R11" s="252" t="s">
        <v>176</v>
      </c>
    </row>
    <row r="12" spans="1:21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579011</v>
      </c>
      <c r="Q12" s="84">
        <v>588630</v>
      </c>
      <c r="R12" s="253" t="s">
        <v>176</v>
      </c>
    </row>
    <row r="13" spans="1:21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522701</v>
      </c>
      <c r="Q13" s="84">
        <v>550716</v>
      </c>
      <c r="R13" s="253" t="s">
        <v>176</v>
      </c>
    </row>
    <row r="14" spans="1:21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84" t="s">
        <v>176</v>
      </c>
      <c r="P14" s="84">
        <v>470835</v>
      </c>
      <c r="Q14" s="84">
        <v>532470</v>
      </c>
      <c r="R14" s="253" t="s">
        <v>176</v>
      </c>
    </row>
    <row r="15" spans="1:21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 t="s">
        <v>176</v>
      </c>
      <c r="P15" s="84">
        <v>514357</v>
      </c>
      <c r="Q15" s="84">
        <v>521949</v>
      </c>
      <c r="R15" s="253" t="s">
        <v>176</v>
      </c>
    </row>
    <row r="16" spans="1:21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 t="s">
        <v>176</v>
      </c>
      <c r="P16" s="92">
        <v>505642</v>
      </c>
      <c r="Q16" s="92">
        <v>501318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04" t="s">
        <v>176</v>
      </c>
      <c r="P17" s="168">
        <f>SUM(P5:P16)</f>
        <v>5215449</v>
      </c>
      <c r="Q17" s="168">
        <f>SUM(Q5:Q16)</f>
        <v>6111913</v>
      </c>
      <c r="R17" s="172">
        <f t="shared" ref="R17" si="0">SUM(R5:R16)</f>
        <v>2901166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53" t="s">
        <v>206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</row>
    <row r="20" spans="1:18" s="46" customFormat="1" ht="16">
      <c r="A20" s="98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186</v>
      </c>
      <c r="Q21" s="174">
        <v>39464</v>
      </c>
      <c r="R21" s="265">
        <v>33335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25300</v>
      </c>
      <c r="Q22" s="84">
        <v>23552</v>
      </c>
      <c r="R22" s="266">
        <v>27486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23225</v>
      </c>
      <c r="Q23" s="84">
        <v>23369</v>
      </c>
      <c r="R23" s="267">
        <v>41676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29593</v>
      </c>
      <c r="Q24" s="84">
        <v>28062</v>
      </c>
      <c r="R24" s="268">
        <v>32769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30217</v>
      </c>
      <c r="Q25" s="84">
        <v>26774</v>
      </c>
      <c r="R25" s="267">
        <v>20638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31995</v>
      </c>
      <c r="Q26" s="84">
        <v>30874</v>
      </c>
      <c r="R26" s="269">
        <v>23577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28381</v>
      </c>
      <c r="Q27" s="84">
        <v>30042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35796</v>
      </c>
      <c r="Q28" s="84">
        <v>41095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30155</v>
      </c>
      <c r="Q29" s="84">
        <v>40543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84" t="s">
        <v>176</v>
      </c>
      <c r="P30" s="84">
        <v>34368</v>
      </c>
      <c r="Q30" s="84">
        <v>38163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 t="s">
        <v>176</v>
      </c>
      <c r="P31" s="84">
        <v>29611</v>
      </c>
      <c r="Q31" s="84">
        <v>23064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 t="s">
        <v>176</v>
      </c>
      <c r="P32" s="92">
        <v>31383</v>
      </c>
      <c r="Q32" s="92">
        <v>47405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04" t="s">
        <v>176</v>
      </c>
      <c r="P33" s="168">
        <f>SUM(P21:P32)</f>
        <v>330210</v>
      </c>
      <c r="Q33" s="168">
        <f>SUM(Q21:Q32)</f>
        <v>392407</v>
      </c>
      <c r="R33" s="172">
        <f t="shared" ref="R33" si="1">SUM(R21:R32)</f>
        <v>179481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207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98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-10</v>
      </c>
      <c r="R37" s="275">
        <v>-2845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0</v>
      </c>
      <c r="Q38" s="84">
        <v>-3325</v>
      </c>
      <c r="R38" s="266">
        <v>-599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-635</v>
      </c>
      <c r="R39" s="276">
        <v>-586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-1275</v>
      </c>
      <c r="R40" s="266">
        <v>-2566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0</v>
      </c>
      <c r="Q41" s="84">
        <v>-736</v>
      </c>
      <c r="R41" s="277">
        <v>-2871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-6</v>
      </c>
      <c r="Q42" s="84">
        <v>-209</v>
      </c>
      <c r="R42" s="277">
        <v>-1132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-60</v>
      </c>
      <c r="Q43" s="84">
        <v>-463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-178</v>
      </c>
      <c r="Q44" s="84">
        <v>-94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-407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84" t="s">
        <v>176</v>
      </c>
      <c r="P46" s="84">
        <v>-2</v>
      </c>
      <c r="Q46" s="84">
        <v>-159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 t="s">
        <v>176</v>
      </c>
      <c r="P47" s="84">
        <v>-30</v>
      </c>
      <c r="Q47" s="84">
        <v>-122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 t="s">
        <v>176</v>
      </c>
      <c r="P48" s="92">
        <v>-1</v>
      </c>
      <c r="Q48" s="92">
        <v>-122</v>
      </c>
      <c r="R48" s="254" t="s">
        <v>176</v>
      </c>
    </row>
    <row r="49" spans="1:19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04" t="s">
        <v>176</v>
      </c>
      <c r="P49" s="168">
        <f>SUM(P37:P48)</f>
        <v>-277</v>
      </c>
      <c r="Q49" s="168">
        <f>SUM(Q37:Q48)</f>
        <v>-7557</v>
      </c>
      <c r="R49" s="278">
        <f t="shared" ref="R49" si="2">SUM(R37:R48)</f>
        <v>-10599</v>
      </c>
    </row>
    <row r="50" spans="1:19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9" s="149" customFormat="1" ht="14">
      <c r="A51" s="344" t="s">
        <v>219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9" s="149" customFormat="1" ht="14">
      <c r="A52" s="355" t="str">
        <f>'Local SUT'!A67</f>
        <v>Source:  Minnesota Department of Revenue, Tax Research Division, February 2021</v>
      </c>
      <c r="B52" s="355"/>
      <c r="C52" s="355"/>
      <c r="D52" s="355"/>
      <c r="E52" s="355"/>
      <c r="F52" s="355"/>
      <c r="G52" s="355"/>
      <c r="H52" s="355"/>
      <c r="I52" s="355"/>
      <c r="J52" s="355"/>
      <c r="K52" s="355"/>
      <c r="L52" s="355"/>
      <c r="M52" s="355"/>
      <c r="N52" s="355"/>
      <c r="O52" s="355"/>
      <c r="P52" s="355"/>
      <c r="Q52" s="355"/>
      <c r="R52" s="355"/>
      <c r="S52" s="355"/>
    </row>
    <row r="53" spans="1:19" s="149" customFormat="1" ht="14">
      <c r="A53" s="354" t="s">
        <v>174</v>
      </c>
      <c r="B53" s="354"/>
      <c r="C53" s="354"/>
      <c r="D53" s="354"/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</row>
    <row r="54" spans="1:19">
      <c r="R54" s="48"/>
    </row>
  </sheetData>
  <mergeCells count="11">
    <mergeCell ref="A3:R3"/>
    <mergeCell ref="A19:R19"/>
    <mergeCell ref="A1:U1"/>
    <mergeCell ref="A2:R2"/>
    <mergeCell ref="A18:R18"/>
    <mergeCell ref="A53:R53"/>
    <mergeCell ref="A51:R51"/>
    <mergeCell ref="A34:R34"/>
    <mergeCell ref="A35:R35"/>
    <mergeCell ref="A50:R50"/>
    <mergeCell ref="A52:S52"/>
  </mergeCells>
  <pageMargins left="0.7" right="0.7" top="0.75" bottom="0.75" header="0.3" footer="0.3"/>
  <pageSetup scale="86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12.5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249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88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229709</v>
      </c>
      <c r="O5" s="174">
        <v>247516</v>
      </c>
      <c r="P5" s="174">
        <v>252371</v>
      </c>
      <c r="Q5" s="174">
        <v>272379</v>
      </c>
      <c r="R5" s="255">
        <v>281675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160272</v>
      </c>
      <c r="O6" s="84">
        <v>186475</v>
      </c>
      <c r="P6" s="84">
        <v>181430</v>
      </c>
      <c r="Q6" s="84">
        <v>203750</v>
      </c>
      <c r="R6" s="256">
        <v>208046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158086</v>
      </c>
      <c r="O7" s="84">
        <v>170156</v>
      </c>
      <c r="P7" s="84">
        <v>164862</v>
      </c>
      <c r="Q7" s="84">
        <v>186658</v>
      </c>
      <c r="R7" s="257">
        <v>196835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176">
        <v>79</v>
      </c>
      <c r="N8" s="84">
        <v>196539</v>
      </c>
      <c r="O8" s="84">
        <v>214627</v>
      </c>
      <c r="P8" s="84">
        <v>205765</v>
      </c>
      <c r="Q8" s="84">
        <v>234162</v>
      </c>
      <c r="R8" s="257">
        <v>237750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>
        <v>148865</v>
      </c>
      <c r="N9" s="84">
        <v>178356</v>
      </c>
      <c r="O9" s="84">
        <v>204167</v>
      </c>
      <c r="P9" s="84">
        <v>213922</v>
      </c>
      <c r="Q9" s="84">
        <v>210491</v>
      </c>
      <c r="R9" s="258">
        <v>215432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>
        <v>182488</v>
      </c>
      <c r="N10" s="84">
        <v>193032</v>
      </c>
      <c r="O10" s="84">
        <v>220627</v>
      </c>
      <c r="P10" s="84">
        <v>226533</v>
      </c>
      <c r="Q10" s="84">
        <v>272053</v>
      </c>
      <c r="R10" s="259">
        <v>271136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4">
        <v>207356</v>
      </c>
      <c r="N11" s="84">
        <v>227346</v>
      </c>
      <c r="O11" s="84">
        <v>236209</v>
      </c>
      <c r="P11" s="84">
        <v>224072</v>
      </c>
      <c r="Q11" s="84">
        <v>279283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>
        <v>203081</v>
      </c>
      <c r="N12" s="84">
        <v>220046</v>
      </c>
      <c r="O12" s="84">
        <v>243655</v>
      </c>
      <c r="P12" s="84">
        <v>260125</v>
      </c>
      <c r="Q12" s="84">
        <v>254366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>
        <v>186461</v>
      </c>
      <c r="N13" s="84">
        <v>199876</v>
      </c>
      <c r="O13" s="84">
        <v>225172</v>
      </c>
      <c r="P13" s="84">
        <v>227305</v>
      </c>
      <c r="Q13" s="84">
        <v>254595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>
        <v>198629</v>
      </c>
      <c r="N14" s="84">
        <v>235128</v>
      </c>
      <c r="O14" s="84">
        <v>235996</v>
      </c>
      <c r="P14" s="84">
        <v>215406</v>
      </c>
      <c r="Q14" s="84">
        <v>264514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>
        <v>179994</v>
      </c>
      <c r="N15" s="84">
        <v>208473</v>
      </c>
      <c r="O15" s="84">
        <v>201923</v>
      </c>
      <c r="P15" s="84">
        <v>218501</v>
      </c>
      <c r="Q15" s="84">
        <v>238250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>
        <v>175708</v>
      </c>
      <c r="N16" s="92">
        <v>210269</v>
      </c>
      <c r="O16" s="92">
        <v>207508</v>
      </c>
      <c r="P16" s="92">
        <v>239770</v>
      </c>
      <c r="Q16" s="92">
        <v>236782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1482661</v>
      </c>
      <c r="N17" s="168">
        <f>SUM(N5:N16)</f>
        <v>2417132</v>
      </c>
      <c r="O17" s="168">
        <f>SUM(O5:O16)</f>
        <v>2594031</v>
      </c>
      <c r="P17" s="168">
        <f>SUM(P5:P16)</f>
        <v>2630062</v>
      </c>
      <c r="Q17" s="168">
        <f>SUM(Q5:Q16)</f>
        <v>2907283</v>
      </c>
      <c r="R17" s="172">
        <f t="shared" ref="R17" si="0">SUM(R5:R16)</f>
        <v>1410874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54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14854</v>
      </c>
      <c r="O21" s="174">
        <v>12654</v>
      </c>
      <c r="P21" s="174">
        <v>14176</v>
      </c>
      <c r="Q21" s="174">
        <v>16069</v>
      </c>
      <c r="R21" s="265">
        <v>13571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9329</v>
      </c>
      <c r="O22" s="84">
        <v>8194</v>
      </c>
      <c r="P22" s="84">
        <v>9590</v>
      </c>
      <c r="Q22" s="84">
        <v>11422</v>
      </c>
      <c r="R22" s="266">
        <v>10580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7623</v>
      </c>
      <c r="O23" s="84">
        <v>8497</v>
      </c>
      <c r="P23" s="84">
        <v>11121</v>
      </c>
      <c r="Q23" s="84">
        <v>14558</v>
      </c>
      <c r="R23" s="267">
        <v>5847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176">
        <v>0</v>
      </c>
      <c r="N24" s="84">
        <v>9365</v>
      </c>
      <c r="O24" s="84">
        <v>13313</v>
      </c>
      <c r="P24" s="84">
        <v>12115</v>
      </c>
      <c r="Q24" s="84">
        <v>29309</v>
      </c>
      <c r="R24" s="268">
        <v>15242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>
        <v>6439</v>
      </c>
      <c r="N25" s="84">
        <v>12569</v>
      </c>
      <c r="O25" s="84">
        <v>12752</v>
      </c>
      <c r="P25" s="84">
        <v>8647</v>
      </c>
      <c r="Q25" s="84">
        <v>11489</v>
      </c>
      <c r="R25" s="267">
        <v>5426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>
        <v>15923</v>
      </c>
      <c r="N26" s="84">
        <v>8335</v>
      </c>
      <c r="O26" s="84">
        <v>13880</v>
      </c>
      <c r="P26" s="84">
        <v>8650</v>
      </c>
      <c r="Q26" s="84">
        <v>12831</v>
      </c>
      <c r="R26" s="269">
        <v>15382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4">
        <v>9646</v>
      </c>
      <c r="N27" s="84">
        <v>8446</v>
      </c>
      <c r="O27" s="84">
        <v>14765</v>
      </c>
      <c r="P27" s="84">
        <v>10733</v>
      </c>
      <c r="Q27" s="84">
        <v>12567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>
        <v>15930</v>
      </c>
      <c r="N28" s="84">
        <v>11642</v>
      </c>
      <c r="O28" s="84">
        <v>-266</v>
      </c>
      <c r="P28" s="84">
        <v>15048</v>
      </c>
      <c r="Q28" s="84">
        <v>1737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>
        <v>8071</v>
      </c>
      <c r="N29" s="84">
        <v>8348</v>
      </c>
      <c r="O29" s="84">
        <v>10457</v>
      </c>
      <c r="P29" s="84">
        <v>13471</v>
      </c>
      <c r="Q29" s="84">
        <v>15164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>
        <v>12956</v>
      </c>
      <c r="N30" s="84">
        <v>10051</v>
      </c>
      <c r="O30" s="84">
        <v>8627</v>
      </c>
      <c r="P30" s="84">
        <v>11979</v>
      </c>
      <c r="Q30" s="84">
        <v>13824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>
        <v>14002</v>
      </c>
      <c r="N31" s="84">
        <v>10022</v>
      </c>
      <c r="O31" s="84">
        <v>13729</v>
      </c>
      <c r="P31" s="84">
        <v>10877</v>
      </c>
      <c r="Q31" s="84">
        <v>15930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>
        <v>8813</v>
      </c>
      <c r="N32" s="92">
        <v>7551</v>
      </c>
      <c r="O32" s="92">
        <v>7243</v>
      </c>
      <c r="P32" s="92">
        <v>9019</v>
      </c>
      <c r="Q32" s="92">
        <v>15946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91780</v>
      </c>
      <c r="N33" s="168">
        <f>SUM(N21:N32)</f>
        <v>118135</v>
      </c>
      <c r="O33" s="168">
        <f>SUM(O21:O32)</f>
        <v>123845</v>
      </c>
      <c r="P33" s="168">
        <f>SUM(P21:P32)</f>
        <v>135426</v>
      </c>
      <c r="Q33" s="168">
        <f>SUM(Q21:Q32)</f>
        <v>170846</v>
      </c>
      <c r="R33" s="172">
        <f t="shared" ref="R33" si="1">SUM(R21:R32)</f>
        <v>66048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111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-431</v>
      </c>
      <c r="O37" s="174">
        <v>-119</v>
      </c>
      <c r="P37" s="174">
        <v>-82</v>
      </c>
      <c r="Q37" s="174">
        <v>0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-4038</v>
      </c>
      <c r="O38" s="84">
        <v>-802</v>
      </c>
      <c r="P38" s="84">
        <v>-1486</v>
      </c>
      <c r="Q38" s="84">
        <v>-396</v>
      </c>
      <c r="R38" s="266">
        <v>-6733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-216</v>
      </c>
      <c r="O39" s="84">
        <v>-313</v>
      </c>
      <c r="P39" s="84">
        <v>-238</v>
      </c>
      <c r="Q39" s="84">
        <v>0</v>
      </c>
      <c r="R39" s="276">
        <v>-763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176">
        <v>0</v>
      </c>
      <c r="N40" s="84">
        <v>-3516</v>
      </c>
      <c r="O40" s="84">
        <v>0</v>
      </c>
      <c r="P40" s="84">
        <v>-2827</v>
      </c>
      <c r="Q40" s="84">
        <v>-4239</v>
      </c>
      <c r="R40" s="266">
        <v>-2066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>
        <v>-1782</v>
      </c>
      <c r="N41" s="84">
        <v>0</v>
      </c>
      <c r="O41" s="84">
        <v>-3796</v>
      </c>
      <c r="P41" s="84">
        <v>0</v>
      </c>
      <c r="Q41" s="84">
        <v>-138</v>
      </c>
      <c r="R41" s="277">
        <v>-7176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>
        <v>-11</v>
      </c>
      <c r="N42" s="84">
        <v>-1352</v>
      </c>
      <c r="O42" s="84">
        <v>-179</v>
      </c>
      <c r="P42" s="84">
        <v>0</v>
      </c>
      <c r="Q42" s="84">
        <v>-3</v>
      </c>
      <c r="R42" s="277">
        <v>-724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4">
        <v>0</v>
      </c>
      <c r="N43" s="84">
        <v>0</v>
      </c>
      <c r="O43" s="84">
        <v>-24</v>
      </c>
      <c r="P43" s="84">
        <v>-850</v>
      </c>
      <c r="Q43" s="84">
        <v>-1414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>
        <v>0</v>
      </c>
      <c r="N44" s="84">
        <v>-2</v>
      </c>
      <c r="O44" s="84">
        <v>-3452</v>
      </c>
      <c r="P44" s="84">
        <v>-550</v>
      </c>
      <c r="Q44" s="84">
        <v>-1423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>
        <v>-94</v>
      </c>
      <c r="N45" s="84">
        <v>-13</v>
      </c>
      <c r="O45" s="84">
        <v>-266</v>
      </c>
      <c r="P45" s="84">
        <v>-327</v>
      </c>
      <c r="Q45" s="84">
        <v>-72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>
        <v>0</v>
      </c>
      <c r="N46" s="84">
        <v>-555</v>
      </c>
      <c r="O46" s="84">
        <v>-349</v>
      </c>
      <c r="P46" s="84">
        <v>-470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>
        <v>0</v>
      </c>
      <c r="N47" s="84">
        <v>0</v>
      </c>
      <c r="O47" s="84">
        <v>0</v>
      </c>
      <c r="P47" s="84">
        <v>-470</v>
      </c>
      <c r="Q47" s="84">
        <v>-2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>
        <v>-8643</v>
      </c>
      <c r="N48" s="92">
        <v>0</v>
      </c>
      <c r="O48" s="92">
        <v>-434</v>
      </c>
      <c r="P48" s="92">
        <v>-2982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-10530</v>
      </c>
      <c r="N49" s="168">
        <f>SUM(N37:N48)</f>
        <v>-10123</v>
      </c>
      <c r="O49" s="168">
        <f>SUM(O37:O48)</f>
        <v>-9734</v>
      </c>
      <c r="P49" s="168">
        <f>SUM(P37:P48)</f>
        <v>-10282</v>
      </c>
      <c r="Q49" s="168">
        <f>SUM(Q37:Q48)</f>
        <v>-7687</v>
      </c>
      <c r="R49" s="278">
        <f t="shared" ref="R49" si="2">SUM(R37:R48)</f>
        <v>-17462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R1"/>
    <mergeCell ref="A2:R2"/>
    <mergeCell ref="A3:R3"/>
    <mergeCell ref="A18:R18"/>
    <mergeCell ref="A19:R19"/>
  </mergeCells>
  <pageMargins left="0.4" right="0" top="0.75" bottom="0.75" header="0.3" footer="0.3"/>
  <pageSetup scale="86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5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2" width="12.5" style="120" hidden="1" customWidth="1"/>
    <col min="13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250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55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174">
        <v>0</v>
      </c>
      <c r="N5" s="174">
        <v>61701</v>
      </c>
      <c r="O5" s="174">
        <v>65952</v>
      </c>
      <c r="P5" s="174">
        <v>67220</v>
      </c>
      <c r="Q5" s="174">
        <v>71492</v>
      </c>
      <c r="R5" s="255">
        <v>88087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>
        <v>32145</v>
      </c>
      <c r="N6" s="84">
        <v>48534</v>
      </c>
      <c r="O6" s="84">
        <v>55825</v>
      </c>
      <c r="P6" s="84">
        <v>53727</v>
      </c>
      <c r="Q6" s="84">
        <v>59225</v>
      </c>
      <c r="R6" s="256">
        <v>74694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>
        <v>37415</v>
      </c>
      <c r="N7" s="84">
        <v>46341</v>
      </c>
      <c r="O7" s="84">
        <v>46567</v>
      </c>
      <c r="P7" s="84">
        <v>49514</v>
      </c>
      <c r="Q7" s="84">
        <v>53709</v>
      </c>
      <c r="R7" s="257">
        <v>59572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>
        <v>48476</v>
      </c>
      <c r="N8" s="84">
        <v>53850</v>
      </c>
      <c r="O8" s="84">
        <v>59003</v>
      </c>
      <c r="P8" s="84">
        <v>56686</v>
      </c>
      <c r="Q8" s="84">
        <v>63309</v>
      </c>
      <c r="R8" s="257">
        <v>63121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>
        <v>46644</v>
      </c>
      <c r="N9" s="84">
        <v>56151</v>
      </c>
      <c r="O9" s="84">
        <v>60928</v>
      </c>
      <c r="P9" s="84">
        <v>56505</v>
      </c>
      <c r="Q9" s="84">
        <v>61136</v>
      </c>
      <c r="R9" s="258">
        <v>75094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>
        <v>52037</v>
      </c>
      <c r="N10" s="84">
        <v>59304</v>
      </c>
      <c r="O10" s="84">
        <v>62184</v>
      </c>
      <c r="P10" s="84">
        <v>68305</v>
      </c>
      <c r="Q10" s="84">
        <v>73588</v>
      </c>
      <c r="R10" s="259">
        <v>86412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>
        <v>57513</v>
      </c>
      <c r="N11" s="84">
        <v>60886</v>
      </c>
      <c r="O11" s="84">
        <v>65793</v>
      </c>
      <c r="P11" s="84">
        <v>74558</v>
      </c>
      <c r="Q11" s="84">
        <v>73705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>
        <v>62043</v>
      </c>
      <c r="N12" s="84">
        <v>64283</v>
      </c>
      <c r="O12" s="84">
        <v>67113</v>
      </c>
      <c r="P12" s="84">
        <v>80914</v>
      </c>
      <c r="Q12" s="84">
        <v>83749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>
        <v>55297</v>
      </c>
      <c r="N13" s="84">
        <v>60928</v>
      </c>
      <c r="O13" s="84">
        <v>70654</v>
      </c>
      <c r="P13" s="84">
        <v>81140</v>
      </c>
      <c r="Q13" s="84">
        <v>77474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>
        <v>62203</v>
      </c>
      <c r="N14" s="84">
        <v>68933</v>
      </c>
      <c r="O14" s="84">
        <v>70800</v>
      </c>
      <c r="P14" s="84">
        <v>75460</v>
      </c>
      <c r="Q14" s="84">
        <v>81082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>
        <v>57998</v>
      </c>
      <c r="N15" s="84">
        <v>57751</v>
      </c>
      <c r="O15" s="84">
        <v>68240</v>
      </c>
      <c r="P15" s="84">
        <v>72580</v>
      </c>
      <c r="Q15" s="84">
        <v>77929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>
        <v>52332</v>
      </c>
      <c r="N16" s="92">
        <v>54407</v>
      </c>
      <c r="O16" s="92">
        <v>58643</v>
      </c>
      <c r="P16" s="92">
        <v>67014</v>
      </c>
      <c r="Q16" s="92">
        <v>69757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68">
        <f>SUM(M5:M16)</f>
        <v>564103</v>
      </c>
      <c r="N17" s="168">
        <f>SUM(N5:N16)</f>
        <v>693069</v>
      </c>
      <c r="O17" s="168">
        <f>SUM(O5:O16)</f>
        <v>751702</v>
      </c>
      <c r="P17" s="168">
        <f>SUM(P5:P16)</f>
        <v>803623</v>
      </c>
      <c r="Q17" s="168">
        <f>SUM(Q5:Q16)</f>
        <v>846155</v>
      </c>
      <c r="R17" s="172">
        <f t="shared" ref="R17" si="0">SUM(R5:R16)</f>
        <v>446980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56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174">
        <v>0</v>
      </c>
      <c r="N21" s="174">
        <v>5233</v>
      </c>
      <c r="O21" s="174">
        <v>3418</v>
      </c>
      <c r="P21" s="174">
        <v>2995</v>
      </c>
      <c r="Q21" s="174">
        <v>3597</v>
      </c>
      <c r="R21" s="265">
        <v>4230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>
        <v>1745</v>
      </c>
      <c r="N22" s="84">
        <v>3040</v>
      </c>
      <c r="O22" s="84">
        <v>2153</v>
      </c>
      <c r="P22" s="84">
        <v>2001</v>
      </c>
      <c r="Q22" s="84">
        <v>2374</v>
      </c>
      <c r="R22" s="266">
        <v>2964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>
        <v>1694</v>
      </c>
      <c r="N23" s="84">
        <v>1223</v>
      </c>
      <c r="O23" s="84">
        <v>1964</v>
      </c>
      <c r="P23" s="84">
        <v>3026</v>
      </c>
      <c r="Q23" s="84">
        <v>2270</v>
      </c>
      <c r="R23" s="267">
        <v>2420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>
        <v>3978</v>
      </c>
      <c r="N24" s="84">
        <v>1964</v>
      </c>
      <c r="O24" s="84">
        <v>3000</v>
      </c>
      <c r="P24" s="84">
        <v>2081</v>
      </c>
      <c r="Q24" s="84">
        <v>2907</v>
      </c>
      <c r="R24" s="268">
        <v>3236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>
        <v>2556</v>
      </c>
      <c r="N25" s="84">
        <v>2528</v>
      </c>
      <c r="O25" s="84">
        <v>2698</v>
      </c>
      <c r="P25" s="84">
        <v>2733</v>
      </c>
      <c r="Q25" s="84">
        <v>2167</v>
      </c>
      <c r="R25" s="267">
        <v>1746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>
        <v>4699</v>
      </c>
      <c r="N26" s="84">
        <v>1803</v>
      </c>
      <c r="O26" s="84">
        <v>3481</v>
      </c>
      <c r="P26" s="84">
        <v>3605</v>
      </c>
      <c r="Q26" s="84">
        <v>3096</v>
      </c>
      <c r="R26" s="269">
        <v>1559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>
        <v>1654</v>
      </c>
      <c r="N27" s="84">
        <v>2399</v>
      </c>
      <c r="O27" s="84">
        <v>7144</v>
      </c>
      <c r="P27" s="84">
        <v>3322</v>
      </c>
      <c r="Q27" s="84">
        <v>3564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>
        <v>9483</v>
      </c>
      <c r="N28" s="84">
        <v>2035</v>
      </c>
      <c r="O28" s="84">
        <v>7190</v>
      </c>
      <c r="P28" s="84">
        <v>5061</v>
      </c>
      <c r="Q28" s="84">
        <v>10030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>
        <v>5439</v>
      </c>
      <c r="N29" s="84">
        <v>2852</v>
      </c>
      <c r="O29" s="84">
        <v>1539</v>
      </c>
      <c r="P29" s="84">
        <v>4672</v>
      </c>
      <c r="Q29" s="84">
        <v>3621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>
        <v>1671</v>
      </c>
      <c r="N30" s="84">
        <v>2964</v>
      </c>
      <c r="O30" s="84">
        <v>4421</v>
      </c>
      <c r="P30" s="84">
        <v>3797</v>
      </c>
      <c r="Q30" s="84">
        <v>4799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>
        <v>2369</v>
      </c>
      <c r="N31" s="84">
        <v>1512</v>
      </c>
      <c r="O31" s="84">
        <v>3018</v>
      </c>
      <c r="P31" s="84">
        <v>2766</v>
      </c>
      <c r="Q31" s="84">
        <v>5561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>
        <v>2294</v>
      </c>
      <c r="N32" s="92">
        <v>2052</v>
      </c>
      <c r="O32" s="92">
        <v>2607</v>
      </c>
      <c r="P32" s="92">
        <v>4622</v>
      </c>
      <c r="Q32" s="92">
        <v>2412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68">
        <f>SUM(M21:M32)</f>
        <v>37582</v>
      </c>
      <c r="N33" s="168">
        <f>SUM(N21:N32)</f>
        <v>29605</v>
      </c>
      <c r="O33" s="168">
        <f>SUM(O21:O32)</f>
        <v>42633</v>
      </c>
      <c r="P33" s="168">
        <f>SUM(P21:P32)</f>
        <v>40681</v>
      </c>
      <c r="Q33" s="168">
        <f>SUM(Q21:Q32)</f>
        <v>46398</v>
      </c>
      <c r="R33" s="172">
        <f t="shared" ref="R33" si="1">SUM(R21:R32)</f>
        <v>16155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112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174">
        <v>0</v>
      </c>
      <c r="N37" s="174">
        <v>0</v>
      </c>
      <c r="O37" s="174">
        <v>0</v>
      </c>
      <c r="P37" s="174">
        <v>-8367</v>
      </c>
      <c r="Q37" s="174">
        <v>0</v>
      </c>
      <c r="R37" s="275">
        <v>-1033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>
        <v>0</v>
      </c>
      <c r="N38" s="84">
        <v>-7</v>
      </c>
      <c r="O38" s="84">
        <v>0</v>
      </c>
      <c r="P38" s="84">
        <v>0</v>
      </c>
      <c r="Q38" s="84">
        <v>0</v>
      </c>
      <c r="R38" s="266">
        <v>-652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>
        <v>0</v>
      </c>
      <c r="N39" s="84">
        <v>0</v>
      </c>
      <c r="O39" s="84">
        <v>-1000</v>
      </c>
      <c r="P39" s="84">
        <v>0</v>
      </c>
      <c r="Q39" s="84">
        <v>-1865</v>
      </c>
      <c r="R39" s="84">
        <v>-141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/>
      <c r="N40" s="84">
        <v>-1485</v>
      </c>
      <c r="O40" s="84">
        <v>-494</v>
      </c>
      <c r="P40" s="84">
        <v>0</v>
      </c>
      <c r="Q40" s="84">
        <v>0</v>
      </c>
      <c r="R40" s="266">
        <v>-5103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>
        <v>-14</v>
      </c>
      <c r="N41" s="84">
        <v>0</v>
      </c>
      <c r="O41" s="84">
        <v>0</v>
      </c>
      <c r="P41" s="84">
        <v>0</v>
      </c>
      <c r="Q41" s="84">
        <v>0</v>
      </c>
      <c r="R41" s="277">
        <v>-614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>
        <v>0</v>
      </c>
      <c r="N42" s="84">
        <v>0</v>
      </c>
      <c r="O42" s="84">
        <v>-611</v>
      </c>
      <c r="P42" s="84">
        <v>0</v>
      </c>
      <c r="Q42" s="84">
        <v>0</v>
      </c>
      <c r="R42" s="277">
        <v>-691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>
        <v>0</v>
      </c>
      <c r="N43" s="84">
        <v>-83</v>
      </c>
      <c r="O43" s="84">
        <v>-16</v>
      </c>
      <c r="P43" s="84">
        <v>0</v>
      </c>
      <c r="Q43" s="84">
        <v>-7503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>
        <v>-60</v>
      </c>
      <c r="N44" s="84">
        <v>0</v>
      </c>
      <c r="O44" s="84">
        <v>0</v>
      </c>
      <c r="P44" s="84">
        <v>-20</v>
      </c>
      <c r="Q44" s="84">
        <v>-2991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>
        <v>0</v>
      </c>
      <c r="N45" s="84">
        <v>0</v>
      </c>
      <c r="O45" s="84">
        <v>-2</v>
      </c>
      <c r="P45" s="84">
        <v>-130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>
        <v>-5613</v>
      </c>
      <c r="N46" s="84">
        <v>-904</v>
      </c>
      <c r="O46" s="84">
        <v>0</v>
      </c>
      <c r="P46" s="84">
        <v>0</v>
      </c>
      <c r="Q46" s="84">
        <v>-1029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>
        <v>-3</v>
      </c>
      <c r="N47" s="84">
        <v>0</v>
      </c>
      <c r="O47" s="84">
        <v>0</v>
      </c>
      <c r="P47" s="84">
        <v>-219</v>
      </c>
      <c r="Q47" s="84">
        <v>-311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>
        <v>0</v>
      </c>
      <c r="N48" s="92">
        <v>-48</v>
      </c>
      <c r="O48" s="92">
        <v>0</v>
      </c>
      <c r="P48" s="92">
        <v>-31</v>
      </c>
      <c r="Q48" s="92">
        <v>-152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68">
        <f>SUM(M37:M48)</f>
        <v>-5690</v>
      </c>
      <c r="N49" s="168">
        <f>SUM(N37:N48)</f>
        <v>-2527</v>
      </c>
      <c r="O49" s="168">
        <f>SUM(O37:O48)</f>
        <v>-2123</v>
      </c>
      <c r="P49" s="168">
        <f>SUM(P37:P48)</f>
        <v>-8767</v>
      </c>
      <c r="Q49" s="168">
        <f>SUM(Q37:Q48)</f>
        <v>-13851</v>
      </c>
      <c r="R49" s="278">
        <f t="shared" ref="R49" si="2">SUM(R37:R48)</f>
        <v>-8234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216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83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11" width="12.5" style="120" hidden="1" customWidth="1"/>
    <col min="12" max="17" width="12.5" style="120"/>
    <col min="18" max="18" width="13.6640625" style="81" bestFit="1" customWidth="1"/>
    <col min="19" max="16384" width="12.5" style="120"/>
  </cols>
  <sheetData>
    <row r="1" spans="1:18" s="44" customFormat="1" ht="21">
      <c r="A1" s="338" t="s">
        <v>251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57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174">
        <v>56084</v>
      </c>
      <c r="N5" s="174">
        <v>57900</v>
      </c>
      <c r="O5" s="174">
        <v>61244</v>
      </c>
      <c r="P5" s="174">
        <v>60616</v>
      </c>
      <c r="Q5" s="174">
        <v>65098</v>
      </c>
      <c r="R5" s="255">
        <v>66435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>
        <v>38393</v>
      </c>
      <c r="N6" s="84">
        <v>45941</v>
      </c>
      <c r="O6" s="84">
        <v>48277</v>
      </c>
      <c r="P6" s="84">
        <v>46052</v>
      </c>
      <c r="Q6" s="84">
        <v>51416</v>
      </c>
      <c r="R6" s="256">
        <v>55232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>
        <v>45418</v>
      </c>
      <c r="N7" s="84">
        <v>45822</v>
      </c>
      <c r="O7" s="84">
        <v>45715</v>
      </c>
      <c r="P7" s="84">
        <v>43260</v>
      </c>
      <c r="Q7" s="84">
        <v>53411</v>
      </c>
      <c r="R7" s="257">
        <v>51076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>
        <v>49332</v>
      </c>
      <c r="N8" s="84">
        <v>50665</v>
      </c>
      <c r="O8" s="84">
        <v>50965</v>
      </c>
      <c r="P8" s="84">
        <v>52202</v>
      </c>
      <c r="Q8" s="84">
        <v>59604</v>
      </c>
      <c r="R8" s="257">
        <v>58421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3" t="s">
        <v>176</v>
      </c>
      <c r="K9" s="83" t="s">
        <v>176</v>
      </c>
      <c r="L9" s="176">
        <v>33404</v>
      </c>
      <c r="M9" s="84">
        <v>50844</v>
      </c>
      <c r="N9" s="84">
        <v>53413</v>
      </c>
      <c r="O9" s="84">
        <v>55659</v>
      </c>
      <c r="P9" s="84">
        <v>54369</v>
      </c>
      <c r="Q9" s="84">
        <v>60179</v>
      </c>
      <c r="R9" s="258">
        <v>69055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>
        <v>52228</v>
      </c>
      <c r="M10" s="84">
        <v>54938</v>
      </c>
      <c r="N10" s="84">
        <v>58422</v>
      </c>
      <c r="O10" s="84">
        <v>60105</v>
      </c>
      <c r="P10" s="84">
        <v>64888</v>
      </c>
      <c r="Q10" s="84">
        <v>68764</v>
      </c>
      <c r="R10" s="259">
        <v>81610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>
        <v>52886</v>
      </c>
      <c r="M11" s="84">
        <v>49828</v>
      </c>
      <c r="N11" s="84">
        <v>53699</v>
      </c>
      <c r="O11" s="84">
        <v>58084</v>
      </c>
      <c r="P11" s="84">
        <v>66154</v>
      </c>
      <c r="Q11" s="84">
        <v>65911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>
        <v>57452</v>
      </c>
      <c r="M12" s="84">
        <v>69146</v>
      </c>
      <c r="N12" s="84">
        <v>60775</v>
      </c>
      <c r="O12" s="84">
        <v>68939</v>
      </c>
      <c r="P12" s="84">
        <v>69228</v>
      </c>
      <c r="Q12" s="84">
        <v>75524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>
        <v>54421</v>
      </c>
      <c r="M13" s="84">
        <v>58869</v>
      </c>
      <c r="N13" s="84">
        <v>61493</v>
      </c>
      <c r="O13" s="84">
        <v>61172</v>
      </c>
      <c r="P13" s="84">
        <v>67531</v>
      </c>
      <c r="Q13" s="84">
        <v>72221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>
        <v>54297</v>
      </c>
      <c r="M14" s="84">
        <v>57754</v>
      </c>
      <c r="N14" s="84">
        <v>53745</v>
      </c>
      <c r="O14" s="84">
        <v>63435</v>
      </c>
      <c r="P14" s="84">
        <v>64669</v>
      </c>
      <c r="Q14" s="84">
        <v>70680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>
        <v>54419</v>
      </c>
      <c r="M15" s="84">
        <v>54119</v>
      </c>
      <c r="N15" s="84">
        <v>51263</v>
      </c>
      <c r="O15" s="84">
        <v>58316</v>
      </c>
      <c r="P15" s="84">
        <v>68354</v>
      </c>
      <c r="Q15" s="84">
        <v>71351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>
        <v>48477</v>
      </c>
      <c r="M16" s="92">
        <v>51316</v>
      </c>
      <c r="N16" s="92">
        <v>53803</v>
      </c>
      <c r="O16" s="92">
        <v>59697</v>
      </c>
      <c r="P16" s="92">
        <v>62200</v>
      </c>
      <c r="Q16" s="92">
        <v>63380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68">
        <f t="shared" ref="L17:R17" si="0">SUM(L5:L16)</f>
        <v>407584</v>
      </c>
      <c r="M17" s="168">
        <f t="shared" si="0"/>
        <v>636041</v>
      </c>
      <c r="N17" s="168">
        <f t="shared" si="0"/>
        <v>646941</v>
      </c>
      <c r="O17" s="168">
        <f t="shared" si="0"/>
        <v>691608</v>
      </c>
      <c r="P17" s="168">
        <f t="shared" si="0"/>
        <v>719523</v>
      </c>
      <c r="Q17" s="168">
        <f t="shared" si="0"/>
        <v>777539</v>
      </c>
      <c r="R17" s="172">
        <f t="shared" si="0"/>
        <v>381829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58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174">
        <v>3010</v>
      </c>
      <c r="N21" s="174">
        <v>3541</v>
      </c>
      <c r="O21" s="174">
        <v>6429</v>
      </c>
      <c r="P21" s="174">
        <v>3723</v>
      </c>
      <c r="Q21" s="174">
        <v>3941</v>
      </c>
      <c r="R21" s="265">
        <v>5551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>
        <v>7719</v>
      </c>
      <c r="N22" s="84">
        <v>8498</v>
      </c>
      <c r="O22" s="84">
        <v>3134</v>
      </c>
      <c r="P22" s="84">
        <v>1930</v>
      </c>
      <c r="Q22" s="84">
        <v>1842</v>
      </c>
      <c r="R22" s="266">
        <v>1689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>
        <v>770</v>
      </c>
      <c r="N23" s="84">
        <v>2263</v>
      </c>
      <c r="O23" s="84">
        <v>1460</v>
      </c>
      <c r="P23" s="84">
        <v>2053</v>
      </c>
      <c r="Q23" s="84">
        <v>3857</v>
      </c>
      <c r="R23" s="267">
        <v>2253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>
        <v>2392</v>
      </c>
      <c r="N24" s="84">
        <v>2163</v>
      </c>
      <c r="O24" s="84">
        <v>4174</v>
      </c>
      <c r="P24" s="84">
        <v>2727</v>
      </c>
      <c r="Q24" s="84">
        <v>3965</v>
      </c>
      <c r="R24" s="268">
        <v>2685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3" t="s">
        <v>176</v>
      </c>
      <c r="K25" s="83" t="s">
        <v>176</v>
      </c>
      <c r="L25" s="176">
        <v>836</v>
      </c>
      <c r="M25" s="84">
        <v>1321</v>
      </c>
      <c r="N25" s="84">
        <v>1808</v>
      </c>
      <c r="O25" s="84">
        <v>1959</v>
      </c>
      <c r="P25" s="84">
        <v>1599</v>
      </c>
      <c r="Q25" s="84">
        <v>1534</v>
      </c>
      <c r="R25" s="267">
        <v>5688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>
        <v>1613</v>
      </c>
      <c r="M26" s="84">
        <v>1530</v>
      </c>
      <c r="N26" s="84">
        <v>1589</v>
      </c>
      <c r="O26" s="84">
        <v>1637</v>
      </c>
      <c r="P26" s="84">
        <v>1767</v>
      </c>
      <c r="Q26" s="84">
        <v>1645</v>
      </c>
      <c r="R26" s="269">
        <v>4993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>
        <v>1714</v>
      </c>
      <c r="M27" s="84">
        <v>1501</v>
      </c>
      <c r="N27" s="84">
        <v>2305</v>
      </c>
      <c r="O27" s="84">
        <v>1939</v>
      </c>
      <c r="P27" s="84">
        <v>2472</v>
      </c>
      <c r="Q27" s="84">
        <v>4595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>
        <v>1890</v>
      </c>
      <c r="M28" s="84">
        <v>1629</v>
      </c>
      <c r="N28" s="84">
        <v>2252</v>
      </c>
      <c r="O28" s="84">
        <v>2624</v>
      </c>
      <c r="P28" s="84">
        <v>2188</v>
      </c>
      <c r="Q28" s="84">
        <v>1964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>
        <v>2142</v>
      </c>
      <c r="M29" s="84">
        <v>1764</v>
      </c>
      <c r="N29" s="84">
        <v>2752</v>
      </c>
      <c r="O29" s="84">
        <v>4015</v>
      </c>
      <c r="P29" s="84">
        <v>2826</v>
      </c>
      <c r="Q29" s="84">
        <v>3836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>
        <v>2294</v>
      </c>
      <c r="M30" s="84">
        <v>6450</v>
      </c>
      <c r="N30" s="84">
        <v>4073</v>
      </c>
      <c r="O30" s="84">
        <v>2726</v>
      </c>
      <c r="P30" s="84">
        <v>3180</v>
      </c>
      <c r="Q30" s="84">
        <v>4306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>
        <v>2160</v>
      </c>
      <c r="M31" s="84">
        <v>1662</v>
      </c>
      <c r="N31" s="84">
        <v>2863</v>
      </c>
      <c r="O31" s="84">
        <v>1718</v>
      </c>
      <c r="P31" s="84">
        <v>2862</v>
      </c>
      <c r="Q31" s="84">
        <v>3285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>
        <v>907</v>
      </c>
      <c r="M32" s="92">
        <v>1568</v>
      </c>
      <c r="N32" s="92">
        <v>3304</v>
      </c>
      <c r="O32" s="92">
        <v>2232</v>
      </c>
      <c r="P32" s="92">
        <v>4045</v>
      </c>
      <c r="Q32" s="92">
        <v>1609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68">
        <f t="shared" ref="L33:R33" si="1">SUM(L21:L32)</f>
        <v>13556</v>
      </c>
      <c r="M33" s="168">
        <f t="shared" si="1"/>
        <v>31316</v>
      </c>
      <c r="N33" s="168">
        <f t="shared" si="1"/>
        <v>37411</v>
      </c>
      <c r="O33" s="168">
        <f t="shared" si="1"/>
        <v>34047</v>
      </c>
      <c r="P33" s="168">
        <f t="shared" si="1"/>
        <v>31372</v>
      </c>
      <c r="Q33" s="168">
        <f t="shared" si="1"/>
        <v>36379</v>
      </c>
      <c r="R33" s="172">
        <f t="shared" si="1"/>
        <v>22859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114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174">
        <v>-9</v>
      </c>
      <c r="N37" s="174">
        <v>0</v>
      </c>
      <c r="O37" s="174">
        <v>0</v>
      </c>
      <c r="P37" s="174">
        <v>0</v>
      </c>
      <c r="Q37" s="174">
        <v>-2219</v>
      </c>
      <c r="R37" s="275">
        <v>-17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>
        <v>-341</v>
      </c>
      <c r="N38" s="84">
        <v>-122</v>
      </c>
      <c r="O38" s="84">
        <v>0</v>
      </c>
      <c r="P38" s="84">
        <v>0</v>
      </c>
      <c r="Q38" s="84">
        <v>0</v>
      </c>
      <c r="R38" s="266">
        <v>-523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>
        <v>0</v>
      </c>
      <c r="N39" s="84">
        <v>0</v>
      </c>
      <c r="O39" s="84">
        <v>-34</v>
      </c>
      <c r="P39" s="84">
        <v>0</v>
      </c>
      <c r="Q39" s="84">
        <v>-98</v>
      </c>
      <c r="R39" s="277">
        <v>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>
        <v>-1038</v>
      </c>
      <c r="N40" s="84">
        <v>-1984</v>
      </c>
      <c r="O40" s="84">
        <v>0</v>
      </c>
      <c r="P40" s="84">
        <v>0</v>
      </c>
      <c r="Q40" s="84">
        <v>-233</v>
      </c>
      <c r="R40" s="266">
        <v>-1658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3" t="s">
        <v>176</v>
      </c>
      <c r="K41" s="83" t="s">
        <v>176</v>
      </c>
      <c r="L41" s="176">
        <v>0</v>
      </c>
      <c r="M41" s="84">
        <v>0</v>
      </c>
      <c r="N41" s="84">
        <v>0</v>
      </c>
      <c r="O41" s="84">
        <v>-27</v>
      </c>
      <c r="P41" s="84">
        <v>-1</v>
      </c>
      <c r="Q41" s="84">
        <v>0</v>
      </c>
      <c r="R41" s="277">
        <v>-523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>
        <v>0</v>
      </c>
      <c r="M42" s="84">
        <v>0</v>
      </c>
      <c r="N42" s="84">
        <v>0</v>
      </c>
      <c r="O42" s="84">
        <v>0</v>
      </c>
      <c r="P42" s="84">
        <v>0</v>
      </c>
      <c r="Q42" s="84">
        <v>0</v>
      </c>
      <c r="R42" s="277">
        <v>-14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>
        <v>0</v>
      </c>
      <c r="M43" s="84">
        <v>0</v>
      </c>
      <c r="N43" s="84">
        <v>-2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>
        <v>0</v>
      </c>
      <c r="M44" s="84">
        <v>-1450</v>
      </c>
      <c r="N44" s="84">
        <v>0</v>
      </c>
      <c r="O44" s="84">
        <v>-2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>
        <v>0</v>
      </c>
      <c r="M45" s="84">
        <v>0</v>
      </c>
      <c r="N45" s="84">
        <v>-114</v>
      </c>
      <c r="O45" s="84">
        <v>0</v>
      </c>
      <c r="P45" s="84">
        <v>0</v>
      </c>
      <c r="Q45" s="84">
        <v>-230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>
        <v>0</v>
      </c>
      <c r="M46" s="84">
        <v>0</v>
      </c>
      <c r="N46" s="84">
        <v>-11</v>
      </c>
      <c r="O46" s="84">
        <v>-4155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>
        <v>-97</v>
      </c>
      <c r="M47" s="84">
        <v>0</v>
      </c>
      <c r="N47" s="84">
        <v>0</v>
      </c>
      <c r="O47" s="84">
        <v>0</v>
      </c>
      <c r="P47" s="84">
        <v>0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>
        <v>0</v>
      </c>
      <c r="M48" s="92">
        <v>-749</v>
      </c>
      <c r="N48" s="92">
        <v>0</v>
      </c>
      <c r="O48" s="92">
        <v>0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68">
        <f t="shared" ref="L49:R49" si="2">SUM(L37:L48)</f>
        <v>-97</v>
      </c>
      <c r="M49" s="168">
        <f t="shared" si="2"/>
        <v>-3587</v>
      </c>
      <c r="N49" s="168">
        <f t="shared" si="2"/>
        <v>-2233</v>
      </c>
      <c r="O49" s="168">
        <f t="shared" si="2"/>
        <v>-4218</v>
      </c>
      <c r="P49" s="168">
        <f t="shared" si="2"/>
        <v>-1</v>
      </c>
      <c r="Q49" s="168">
        <f t="shared" si="2"/>
        <v>-2780</v>
      </c>
      <c r="R49" s="278">
        <f t="shared" si="2"/>
        <v>-2735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214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.4" right="0" top="0.75" bottom="0" header="0.3" footer="0.3"/>
  <pageSetup scale="88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baseColWidth="10" defaultColWidth="12.5" defaultRowHeight="15"/>
  <cols>
    <col min="1" max="1" width="12.5" style="121"/>
    <col min="2" max="14" width="12.5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1" s="44" customFormat="1" ht="21">
      <c r="A1" s="333" t="s">
        <v>252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</row>
    <row r="2" spans="1:21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1" s="45" customFormat="1" ht="19">
      <c r="A3" s="342" t="s">
        <v>166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1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1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818693</v>
      </c>
      <c r="Q5" s="174">
        <v>885898</v>
      </c>
      <c r="R5" s="255">
        <v>929970</v>
      </c>
    </row>
    <row r="6" spans="1:21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628794</v>
      </c>
      <c r="Q6" s="84">
        <v>687754</v>
      </c>
      <c r="R6" s="256">
        <v>700594</v>
      </c>
    </row>
    <row r="7" spans="1:21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599519</v>
      </c>
      <c r="Q7" s="84">
        <v>602449</v>
      </c>
      <c r="R7" s="257">
        <v>671841</v>
      </c>
    </row>
    <row r="8" spans="1:21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696386</v>
      </c>
      <c r="Q8" s="84">
        <v>717311</v>
      </c>
      <c r="R8" s="257">
        <v>706246</v>
      </c>
    </row>
    <row r="9" spans="1:21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665318</v>
      </c>
      <c r="Q9" s="84">
        <v>728275</v>
      </c>
      <c r="R9" s="258">
        <v>686860</v>
      </c>
    </row>
    <row r="10" spans="1:21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818749</v>
      </c>
      <c r="Q10" s="84">
        <v>838915</v>
      </c>
      <c r="R10" s="259">
        <v>827911</v>
      </c>
    </row>
    <row r="11" spans="1:21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736636</v>
      </c>
      <c r="Q11" s="84">
        <v>808903</v>
      </c>
      <c r="R11" s="252" t="s">
        <v>176</v>
      </c>
    </row>
    <row r="12" spans="1:21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951180</v>
      </c>
      <c r="Q12" s="84">
        <v>931177</v>
      </c>
      <c r="R12" s="253" t="s">
        <v>176</v>
      </c>
    </row>
    <row r="13" spans="1:21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826208</v>
      </c>
      <c r="Q13" s="84">
        <v>847927</v>
      </c>
      <c r="R13" s="253" t="s">
        <v>176</v>
      </c>
    </row>
    <row r="14" spans="1:21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76">
        <v>149</v>
      </c>
      <c r="P14" s="84">
        <v>798372</v>
      </c>
      <c r="Q14" s="84">
        <v>840885</v>
      </c>
      <c r="R14" s="253" t="s">
        <v>176</v>
      </c>
    </row>
    <row r="15" spans="1:21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681357</v>
      </c>
      <c r="P15" s="84">
        <v>799352</v>
      </c>
      <c r="Q15" s="84">
        <v>798805</v>
      </c>
      <c r="R15" s="253" t="s">
        <v>176</v>
      </c>
    </row>
    <row r="16" spans="1:21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724183</v>
      </c>
      <c r="P16" s="92">
        <v>787770</v>
      </c>
      <c r="Q16" s="92">
        <v>800739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1405689</v>
      </c>
      <c r="P17" s="168">
        <f>SUM(P5:P16)</f>
        <v>9126977</v>
      </c>
      <c r="Q17" s="168">
        <f>SUM(Q5:Q16)</f>
        <v>9489038</v>
      </c>
      <c r="R17" s="172">
        <f t="shared" ref="R17" si="0">SUM(R5:R16)</f>
        <v>4523422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167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54376</v>
      </c>
      <c r="Q21" s="174">
        <v>80112</v>
      </c>
      <c r="R21" s="265">
        <v>99825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58883</v>
      </c>
      <c r="Q22" s="84">
        <v>86442</v>
      </c>
      <c r="R22" s="266">
        <v>61615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43510</v>
      </c>
      <c r="Q23" s="84">
        <v>57082</v>
      </c>
      <c r="R23" s="267">
        <v>67134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52658</v>
      </c>
      <c r="Q24" s="84">
        <v>78859</v>
      </c>
      <c r="R24" s="268">
        <v>58656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40352</v>
      </c>
      <c r="Q25" s="84">
        <v>62835</v>
      </c>
      <c r="R25" s="267">
        <v>52066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52401</v>
      </c>
      <c r="Q26" s="84">
        <v>63764</v>
      </c>
      <c r="R26" s="269">
        <v>53275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52621</v>
      </c>
      <c r="Q27" s="84">
        <v>68633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65215</v>
      </c>
      <c r="Q28" s="84">
        <v>92617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72046</v>
      </c>
      <c r="Q29" s="84">
        <v>62096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76">
        <v>0</v>
      </c>
      <c r="P30" s="84">
        <v>64609</v>
      </c>
      <c r="Q30" s="84">
        <v>79636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40190</v>
      </c>
      <c r="P31" s="84">
        <v>63691</v>
      </c>
      <c r="Q31" s="84">
        <v>71000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41741</v>
      </c>
      <c r="P32" s="92">
        <v>63105</v>
      </c>
      <c r="Q32" s="92">
        <v>63979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81931</v>
      </c>
      <c r="P33" s="168">
        <f>SUM(P21:P32)</f>
        <v>683467</v>
      </c>
      <c r="Q33" s="168">
        <f>SUM(Q21:Q32)</f>
        <v>867055</v>
      </c>
      <c r="R33" s="172">
        <f t="shared" ref="R33" si="1">SUM(R21:R32)</f>
        <v>392571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168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0</v>
      </c>
      <c r="Q37" s="174">
        <v>-309</v>
      </c>
      <c r="R37" s="275">
        <v>-2027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-2</v>
      </c>
      <c r="Q38" s="84">
        <v>-605</v>
      </c>
      <c r="R38" s="266">
        <v>-2686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-1305</v>
      </c>
      <c r="R39" s="276">
        <v>-4669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-30</v>
      </c>
      <c r="Q40" s="84">
        <v>-239</v>
      </c>
      <c r="R40" s="266">
        <v>-920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-416</v>
      </c>
      <c r="Q41" s="84">
        <v>0</v>
      </c>
      <c r="R41" s="277">
        <v>-7558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-88</v>
      </c>
      <c r="R42" s="277">
        <v>-546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-396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-97</v>
      </c>
      <c r="Q44" s="84">
        <v>-185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-10</v>
      </c>
      <c r="Q45" s="84">
        <v>-1375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76">
        <v>0</v>
      </c>
      <c r="P46" s="84">
        <v>-182</v>
      </c>
      <c r="Q46" s="84">
        <v>-696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-4</v>
      </c>
      <c r="Q47" s="84">
        <v>-2164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0</v>
      </c>
      <c r="P48" s="92">
        <v>-37</v>
      </c>
      <c r="Q48" s="92">
        <v>-4611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0</v>
      </c>
      <c r="P49" s="168">
        <f>SUM(P37:P48)</f>
        <v>-778</v>
      </c>
      <c r="Q49" s="168">
        <f>SUM(Q37:Q48)</f>
        <v>-11973</v>
      </c>
      <c r="R49" s="278">
        <f t="shared" ref="R49" si="2">SUM(R37:R48)</f>
        <v>-18406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2:R52"/>
    <mergeCell ref="A53:R53"/>
    <mergeCell ref="A34:R34"/>
    <mergeCell ref="A1:U1"/>
    <mergeCell ref="A2:R2"/>
    <mergeCell ref="A3:R3"/>
    <mergeCell ref="A18:R18"/>
    <mergeCell ref="A19:R19"/>
  </mergeCells>
  <pageMargins left="0.7" right="0.7" top="0.75" bottom="0.75" header="0.3" footer="0.3"/>
  <pageSetup scale="86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baseColWidth="10" defaultColWidth="12.5" defaultRowHeight="15"/>
  <cols>
    <col min="1" max="1" width="12.5" style="121"/>
    <col min="2" max="14" width="0" style="120" hidden="1" customWidth="1"/>
    <col min="15" max="17" width="12.5" style="120"/>
    <col min="18" max="18" width="13.6640625" style="81" bestFit="1" customWidth="1"/>
    <col min="19" max="16384" width="12.5" style="120"/>
  </cols>
  <sheetData>
    <row r="1" spans="1:20" s="44" customFormat="1" ht="21">
      <c r="A1" s="347" t="s">
        <v>253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20" s="45" customFormat="1" ht="19">
      <c r="A2" s="334" t="str">
        <f>'Local SUT'!A2</f>
        <v>CY 2004-2020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20" s="45" customFormat="1" ht="19">
      <c r="A3" s="342" t="s">
        <v>169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20" s="46" customFormat="1" ht="16">
      <c r="A4" s="126" t="s">
        <v>0</v>
      </c>
      <c r="B4" s="127">
        <v>2004</v>
      </c>
      <c r="C4" s="128">
        <v>2005</v>
      </c>
      <c r="D4" s="128">
        <v>2006</v>
      </c>
      <c r="E4" s="128">
        <v>2007</v>
      </c>
      <c r="F4" s="128">
        <v>2008</v>
      </c>
      <c r="G4" s="128">
        <v>2009</v>
      </c>
      <c r="H4" s="128">
        <v>2010</v>
      </c>
      <c r="I4" s="128">
        <v>2011</v>
      </c>
      <c r="J4" s="128">
        <v>2012</v>
      </c>
      <c r="K4" s="128">
        <v>2013</v>
      </c>
      <c r="L4" s="128">
        <v>2014</v>
      </c>
      <c r="M4" s="128">
        <v>2015</v>
      </c>
      <c r="N4" s="128">
        <v>2016</v>
      </c>
      <c r="O4" s="128">
        <v>2017</v>
      </c>
      <c r="P4" s="128">
        <v>2018</v>
      </c>
      <c r="Q4" s="128">
        <v>2019</v>
      </c>
      <c r="R4" s="119">
        <v>2020</v>
      </c>
    </row>
    <row r="5" spans="1:20" s="46" customFormat="1" ht="16">
      <c r="A5" s="105" t="s">
        <v>1</v>
      </c>
      <c r="B5" s="96" t="s">
        <v>176</v>
      </c>
      <c r="C5" s="97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174">
        <v>563874</v>
      </c>
      <c r="Q5" s="174">
        <v>676373</v>
      </c>
      <c r="R5" s="255">
        <v>833974</v>
      </c>
    </row>
    <row r="6" spans="1:20" s="46" customFormat="1" ht="16">
      <c r="A6" s="106" t="s">
        <v>2</v>
      </c>
      <c r="B6" s="87" t="s">
        <v>176</v>
      </c>
      <c r="C6" s="84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>
        <v>447470</v>
      </c>
      <c r="Q6" s="84">
        <v>538194</v>
      </c>
      <c r="R6" s="256">
        <v>644629</v>
      </c>
    </row>
    <row r="7" spans="1:20" s="46" customFormat="1" ht="16">
      <c r="A7" s="106" t="s">
        <v>3</v>
      </c>
      <c r="B7" s="87" t="s">
        <v>176</v>
      </c>
      <c r="C7" s="84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>
        <v>423757</v>
      </c>
      <c r="Q7" s="84">
        <v>491748</v>
      </c>
      <c r="R7" s="257">
        <v>574286</v>
      </c>
    </row>
    <row r="8" spans="1:20" s="46" customFormat="1" ht="16">
      <c r="A8" s="106" t="s">
        <v>4</v>
      </c>
      <c r="B8" s="87" t="s">
        <v>176</v>
      </c>
      <c r="C8" s="84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 t="s">
        <v>176</v>
      </c>
      <c r="O8" s="84" t="s">
        <v>176</v>
      </c>
      <c r="P8" s="84">
        <v>520700</v>
      </c>
      <c r="Q8" s="84">
        <v>590131</v>
      </c>
      <c r="R8" s="257">
        <v>652731</v>
      </c>
    </row>
    <row r="9" spans="1:20" s="46" customFormat="1" ht="16">
      <c r="A9" s="106" t="s">
        <v>5</v>
      </c>
      <c r="B9" s="87" t="s">
        <v>176</v>
      </c>
      <c r="C9" s="84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 t="s">
        <v>176</v>
      </c>
      <c r="O9" s="84" t="s">
        <v>176</v>
      </c>
      <c r="P9" s="84">
        <v>489064</v>
      </c>
      <c r="Q9" s="84">
        <v>618776</v>
      </c>
      <c r="R9" s="258">
        <v>688773</v>
      </c>
    </row>
    <row r="10" spans="1:20" s="46" customFormat="1" ht="16">
      <c r="A10" s="106" t="s">
        <v>6</v>
      </c>
      <c r="B10" s="87" t="s">
        <v>176</v>
      </c>
      <c r="C10" s="84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 t="s">
        <v>176</v>
      </c>
      <c r="O10" s="84" t="s">
        <v>176</v>
      </c>
      <c r="P10" s="84">
        <v>644603</v>
      </c>
      <c r="Q10" s="84">
        <v>732411</v>
      </c>
      <c r="R10" s="259">
        <v>803988</v>
      </c>
    </row>
    <row r="11" spans="1:20" s="46" customFormat="1" ht="16">
      <c r="A11" s="106" t="s">
        <v>7</v>
      </c>
      <c r="B11" s="87" t="s">
        <v>176</v>
      </c>
      <c r="C11" s="84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 t="s">
        <v>176</v>
      </c>
      <c r="O11" s="84" t="s">
        <v>176</v>
      </c>
      <c r="P11" s="84">
        <v>595754</v>
      </c>
      <c r="Q11" s="84">
        <v>689913</v>
      </c>
      <c r="R11" s="252" t="s">
        <v>176</v>
      </c>
    </row>
    <row r="12" spans="1:20" s="46" customFormat="1" ht="16">
      <c r="A12" s="106" t="s">
        <v>8</v>
      </c>
      <c r="B12" s="87" t="s">
        <v>176</v>
      </c>
      <c r="C12" s="84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 t="s">
        <v>176</v>
      </c>
      <c r="O12" s="84" t="s">
        <v>176</v>
      </c>
      <c r="P12" s="84">
        <v>718038</v>
      </c>
      <c r="Q12" s="84">
        <v>814418</v>
      </c>
      <c r="R12" s="253" t="s">
        <v>176</v>
      </c>
    </row>
    <row r="13" spans="1:20" s="46" customFormat="1" ht="16">
      <c r="A13" s="106" t="s">
        <v>9</v>
      </c>
      <c r="B13" s="87" t="s">
        <v>176</v>
      </c>
      <c r="C13" s="84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 t="s">
        <v>176</v>
      </c>
      <c r="O13" s="84" t="s">
        <v>176</v>
      </c>
      <c r="P13" s="84">
        <v>644276</v>
      </c>
      <c r="Q13" s="84">
        <v>743945</v>
      </c>
      <c r="R13" s="253" t="s">
        <v>176</v>
      </c>
    </row>
    <row r="14" spans="1:20" s="46" customFormat="1" ht="16">
      <c r="A14" s="106" t="s">
        <v>10</v>
      </c>
      <c r="B14" s="87" t="s">
        <v>176</v>
      </c>
      <c r="C14" s="84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 t="s">
        <v>176</v>
      </c>
      <c r="O14" s="176">
        <v>317</v>
      </c>
      <c r="P14" s="84">
        <v>612488</v>
      </c>
      <c r="Q14" s="84">
        <v>756462</v>
      </c>
      <c r="R14" s="253" t="s">
        <v>176</v>
      </c>
    </row>
    <row r="15" spans="1:20" s="46" customFormat="1" ht="16">
      <c r="A15" s="106" t="s">
        <v>11</v>
      </c>
      <c r="B15" s="87" t="s">
        <v>176</v>
      </c>
      <c r="C15" s="84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 t="s">
        <v>176</v>
      </c>
      <c r="O15" s="84">
        <v>441714</v>
      </c>
      <c r="P15" s="84">
        <v>633373</v>
      </c>
      <c r="Q15" s="84">
        <v>793541</v>
      </c>
      <c r="R15" s="253" t="s">
        <v>176</v>
      </c>
    </row>
    <row r="16" spans="1:20" s="46" customFormat="1" ht="17" thickBot="1">
      <c r="A16" s="107" t="s">
        <v>13</v>
      </c>
      <c r="B16" s="125" t="s">
        <v>176</v>
      </c>
      <c r="C16" s="92" t="s">
        <v>176</v>
      </c>
      <c r="D16" s="92" t="s">
        <v>176</v>
      </c>
      <c r="E16" s="92" t="s">
        <v>176</v>
      </c>
      <c r="F16" s="92" t="s">
        <v>176</v>
      </c>
      <c r="G16" s="92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 t="s">
        <v>176</v>
      </c>
      <c r="O16" s="92">
        <v>509135</v>
      </c>
      <c r="P16" s="92">
        <v>626994</v>
      </c>
      <c r="Q16" s="92">
        <v>694525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04" t="s">
        <v>176</v>
      </c>
      <c r="O17" s="168">
        <f>SUM(O5:O16)</f>
        <v>951166</v>
      </c>
      <c r="P17" s="168">
        <f>SUM(P5:P16)</f>
        <v>6920391</v>
      </c>
      <c r="Q17" s="168">
        <f>SUM(Q5:Q16)</f>
        <v>8140437</v>
      </c>
      <c r="R17" s="172">
        <f t="shared" ref="R17" si="0">SUM(R5:R16)</f>
        <v>4198381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3" t="s">
        <v>170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</row>
    <row r="20" spans="1:18" s="46" customFormat="1" ht="16">
      <c r="A20" s="126" t="s">
        <v>0</v>
      </c>
      <c r="B20" s="127">
        <v>2004</v>
      </c>
      <c r="C20" s="128">
        <v>2005</v>
      </c>
      <c r="D20" s="128">
        <v>2006</v>
      </c>
      <c r="E20" s="128">
        <v>2007</v>
      </c>
      <c r="F20" s="128">
        <v>2008</v>
      </c>
      <c r="G20" s="128">
        <v>2009</v>
      </c>
      <c r="H20" s="128">
        <v>2010</v>
      </c>
      <c r="I20" s="128">
        <v>2011</v>
      </c>
      <c r="J20" s="128">
        <v>2012</v>
      </c>
      <c r="K20" s="128">
        <v>2013</v>
      </c>
      <c r="L20" s="128">
        <v>2014</v>
      </c>
      <c r="M20" s="128">
        <v>2015</v>
      </c>
      <c r="N20" s="128">
        <v>2016</v>
      </c>
      <c r="O20" s="128">
        <v>2017</v>
      </c>
      <c r="P20" s="128">
        <v>2018</v>
      </c>
      <c r="Q20" s="128">
        <v>2019</v>
      </c>
      <c r="R20" s="119">
        <v>2020</v>
      </c>
    </row>
    <row r="21" spans="1:18" s="46" customFormat="1" ht="16">
      <c r="A21" s="105" t="s">
        <v>1</v>
      </c>
      <c r="B21" s="96" t="s">
        <v>176</v>
      </c>
      <c r="C21" s="97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174">
        <v>35270</v>
      </c>
      <c r="Q21" s="174">
        <v>44552</v>
      </c>
      <c r="R21" s="265">
        <v>44529</v>
      </c>
    </row>
    <row r="22" spans="1:18" s="46" customFormat="1" ht="16">
      <c r="A22" s="106" t="s">
        <v>2</v>
      </c>
      <c r="B22" s="87" t="s">
        <v>176</v>
      </c>
      <c r="C22" s="84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>
        <v>27530</v>
      </c>
      <c r="Q22" s="84">
        <v>33233</v>
      </c>
      <c r="R22" s="266">
        <v>29194</v>
      </c>
    </row>
    <row r="23" spans="1:18" s="46" customFormat="1" ht="16">
      <c r="A23" s="106" t="s">
        <v>3</v>
      </c>
      <c r="B23" s="87" t="s">
        <v>176</v>
      </c>
      <c r="C23" s="84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>
        <v>25114</v>
      </c>
      <c r="Q23" s="84">
        <v>21768</v>
      </c>
      <c r="R23" s="267">
        <v>33139</v>
      </c>
    </row>
    <row r="24" spans="1:18" s="46" customFormat="1" ht="16">
      <c r="A24" s="106" t="s">
        <v>4</v>
      </c>
      <c r="B24" s="87" t="s">
        <v>176</v>
      </c>
      <c r="C24" s="84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 t="s">
        <v>176</v>
      </c>
      <c r="O24" s="84" t="s">
        <v>176</v>
      </c>
      <c r="P24" s="84">
        <v>30077</v>
      </c>
      <c r="Q24" s="84">
        <v>27632</v>
      </c>
      <c r="R24" s="268">
        <v>54624</v>
      </c>
    </row>
    <row r="25" spans="1:18" s="46" customFormat="1" ht="16">
      <c r="A25" s="106" t="s">
        <v>5</v>
      </c>
      <c r="B25" s="87" t="s">
        <v>176</v>
      </c>
      <c r="C25" s="84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 t="s">
        <v>176</v>
      </c>
      <c r="O25" s="84" t="s">
        <v>176</v>
      </c>
      <c r="P25" s="84">
        <v>36541</v>
      </c>
      <c r="Q25" s="84">
        <v>43931</v>
      </c>
      <c r="R25" s="267">
        <v>19949</v>
      </c>
    </row>
    <row r="26" spans="1:18" s="46" customFormat="1" ht="16">
      <c r="A26" s="106" t="s">
        <v>6</v>
      </c>
      <c r="B26" s="87" t="s">
        <v>176</v>
      </c>
      <c r="C26" s="84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 t="s">
        <v>176</v>
      </c>
      <c r="O26" s="84" t="s">
        <v>176</v>
      </c>
      <c r="P26" s="84">
        <v>31564</v>
      </c>
      <c r="Q26" s="84">
        <v>31266</v>
      </c>
      <c r="R26" s="269">
        <v>33507</v>
      </c>
    </row>
    <row r="27" spans="1:18" s="46" customFormat="1" ht="16">
      <c r="A27" s="106" t="s">
        <v>7</v>
      </c>
      <c r="B27" s="87" t="s">
        <v>176</v>
      </c>
      <c r="C27" s="84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 t="s">
        <v>176</v>
      </c>
      <c r="O27" s="84" t="s">
        <v>176</v>
      </c>
      <c r="P27" s="84">
        <v>32270</v>
      </c>
      <c r="Q27" s="84">
        <v>32862</v>
      </c>
      <c r="R27" s="252" t="s">
        <v>176</v>
      </c>
    </row>
    <row r="28" spans="1:18" s="46" customFormat="1" ht="16">
      <c r="A28" s="106" t="s">
        <v>8</v>
      </c>
      <c r="B28" s="87" t="s">
        <v>176</v>
      </c>
      <c r="C28" s="84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 t="s">
        <v>176</v>
      </c>
      <c r="O28" s="84" t="s">
        <v>176</v>
      </c>
      <c r="P28" s="84">
        <v>45829</v>
      </c>
      <c r="Q28" s="84">
        <v>27317</v>
      </c>
      <c r="R28" s="253" t="s">
        <v>176</v>
      </c>
    </row>
    <row r="29" spans="1:18" s="46" customFormat="1" ht="16">
      <c r="A29" s="106" t="s">
        <v>9</v>
      </c>
      <c r="B29" s="87" t="s">
        <v>176</v>
      </c>
      <c r="C29" s="84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 t="s">
        <v>176</v>
      </c>
      <c r="O29" s="84" t="s">
        <v>176</v>
      </c>
      <c r="P29" s="84">
        <v>44943</v>
      </c>
      <c r="Q29" s="84">
        <v>26231</v>
      </c>
      <c r="R29" s="253" t="s">
        <v>176</v>
      </c>
    </row>
    <row r="30" spans="1:18" s="46" customFormat="1" ht="16">
      <c r="A30" s="106" t="s">
        <v>10</v>
      </c>
      <c r="B30" s="87" t="s">
        <v>176</v>
      </c>
      <c r="C30" s="84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 t="s">
        <v>176</v>
      </c>
      <c r="O30" s="176">
        <v>0</v>
      </c>
      <c r="P30" s="83">
        <v>30443</v>
      </c>
      <c r="Q30" s="83">
        <v>33487</v>
      </c>
      <c r="R30" s="253" t="s">
        <v>176</v>
      </c>
    </row>
    <row r="31" spans="1:18" s="46" customFormat="1" ht="16">
      <c r="A31" s="106" t="s">
        <v>11</v>
      </c>
      <c r="B31" s="87" t="s">
        <v>176</v>
      </c>
      <c r="C31" s="84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 t="s">
        <v>176</v>
      </c>
      <c r="O31" s="84">
        <v>24350</v>
      </c>
      <c r="P31" s="84">
        <v>35128</v>
      </c>
      <c r="Q31" s="84">
        <v>30069</v>
      </c>
      <c r="R31" s="253" t="s">
        <v>176</v>
      </c>
    </row>
    <row r="32" spans="1:18" s="46" customFormat="1" ht="17" thickBot="1">
      <c r="A32" s="107" t="s">
        <v>13</v>
      </c>
      <c r="B32" s="125" t="s">
        <v>176</v>
      </c>
      <c r="C32" s="92" t="s">
        <v>176</v>
      </c>
      <c r="D32" s="92" t="s">
        <v>176</v>
      </c>
      <c r="E32" s="92" t="s">
        <v>176</v>
      </c>
      <c r="F32" s="92" t="s">
        <v>176</v>
      </c>
      <c r="G32" s="92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 t="s">
        <v>176</v>
      </c>
      <c r="O32" s="92">
        <v>28272</v>
      </c>
      <c r="P32" s="92">
        <v>36280</v>
      </c>
      <c r="Q32" s="92">
        <v>41332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04" t="s">
        <v>176</v>
      </c>
      <c r="O33" s="168">
        <f>SUM(O21:O32)</f>
        <v>52622</v>
      </c>
      <c r="P33" s="168">
        <f>SUM(P21:P32)</f>
        <v>410989</v>
      </c>
      <c r="Q33" s="168">
        <f>SUM(Q21:Q32)</f>
        <v>393680</v>
      </c>
      <c r="R33" s="172">
        <f t="shared" ref="R33" si="1">SUM(R21:R32)</f>
        <v>214942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3" t="s">
        <v>171</v>
      </c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</row>
    <row r="36" spans="1:18" s="46" customFormat="1" ht="16">
      <c r="A36" s="126" t="s">
        <v>0</v>
      </c>
      <c r="B36" s="127">
        <v>2004</v>
      </c>
      <c r="C36" s="128">
        <v>2005</v>
      </c>
      <c r="D36" s="128">
        <v>2006</v>
      </c>
      <c r="E36" s="128">
        <v>2007</v>
      </c>
      <c r="F36" s="128">
        <v>2008</v>
      </c>
      <c r="G36" s="128">
        <v>2009</v>
      </c>
      <c r="H36" s="128">
        <v>2010</v>
      </c>
      <c r="I36" s="128">
        <v>2011</v>
      </c>
      <c r="J36" s="128">
        <v>2012</v>
      </c>
      <c r="K36" s="128">
        <v>2013</v>
      </c>
      <c r="L36" s="128">
        <v>2014</v>
      </c>
      <c r="M36" s="128">
        <v>2015</v>
      </c>
      <c r="N36" s="128">
        <v>2016</v>
      </c>
      <c r="O36" s="128">
        <v>2017</v>
      </c>
      <c r="P36" s="128">
        <v>2018</v>
      </c>
      <c r="Q36" s="128">
        <v>2019</v>
      </c>
      <c r="R36" s="119">
        <v>2020</v>
      </c>
    </row>
    <row r="37" spans="1:18" s="46" customFormat="1" ht="16">
      <c r="A37" s="105" t="s">
        <v>1</v>
      </c>
      <c r="B37" s="96" t="s">
        <v>176</v>
      </c>
      <c r="C37" s="97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174">
        <v>-54</v>
      </c>
      <c r="Q37" s="174">
        <v>-848</v>
      </c>
      <c r="R37" s="275">
        <v>-1315</v>
      </c>
    </row>
    <row r="38" spans="1:18" s="46" customFormat="1" ht="16">
      <c r="A38" s="106" t="s">
        <v>2</v>
      </c>
      <c r="B38" s="87" t="s">
        <v>176</v>
      </c>
      <c r="C38" s="84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>
        <v>-67</v>
      </c>
      <c r="Q38" s="84">
        <v>0</v>
      </c>
      <c r="R38" s="266">
        <v>-140</v>
      </c>
    </row>
    <row r="39" spans="1:18" s="46" customFormat="1" ht="16">
      <c r="A39" s="106" t="s">
        <v>3</v>
      </c>
      <c r="B39" s="87" t="s">
        <v>176</v>
      </c>
      <c r="C39" s="84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>
        <v>0</v>
      </c>
      <c r="Q39" s="84">
        <v>-1052</v>
      </c>
      <c r="R39" s="276">
        <v>-2978</v>
      </c>
    </row>
    <row r="40" spans="1:18" s="46" customFormat="1" ht="16">
      <c r="A40" s="106" t="s">
        <v>4</v>
      </c>
      <c r="B40" s="87" t="s">
        <v>176</v>
      </c>
      <c r="C40" s="84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 t="s">
        <v>176</v>
      </c>
      <c r="O40" s="84" t="s">
        <v>176</v>
      </c>
      <c r="P40" s="84">
        <v>0</v>
      </c>
      <c r="Q40" s="84">
        <v>-3097</v>
      </c>
      <c r="R40" s="266">
        <v>-3402</v>
      </c>
    </row>
    <row r="41" spans="1:18" s="46" customFormat="1" ht="16">
      <c r="A41" s="106" t="s">
        <v>5</v>
      </c>
      <c r="B41" s="87" t="s">
        <v>176</v>
      </c>
      <c r="C41" s="84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 t="s">
        <v>176</v>
      </c>
      <c r="O41" s="84" t="s">
        <v>176</v>
      </c>
      <c r="P41" s="84">
        <v>-158</v>
      </c>
      <c r="Q41" s="84">
        <v>-127</v>
      </c>
      <c r="R41" s="277">
        <v>-4756</v>
      </c>
    </row>
    <row r="42" spans="1:18" s="46" customFormat="1" ht="16">
      <c r="A42" s="106" t="s">
        <v>6</v>
      </c>
      <c r="B42" s="87" t="s">
        <v>176</v>
      </c>
      <c r="C42" s="84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 t="s">
        <v>176</v>
      </c>
      <c r="O42" s="84" t="s">
        <v>176</v>
      </c>
      <c r="P42" s="84">
        <v>0</v>
      </c>
      <c r="Q42" s="84">
        <v>-9</v>
      </c>
      <c r="R42" s="277">
        <v>-565</v>
      </c>
    </row>
    <row r="43" spans="1:18" s="46" customFormat="1" ht="16">
      <c r="A43" s="106" t="s">
        <v>7</v>
      </c>
      <c r="B43" s="87" t="s">
        <v>176</v>
      </c>
      <c r="C43" s="84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 t="s">
        <v>176</v>
      </c>
      <c r="O43" s="84" t="s">
        <v>176</v>
      </c>
      <c r="P43" s="84">
        <v>0</v>
      </c>
      <c r="Q43" s="84">
        <v>-361</v>
      </c>
      <c r="R43" s="252" t="s">
        <v>176</v>
      </c>
    </row>
    <row r="44" spans="1:18" s="46" customFormat="1" ht="16">
      <c r="A44" s="106" t="s">
        <v>8</v>
      </c>
      <c r="B44" s="87" t="s">
        <v>176</v>
      </c>
      <c r="C44" s="84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 t="s">
        <v>176</v>
      </c>
      <c r="O44" s="84" t="s">
        <v>176</v>
      </c>
      <c r="P44" s="84">
        <v>-1197</v>
      </c>
      <c r="Q44" s="84">
        <v>-576</v>
      </c>
      <c r="R44" s="253" t="s">
        <v>176</v>
      </c>
    </row>
    <row r="45" spans="1:18" s="46" customFormat="1" ht="16">
      <c r="A45" s="106" t="s">
        <v>9</v>
      </c>
      <c r="B45" s="87" t="s">
        <v>176</v>
      </c>
      <c r="C45" s="84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 t="s">
        <v>176</v>
      </c>
      <c r="O45" s="84" t="s">
        <v>176</v>
      </c>
      <c r="P45" s="84">
        <v>0</v>
      </c>
      <c r="Q45" s="84">
        <v>-371</v>
      </c>
      <c r="R45" s="253" t="s">
        <v>176</v>
      </c>
    </row>
    <row r="46" spans="1:18" s="46" customFormat="1" ht="16">
      <c r="A46" s="106" t="s">
        <v>10</v>
      </c>
      <c r="B46" s="87" t="s">
        <v>176</v>
      </c>
      <c r="C46" s="84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 t="s">
        <v>176</v>
      </c>
      <c r="O46" s="176">
        <v>0</v>
      </c>
      <c r="P46" s="84">
        <v>-780</v>
      </c>
      <c r="Q46" s="84">
        <v>-197</v>
      </c>
      <c r="R46" s="253" t="s">
        <v>176</v>
      </c>
    </row>
    <row r="47" spans="1:18" s="46" customFormat="1" ht="16">
      <c r="A47" s="106" t="s">
        <v>11</v>
      </c>
      <c r="B47" s="87" t="s">
        <v>176</v>
      </c>
      <c r="C47" s="84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 t="s">
        <v>176</v>
      </c>
      <c r="O47" s="84">
        <v>0</v>
      </c>
      <c r="P47" s="84">
        <v>0</v>
      </c>
      <c r="Q47" s="84">
        <v>-98</v>
      </c>
      <c r="R47" s="253" t="s">
        <v>176</v>
      </c>
    </row>
    <row r="48" spans="1:18" s="46" customFormat="1" ht="17" thickBot="1">
      <c r="A48" s="107" t="s">
        <v>13</v>
      </c>
      <c r="B48" s="125" t="s">
        <v>176</v>
      </c>
      <c r="C48" s="92" t="s">
        <v>176</v>
      </c>
      <c r="D48" s="92" t="s">
        <v>176</v>
      </c>
      <c r="E48" s="92" t="s">
        <v>176</v>
      </c>
      <c r="F48" s="92" t="s">
        <v>176</v>
      </c>
      <c r="G48" s="92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 t="s">
        <v>176</v>
      </c>
      <c r="O48" s="92">
        <v>-24</v>
      </c>
      <c r="P48" s="92">
        <v>-971</v>
      </c>
      <c r="Q48" s="92">
        <v>-3079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04" t="s">
        <v>176</v>
      </c>
      <c r="O49" s="168">
        <f>SUM(O37:O48)</f>
        <v>-24</v>
      </c>
      <c r="P49" s="168">
        <f>SUM(P37:P48)</f>
        <v>-3227</v>
      </c>
      <c r="Q49" s="168">
        <f>SUM(Q37:Q48)</f>
        <v>-9815</v>
      </c>
      <c r="R49" s="278">
        <f t="shared" ref="R49" si="2">SUM(R37:R48)</f>
        <v>-13156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213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T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7" right="0.7" top="0.75" bottom="0.75" header="0.3" footer="0.3"/>
  <pageSetup scale="86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0">
    <pageSetUpPr fitToPage="1"/>
  </sheetPr>
  <dimension ref="A1:S54"/>
  <sheetViews>
    <sheetView showGridLines="0" zoomScaleNormal="10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0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254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217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41</v>
      </c>
      <c r="O5" s="174">
        <v>164842</v>
      </c>
      <c r="P5" s="174">
        <v>173887</v>
      </c>
      <c r="Q5" s="174">
        <v>174667</v>
      </c>
      <c r="R5" s="255">
        <v>173022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119570</v>
      </c>
      <c r="O6" s="84">
        <v>149642</v>
      </c>
      <c r="P6" s="84">
        <v>136209</v>
      </c>
      <c r="Q6" s="84">
        <v>137273</v>
      </c>
      <c r="R6" s="256">
        <v>142810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123751</v>
      </c>
      <c r="O7" s="84">
        <v>121343</v>
      </c>
      <c r="P7" s="84">
        <v>120038</v>
      </c>
      <c r="Q7" s="84">
        <v>127731</v>
      </c>
      <c r="R7" s="257">
        <v>143037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>
        <v>143557</v>
      </c>
      <c r="O8" s="84">
        <v>145100</v>
      </c>
      <c r="P8" s="84">
        <v>144930</v>
      </c>
      <c r="Q8" s="84">
        <v>156027</v>
      </c>
      <c r="R8" s="257">
        <v>150494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145984</v>
      </c>
      <c r="O9" s="84">
        <v>143159</v>
      </c>
      <c r="P9" s="84">
        <v>130061</v>
      </c>
      <c r="Q9" s="84">
        <v>166641</v>
      </c>
      <c r="R9" s="258">
        <v>156766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152627</v>
      </c>
      <c r="O10" s="84">
        <v>157962</v>
      </c>
      <c r="P10" s="84">
        <v>168746</v>
      </c>
      <c r="Q10" s="84">
        <v>185836</v>
      </c>
      <c r="R10" s="259">
        <v>195162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157537</v>
      </c>
      <c r="O11" s="84">
        <v>154153</v>
      </c>
      <c r="P11" s="84">
        <v>162774</v>
      </c>
      <c r="Q11" s="84">
        <v>177301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170509</v>
      </c>
      <c r="O12" s="84">
        <v>168342</v>
      </c>
      <c r="P12" s="84">
        <v>184045</v>
      </c>
      <c r="Q12" s="84">
        <v>199697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161911</v>
      </c>
      <c r="O13" s="84">
        <v>153565</v>
      </c>
      <c r="P13" s="84">
        <v>177929</v>
      </c>
      <c r="Q13" s="84">
        <v>187054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157256</v>
      </c>
      <c r="O14" s="84">
        <v>156401</v>
      </c>
      <c r="P14" s="84">
        <v>175993</v>
      </c>
      <c r="Q14" s="84">
        <v>177539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144947</v>
      </c>
      <c r="O15" s="84">
        <v>156795</v>
      </c>
      <c r="P15" s="84">
        <v>177704</v>
      </c>
      <c r="Q15" s="84">
        <v>182992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139372</v>
      </c>
      <c r="O16" s="92">
        <v>148241</v>
      </c>
      <c r="P16" s="92">
        <v>162588</v>
      </c>
      <c r="Q16" s="92">
        <v>172327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1617062</v>
      </c>
      <c r="O17" s="168">
        <f>SUM(O5:O16)</f>
        <v>1819545</v>
      </c>
      <c r="P17" s="168">
        <f>SUM(P5:P16)</f>
        <v>1914904</v>
      </c>
      <c r="Q17" s="168">
        <f>SUM(Q5:Q16)</f>
        <v>2045085</v>
      </c>
      <c r="R17" s="172">
        <f t="shared" ref="R17" si="0">SUM(R5:R16)</f>
        <v>961291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85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0</v>
      </c>
      <c r="O21" s="174">
        <v>9995</v>
      </c>
      <c r="P21" s="174">
        <v>10158</v>
      </c>
      <c r="Q21" s="174">
        <v>9259</v>
      </c>
      <c r="R21" s="265">
        <v>7100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4503</v>
      </c>
      <c r="O22" s="84">
        <v>5177</v>
      </c>
      <c r="P22" s="84">
        <v>8857</v>
      </c>
      <c r="Q22" s="84">
        <v>10585</v>
      </c>
      <c r="R22" s="266">
        <v>6353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3833</v>
      </c>
      <c r="O23" s="84">
        <v>3896</v>
      </c>
      <c r="P23" s="84">
        <v>6840</v>
      </c>
      <c r="Q23" s="84">
        <v>4032</v>
      </c>
      <c r="R23" s="267">
        <v>4591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>
        <v>7464</v>
      </c>
      <c r="O24" s="84">
        <v>6041</v>
      </c>
      <c r="P24" s="84">
        <v>6292</v>
      </c>
      <c r="Q24" s="84">
        <v>6783</v>
      </c>
      <c r="R24" s="268">
        <v>6678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5969</v>
      </c>
      <c r="O25" s="84">
        <v>6376</v>
      </c>
      <c r="P25" s="84">
        <v>4649</v>
      </c>
      <c r="Q25" s="84">
        <v>8075</v>
      </c>
      <c r="R25" s="267">
        <v>6635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8451</v>
      </c>
      <c r="O26" s="84">
        <v>5882</v>
      </c>
      <c r="P26" s="84">
        <v>6181</v>
      </c>
      <c r="Q26" s="84">
        <v>7570</v>
      </c>
      <c r="R26" s="269">
        <v>6536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10433</v>
      </c>
      <c r="O27" s="84">
        <v>8140</v>
      </c>
      <c r="P27" s="84">
        <v>6724</v>
      </c>
      <c r="Q27" s="84">
        <v>8380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7606</v>
      </c>
      <c r="O28" s="84">
        <v>8099</v>
      </c>
      <c r="P28" s="84">
        <v>11647</v>
      </c>
      <c r="Q28" s="84">
        <v>8893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7848</v>
      </c>
      <c r="O29" s="84">
        <v>6783</v>
      </c>
      <c r="P29" s="84">
        <v>6652</v>
      </c>
      <c r="Q29" s="84">
        <v>8613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10229</v>
      </c>
      <c r="O30" s="84">
        <v>10007</v>
      </c>
      <c r="P30" s="84">
        <v>6492</v>
      </c>
      <c r="Q30" s="84">
        <v>7128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6640</v>
      </c>
      <c r="O31" s="84">
        <v>6249</v>
      </c>
      <c r="P31" s="84">
        <v>10264</v>
      </c>
      <c r="Q31" s="84">
        <v>5747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4893</v>
      </c>
      <c r="O32" s="92">
        <v>3003</v>
      </c>
      <c r="P32" s="92">
        <v>12749</v>
      </c>
      <c r="Q32" s="92">
        <v>5974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77869</v>
      </c>
      <c r="O33" s="168">
        <f>SUM(O21:O32)</f>
        <v>79648</v>
      </c>
      <c r="P33" s="168">
        <f>SUM(P21:P32)</f>
        <v>97505</v>
      </c>
      <c r="Q33" s="168">
        <f>SUM(Q21:Q32)</f>
        <v>91039</v>
      </c>
      <c r="R33" s="172">
        <f t="shared" ref="R33" si="1">SUM(R21:R32)</f>
        <v>37893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103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0</v>
      </c>
      <c r="O37" s="174">
        <v>-3630</v>
      </c>
      <c r="P37" s="174">
        <v>-304</v>
      </c>
      <c r="Q37" s="174">
        <v>0</v>
      </c>
      <c r="R37" s="275">
        <v>-16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0</v>
      </c>
      <c r="O38" s="84">
        <v>-1712</v>
      </c>
      <c r="P38" s="84">
        <v>-1254</v>
      </c>
      <c r="Q38" s="84">
        <v>0</v>
      </c>
      <c r="R38" s="266">
        <v>-1868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0</v>
      </c>
      <c r="O39" s="84">
        <v>0</v>
      </c>
      <c r="P39" s="84">
        <v>-3020</v>
      </c>
      <c r="Q39" s="84">
        <v>0</v>
      </c>
      <c r="R39" s="276">
        <v>-1000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>
        <v>0</v>
      </c>
      <c r="O40" s="84">
        <v>0</v>
      </c>
      <c r="P40" s="84">
        <v>0</v>
      </c>
      <c r="Q40" s="84">
        <v>0</v>
      </c>
      <c r="R40" s="266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0</v>
      </c>
      <c r="Q41" s="84">
        <v>-212</v>
      </c>
      <c r="R41" s="277">
        <v>-41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0</v>
      </c>
      <c r="P42" s="84">
        <v>-677</v>
      </c>
      <c r="Q42" s="84">
        <v>-211</v>
      </c>
      <c r="R42" s="277">
        <v>-1489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-211</v>
      </c>
      <c r="O43" s="84">
        <v>0</v>
      </c>
      <c r="P43" s="84">
        <v>0</v>
      </c>
      <c r="Q43" s="84">
        <v>-918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-208</v>
      </c>
      <c r="O44" s="84">
        <v>-68</v>
      </c>
      <c r="P44" s="84">
        <v>0</v>
      </c>
      <c r="Q44" s="84">
        <v>-151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-2616</v>
      </c>
      <c r="P45" s="84">
        <v>-80</v>
      </c>
      <c r="Q45" s="84">
        <v>-1791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-119</v>
      </c>
      <c r="O46" s="84">
        <v>-45</v>
      </c>
      <c r="P46" s="84">
        <v>-89</v>
      </c>
      <c r="Q46" s="84">
        <v>-15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-833</v>
      </c>
      <c r="O47" s="84">
        <v>-50</v>
      </c>
      <c r="P47" s="84">
        <v>-295</v>
      </c>
      <c r="Q47" s="84">
        <v>-1853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0</v>
      </c>
      <c r="O48" s="92">
        <v>-1344</v>
      </c>
      <c r="P48" s="92">
        <v>0</v>
      </c>
      <c r="Q48" s="92">
        <v>-952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-1371</v>
      </c>
      <c r="O49" s="168">
        <f>SUM(O37:O48)</f>
        <v>-9465</v>
      </c>
      <c r="P49" s="168">
        <f>SUM(P37:P48)</f>
        <v>-5719</v>
      </c>
      <c r="Q49" s="168">
        <f>SUM(Q37:Q48)</f>
        <v>-6103</v>
      </c>
      <c r="R49" s="278">
        <f t="shared" ref="R49" si="2">SUM(R37:R48)</f>
        <v>-4414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S1"/>
    <mergeCell ref="A2:R2"/>
    <mergeCell ref="A3:R3"/>
    <mergeCell ref="A18:R18"/>
    <mergeCell ref="A19:R19"/>
    <mergeCell ref="A53:R53"/>
    <mergeCell ref="A34:R34"/>
    <mergeCell ref="A52:R52"/>
    <mergeCell ref="A35:R35"/>
    <mergeCell ref="A50:R50"/>
    <mergeCell ref="A51:R51"/>
  </mergeCells>
  <pageMargins left="0.4" right="0" top="0.75" bottom="0.75" header="0.3" footer="0.3"/>
  <pageSetup scale="83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6">
    <pageSetUpPr fitToPage="1"/>
  </sheetPr>
  <dimension ref="A1:R67"/>
  <sheetViews>
    <sheetView showGridLines="0" workbookViewId="0">
      <pane ySplit="1" topLeftCell="A2" activePane="bottomLeft" state="frozen"/>
      <selection pane="bottomLeft" sqref="A1:R1"/>
    </sheetView>
  </sheetViews>
  <sheetFormatPr baseColWidth="10" defaultColWidth="12.5" defaultRowHeight="15"/>
  <cols>
    <col min="1" max="1" width="12.5" style="121"/>
    <col min="2" max="5" width="12.6640625" style="120" hidden="1" customWidth="1"/>
    <col min="6" max="11" width="13.5" style="120" bestFit="1" customWidth="1"/>
    <col min="12" max="14" width="14.6640625" style="120" bestFit="1" customWidth="1"/>
    <col min="15" max="15" width="13.5" style="120" bestFit="1" customWidth="1"/>
    <col min="16" max="17" width="13.1640625" style="120" bestFit="1" customWidth="1"/>
    <col min="18" max="18" width="13.6640625" style="81" bestFit="1" customWidth="1"/>
    <col min="19" max="16384" width="12.5" style="120"/>
  </cols>
  <sheetData>
    <row r="1" spans="1:18" s="44" customFormat="1" ht="21">
      <c r="A1" s="338" t="s">
        <v>255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s="45" customFormat="1" ht="19">
      <c r="A3" s="348" t="s">
        <v>172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8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97" t="s">
        <v>176</v>
      </c>
      <c r="G5" s="177">
        <v>8557204</v>
      </c>
      <c r="H5" s="174">
        <v>8173347</v>
      </c>
      <c r="I5" s="174">
        <v>8973643</v>
      </c>
      <c r="J5" s="174">
        <v>9103524</v>
      </c>
      <c r="K5" s="174">
        <v>9487607</v>
      </c>
      <c r="L5" s="174">
        <v>10010289</v>
      </c>
      <c r="M5" s="174">
        <v>10457516</v>
      </c>
      <c r="N5" s="174">
        <v>10838949</v>
      </c>
      <c r="O5" s="174">
        <v>11018002</v>
      </c>
      <c r="P5" s="174">
        <v>301964</v>
      </c>
      <c r="Q5" s="174">
        <v>177993</v>
      </c>
      <c r="R5" s="255">
        <v>40732</v>
      </c>
    </row>
    <row r="6" spans="1:18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4" t="s">
        <v>176</v>
      </c>
      <c r="G6" s="85">
        <v>6640736</v>
      </c>
      <c r="H6" s="84">
        <v>5886169</v>
      </c>
      <c r="I6" s="84">
        <v>6389858</v>
      </c>
      <c r="J6" s="84">
        <v>6586662</v>
      </c>
      <c r="K6" s="84">
        <v>7045102</v>
      </c>
      <c r="L6" s="84">
        <v>7569252</v>
      </c>
      <c r="M6" s="84">
        <v>7984272</v>
      </c>
      <c r="N6" s="84">
        <v>7922918</v>
      </c>
      <c r="O6" s="84">
        <v>8146467</v>
      </c>
      <c r="P6" s="84">
        <v>126112</v>
      </c>
      <c r="Q6" s="84">
        <v>64059</v>
      </c>
      <c r="R6" s="256">
        <v>187642</v>
      </c>
    </row>
    <row r="7" spans="1:18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4" t="s">
        <v>176</v>
      </c>
      <c r="G7" s="85">
        <v>5866138</v>
      </c>
      <c r="H7" s="84">
        <v>5601653</v>
      </c>
      <c r="I7" s="84">
        <v>6187518</v>
      </c>
      <c r="J7" s="84">
        <v>6527587</v>
      </c>
      <c r="K7" s="84">
        <v>6695520</v>
      </c>
      <c r="L7" s="84">
        <v>6889100</v>
      </c>
      <c r="M7" s="84">
        <v>7444573</v>
      </c>
      <c r="N7" s="84">
        <v>7465297</v>
      </c>
      <c r="O7" s="84">
        <v>7679795</v>
      </c>
      <c r="P7" s="84">
        <v>45859</v>
      </c>
      <c r="Q7" s="84">
        <v>63725</v>
      </c>
      <c r="R7" s="257">
        <v>128091</v>
      </c>
    </row>
    <row r="8" spans="1:18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4" t="s">
        <v>176</v>
      </c>
      <c r="G8" s="85">
        <v>6456044</v>
      </c>
      <c r="H8" s="84">
        <v>6803521</v>
      </c>
      <c r="I8" s="84">
        <v>7066947</v>
      </c>
      <c r="J8" s="84">
        <v>7597210</v>
      </c>
      <c r="K8" s="84">
        <v>7774734</v>
      </c>
      <c r="L8" s="84">
        <v>8029520</v>
      </c>
      <c r="M8" s="84">
        <v>8757194</v>
      </c>
      <c r="N8" s="84">
        <v>8763416</v>
      </c>
      <c r="O8" s="84">
        <v>9092991</v>
      </c>
      <c r="P8" s="84">
        <v>78442</v>
      </c>
      <c r="Q8" s="84">
        <v>43051</v>
      </c>
      <c r="R8" s="257">
        <v>38375</v>
      </c>
    </row>
    <row r="9" spans="1:18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4" t="s">
        <v>176</v>
      </c>
      <c r="G9" s="85">
        <v>6325410</v>
      </c>
      <c r="H9" s="84">
        <v>6633926</v>
      </c>
      <c r="I9" s="84">
        <v>7000754</v>
      </c>
      <c r="J9" s="84">
        <v>7330569</v>
      </c>
      <c r="K9" s="84">
        <v>7653041</v>
      </c>
      <c r="L9" s="84">
        <v>7957912</v>
      </c>
      <c r="M9" s="84">
        <v>8460711</v>
      </c>
      <c r="N9" s="84">
        <v>8687758</v>
      </c>
      <c r="O9" s="84">
        <v>8668562</v>
      </c>
      <c r="P9" s="84">
        <v>1435</v>
      </c>
      <c r="Q9" s="84">
        <v>47418</v>
      </c>
      <c r="R9" s="258">
        <v>18317</v>
      </c>
    </row>
    <row r="10" spans="1:18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4" t="s">
        <v>176</v>
      </c>
      <c r="G10" s="85">
        <v>6755764</v>
      </c>
      <c r="H10" s="84">
        <v>6996224</v>
      </c>
      <c r="I10" s="84">
        <v>7652057</v>
      </c>
      <c r="J10" s="84">
        <v>7623367</v>
      </c>
      <c r="K10" s="84">
        <v>8287374</v>
      </c>
      <c r="L10" s="84">
        <v>8727580</v>
      </c>
      <c r="M10" s="84">
        <v>8998644</v>
      </c>
      <c r="N10" s="84">
        <v>9190954</v>
      </c>
      <c r="O10" s="84">
        <v>9475144</v>
      </c>
      <c r="P10" s="84">
        <v>55646</v>
      </c>
      <c r="Q10" s="84">
        <v>24464</v>
      </c>
      <c r="R10" s="259">
        <v>-31498</v>
      </c>
    </row>
    <row r="11" spans="1:18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176">
        <v>2891</v>
      </c>
      <c r="G11" s="85">
        <v>5889747</v>
      </c>
      <c r="H11" s="84">
        <v>6584727</v>
      </c>
      <c r="I11" s="84">
        <v>6750212</v>
      </c>
      <c r="J11" s="84">
        <v>7591918</v>
      </c>
      <c r="K11" s="84">
        <v>7899598</v>
      </c>
      <c r="L11" s="84">
        <v>8373825</v>
      </c>
      <c r="M11" s="84">
        <v>8693774</v>
      </c>
      <c r="N11" s="84">
        <v>8666640</v>
      </c>
      <c r="O11" s="84">
        <v>9049416</v>
      </c>
      <c r="P11" s="84">
        <v>-4117</v>
      </c>
      <c r="Q11" s="84">
        <v>65988</v>
      </c>
      <c r="R11" s="252" t="s">
        <v>176</v>
      </c>
    </row>
    <row r="12" spans="1:18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4">
        <v>5885783.3499999996</v>
      </c>
      <c r="G12" s="85">
        <v>7887395</v>
      </c>
      <c r="H12" s="84">
        <v>8082311</v>
      </c>
      <c r="I12" s="84">
        <v>8071703</v>
      </c>
      <c r="J12" s="84">
        <v>9032652</v>
      </c>
      <c r="K12" s="84">
        <v>9707541</v>
      </c>
      <c r="L12" s="84">
        <v>9993929</v>
      </c>
      <c r="M12" s="84">
        <v>10592430</v>
      </c>
      <c r="N12" s="84">
        <v>10580737</v>
      </c>
      <c r="O12" s="84">
        <v>10618029</v>
      </c>
      <c r="P12" s="84">
        <v>64373</v>
      </c>
      <c r="Q12" s="84">
        <v>22965</v>
      </c>
      <c r="R12" s="253" t="s">
        <v>176</v>
      </c>
    </row>
    <row r="13" spans="1:18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4">
        <v>6669047.29</v>
      </c>
      <c r="G13" s="85">
        <v>6454472</v>
      </c>
      <c r="H13" s="84">
        <v>7289494</v>
      </c>
      <c r="I13" s="84">
        <v>8500762</v>
      </c>
      <c r="J13" s="84">
        <v>8072074</v>
      </c>
      <c r="K13" s="84">
        <v>8680701</v>
      </c>
      <c r="L13" s="84">
        <v>8793823</v>
      </c>
      <c r="M13" s="84">
        <v>9145489</v>
      </c>
      <c r="N13" s="84">
        <v>9618914</v>
      </c>
      <c r="O13" s="84">
        <v>9943254</v>
      </c>
      <c r="P13" s="84">
        <v>53814</v>
      </c>
      <c r="Q13" s="84">
        <v>114711</v>
      </c>
      <c r="R13" s="253" t="s">
        <v>176</v>
      </c>
    </row>
    <row r="14" spans="1:18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4">
        <v>6952290.1800000006</v>
      </c>
      <c r="G14" s="85">
        <v>7054051</v>
      </c>
      <c r="H14" s="84">
        <v>7708330</v>
      </c>
      <c r="I14" s="84">
        <v>7985276</v>
      </c>
      <c r="J14" s="84">
        <v>8242644</v>
      </c>
      <c r="K14" s="84">
        <v>9328574</v>
      </c>
      <c r="L14" s="84">
        <v>8863918</v>
      </c>
      <c r="M14" s="84">
        <v>9355423</v>
      </c>
      <c r="N14" s="84">
        <v>9711118</v>
      </c>
      <c r="O14" s="84">
        <v>9876573</v>
      </c>
      <c r="P14" s="84">
        <v>75041</v>
      </c>
      <c r="Q14" s="84">
        <v>42714</v>
      </c>
      <c r="R14" s="253" t="s">
        <v>176</v>
      </c>
    </row>
    <row r="15" spans="1:18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4" t="s">
        <v>12</v>
      </c>
      <c r="G15" s="85">
        <v>6485075</v>
      </c>
      <c r="H15" s="84">
        <v>6792182</v>
      </c>
      <c r="I15" s="84">
        <v>7469128</v>
      </c>
      <c r="J15" s="84">
        <v>7713056</v>
      </c>
      <c r="K15" s="84">
        <v>8446532</v>
      </c>
      <c r="L15" s="84">
        <v>8793599</v>
      </c>
      <c r="M15" s="84">
        <v>8937020</v>
      </c>
      <c r="N15" s="84">
        <v>9165894</v>
      </c>
      <c r="O15" s="84">
        <v>569855</v>
      </c>
      <c r="P15" s="84">
        <v>114529</v>
      </c>
      <c r="Q15" s="84">
        <v>133060</v>
      </c>
      <c r="R15" s="253" t="s">
        <v>176</v>
      </c>
    </row>
    <row r="16" spans="1:18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>
        <v>12053713</v>
      </c>
      <c r="G16" s="95">
        <v>6212114</v>
      </c>
      <c r="H16" s="92">
        <v>6830796</v>
      </c>
      <c r="I16" s="92">
        <v>7137815</v>
      </c>
      <c r="J16" s="92">
        <v>7372994</v>
      </c>
      <c r="K16" s="92">
        <v>8255001</v>
      </c>
      <c r="L16" s="92">
        <v>8217179</v>
      </c>
      <c r="M16" s="92">
        <v>8659165</v>
      </c>
      <c r="N16" s="92">
        <v>8866345</v>
      </c>
      <c r="O16" s="92">
        <v>197453</v>
      </c>
      <c r="P16" s="92">
        <v>1367</v>
      </c>
      <c r="Q16" s="92">
        <v>-20167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68">
        <f t="shared" ref="F17:P17" si="0">SUM(F5:F16)</f>
        <v>31563724.82</v>
      </c>
      <c r="G17" s="168">
        <f t="shared" si="0"/>
        <v>80584150</v>
      </c>
      <c r="H17" s="168">
        <f t="shared" si="0"/>
        <v>83382680</v>
      </c>
      <c r="I17" s="168">
        <f t="shared" si="0"/>
        <v>89185673</v>
      </c>
      <c r="J17" s="168">
        <f t="shared" si="0"/>
        <v>92794257</v>
      </c>
      <c r="K17" s="168">
        <f t="shared" si="0"/>
        <v>99261325</v>
      </c>
      <c r="L17" s="168">
        <f t="shared" si="0"/>
        <v>102219926</v>
      </c>
      <c r="M17" s="168">
        <f t="shared" si="0"/>
        <v>107486211</v>
      </c>
      <c r="N17" s="168">
        <f t="shared" si="0"/>
        <v>109478940</v>
      </c>
      <c r="O17" s="168">
        <f t="shared" si="0"/>
        <v>94335541</v>
      </c>
      <c r="P17" s="168">
        <f t="shared" si="0"/>
        <v>914465</v>
      </c>
      <c r="Q17" s="168">
        <f t="shared" ref="Q17:R17" si="1">SUM(Q5:Q16)</f>
        <v>779981</v>
      </c>
      <c r="R17" s="172">
        <f t="shared" si="1"/>
        <v>381659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173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97" t="s">
        <v>176</v>
      </c>
      <c r="G21" s="177">
        <v>708387</v>
      </c>
      <c r="H21" s="174">
        <v>695753</v>
      </c>
      <c r="I21" s="174">
        <v>921008</v>
      </c>
      <c r="J21" s="174">
        <v>879799</v>
      </c>
      <c r="K21" s="174">
        <v>862770</v>
      </c>
      <c r="L21" s="174">
        <v>1049173</v>
      </c>
      <c r="M21" s="174">
        <v>1310802</v>
      </c>
      <c r="N21" s="174">
        <v>950345</v>
      </c>
      <c r="O21" s="174">
        <v>1046414</v>
      </c>
      <c r="P21" s="174">
        <v>149969</v>
      </c>
      <c r="Q21" s="174">
        <v>4806610</v>
      </c>
      <c r="R21" s="265">
        <v>163759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4" t="s">
        <v>176</v>
      </c>
      <c r="G22" s="85">
        <v>598064</v>
      </c>
      <c r="H22" s="84">
        <v>576979</v>
      </c>
      <c r="I22" s="84">
        <v>540696</v>
      </c>
      <c r="J22" s="84">
        <v>745915</v>
      </c>
      <c r="K22" s="84">
        <v>708033</v>
      </c>
      <c r="L22" s="84">
        <v>938613</v>
      </c>
      <c r="M22" s="84">
        <v>777062</v>
      </c>
      <c r="N22" s="84">
        <v>809161</v>
      </c>
      <c r="O22" s="84">
        <v>547938</v>
      </c>
      <c r="P22" s="84">
        <v>80507</v>
      </c>
      <c r="Q22" s="84">
        <v>14300</v>
      </c>
      <c r="R22" s="266">
        <v>-94585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4" t="s">
        <v>176</v>
      </c>
      <c r="G23" s="85">
        <v>462394</v>
      </c>
      <c r="H23" s="84">
        <v>586129</v>
      </c>
      <c r="I23" s="84">
        <v>492122</v>
      </c>
      <c r="J23" s="84">
        <v>530411</v>
      </c>
      <c r="K23" s="84">
        <v>512281</v>
      </c>
      <c r="L23" s="84">
        <v>618841</v>
      </c>
      <c r="M23" s="84">
        <v>277251</v>
      </c>
      <c r="N23" s="84">
        <v>676856</v>
      </c>
      <c r="O23" s="84">
        <v>612515</v>
      </c>
      <c r="P23" s="84">
        <v>-252848</v>
      </c>
      <c r="Q23" s="84">
        <v>-100874</v>
      </c>
      <c r="R23" s="267">
        <v>33162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4" t="s">
        <v>176</v>
      </c>
      <c r="G24" s="85">
        <v>555703</v>
      </c>
      <c r="H24" s="84">
        <v>631609</v>
      </c>
      <c r="I24" s="84">
        <v>591224</v>
      </c>
      <c r="J24" s="84">
        <v>565545</v>
      </c>
      <c r="K24" s="84">
        <v>714200</v>
      </c>
      <c r="L24" s="84">
        <v>1022975</v>
      </c>
      <c r="M24" s="84">
        <v>799755</v>
      </c>
      <c r="N24" s="84">
        <v>770323</v>
      </c>
      <c r="O24" s="84">
        <v>628164</v>
      </c>
      <c r="P24" s="84">
        <v>64706</v>
      </c>
      <c r="Q24" s="84">
        <v>-10669</v>
      </c>
      <c r="R24" s="268">
        <v>13618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4" t="s">
        <v>176</v>
      </c>
      <c r="G25" s="85">
        <v>491712</v>
      </c>
      <c r="H25" s="84">
        <v>485640</v>
      </c>
      <c r="I25" s="84">
        <v>599949</v>
      </c>
      <c r="J25" s="84">
        <v>608647</v>
      </c>
      <c r="K25" s="84">
        <v>685468</v>
      </c>
      <c r="L25" s="84">
        <v>804291</v>
      </c>
      <c r="M25" s="84">
        <v>784971</v>
      </c>
      <c r="N25" s="84">
        <v>763497</v>
      </c>
      <c r="O25" s="84">
        <v>721697</v>
      </c>
      <c r="P25" s="84">
        <v>110632</v>
      </c>
      <c r="Q25" s="84">
        <v>36558</v>
      </c>
      <c r="R25" s="267">
        <v>115161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4" t="s">
        <v>176</v>
      </c>
      <c r="G26" s="85">
        <v>559532</v>
      </c>
      <c r="H26" s="84">
        <v>489224</v>
      </c>
      <c r="I26" s="84">
        <v>580062</v>
      </c>
      <c r="J26" s="84">
        <v>672210</v>
      </c>
      <c r="K26" s="84">
        <v>668340</v>
      </c>
      <c r="L26" s="84">
        <v>670580</v>
      </c>
      <c r="M26" s="84">
        <v>741355</v>
      </c>
      <c r="N26" s="84">
        <v>506236</v>
      </c>
      <c r="O26" s="84">
        <v>1067100</v>
      </c>
      <c r="P26" s="84">
        <v>-12530</v>
      </c>
      <c r="Q26" s="84">
        <v>16653</v>
      </c>
      <c r="R26" s="269">
        <v>-71316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176">
        <v>1</v>
      </c>
      <c r="G27" s="85">
        <v>445213</v>
      </c>
      <c r="H27" s="84">
        <v>464026</v>
      </c>
      <c r="I27" s="84">
        <v>591064</v>
      </c>
      <c r="J27" s="84">
        <v>652674</v>
      </c>
      <c r="K27" s="84">
        <v>668283</v>
      </c>
      <c r="L27" s="84">
        <v>716108</v>
      </c>
      <c r="M27" s="84">
        <v>700200</v>
      </c>
      <c r="N27" s="84">
        <v>726682</v>
      </c>
      <c r="O27" s="84">
        <v>741062</v>
      </c>
      <c r="P27" s="84">
        <v>60957</v>
      </c>
      <c r="Q27" s="84">
        <v>-105814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4">
        <v>413407</v>
      </c>
      <c r="G28" s="85">
        <v>644805</v>
      </c>
      <c r="H28" s="84">
        <v>634339</v>
      </c>
      <c r="I28" s="84">
        <v>681191</v>
      </c>
      <c r="J28" s="84">
        <v>777441</v>
      </c>
      <c r="K28" s="84">
        <v>867176</v>
      </c>
      <c r="L28" s="84">
        <v>734943</v>
      </c>
      <c r="M28" s="84">
        <v>1095786</v>
      </c>
      <c r="N28" s="84">
        <v>758456</v>
      </c>
      <c r="O28" s="84">
        <v>774521</v>
      </c>
      <c r="P28" s="84">
        <v>21187</v>
      </c>
      <c r="Q28" s="84">
        <v>-102370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4">
        <v>498629.99</v>
      </c>
      <c r="G29" s="85">
        <v>452763</v>
      </c>
      <c r="H29" s="84">
        <v>517155</v>
      </c>
      <c r="I29" s="84">
        <v>666115</v>
      </c>
      <c r="J29" s="84">
        <v>720387</v>
      </c>
      <c r="K29" s="84">
        <v>592787</v>
      </c>
      <c r="L29" s="84">
        <v>727260</v>
      </c>
      <c r="M29" s="84">
        <v>649408</v>
      </c>
      <c r="N29" s="84">
        <v>655591</v>
      </c>
      <c r="O29" s="84">
        <v>617135</v>
      </c>
      <c r="P29" s="84">
        <v>41689</v>
      </c>
      <c r="Q29" s="84">
        <v>-6237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4">
        <v>566288.98</v>
      </c>
      <c r="G30" s="85">
        <v>537759</v>
      </c>
      <c r="H30" s="84">
        <v>574278</v>
      </c>
      <c r="I30" s="84">
        <v>677729</v>
      </c>
      <c r="J30" s="84">
        <v>792629</v>
      </c>
      <c r="K30" s="84">
        <v>910972</v>
      </c>
      <c r="L30" s="84">
        <v>582536</v>
      </c>
      <c r="M30" s="84">
        <v>765338</v>
      </c>
      <c r="N30" s="84">
        <v>679830</v>
      </c>
      <c r="O30" s="84">
        <v>756868</v>
      </c>
      <c r="P30" s="84">
        <v>68711</v>
      </c>
      <c r="Q30" s="84">
        <v>2768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4" t="s">
        <v>12</v>
      </c>
      <c r="G31" s="85">
        <v>510735</v>
      </c>
      <c r="H31" s="84">
        <v>552008</v>
      </c>
      <c r="I31" s="84">
        <v>643189</v>
      </c>
      <c r="J31" s="84">
        <v>707299</v>
      </c>
      <c r="K31" s="84">
        <v>854824</v>
      </c>
      <c r="L31" s="84">
        <v>907164</v>
      </c>
      <c r="M31" s="84">
        <v>650000</v>
      </c>
      <c r="N31" s="84">
        <v>711662</v>
      </c>
      <c r="O31" s="84">
        <v>64442</v>
      </c>
      <c r="P31" s="84">
        <v>-105434</v>
      </c>
      <c r="Q31" s="84">
        <v>-8586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>
        <v>982597</v>
      </c>
      <c r="G32" s="95">
        <v>439604</v>
      </c>
      <c r="H32" s="92">
        <v>579433</v>
      </c>
      <c r="I32" s="92">
        <v>603562</v>
      </c>
      <c r="J32" s="92">
        <v>630242</v>
      </c>
      <c r="K32" s="92">
        <v>794473</v>
      </c>
      <c r="L32" s="92">
        <v>651736</v>
      </c>
      <c r="M32" s="92">
        <v>620733</v>
      </c>
      <c r="N32" s="92">
        <v>481207</v>
      </c>
      <c r="O32" s="92">
        <v>45358</v>
      </c>
      <c r="P32" s="92">
        <v>41668</v>
      </c>
      <c r="Q32" s="92">
        <v>26943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68">
        <f t="shared" ref="F33:P33" si="2">SUM(F21:F32)</f>
        <v>2460923.9699999997</v>
      </c>
      <c r="G33" s="168">
        <f t="shared" si="2"/>
        <v>6406671</v>
      </c>
      <c r="H33" s="168">
        <f t="shared" si="2"/>
        <v>6786573</v>
      </c>
      <c r="I33" s="168">
        <f t="shared" si="2"/>
        <v>7587911</v>
      </c>
      <c r="J33" s="168">
        <f t="shared" si="2"/>
        <v>8283199</v>
      </c>
      <c r="K33" s="168">
        <f t="shared" si="2"/>
        <v>8839607</v>
      </c>
      <c r="L33" s="168">
        <f t="shared" si="2"/>
        <v>9424220</v>
      </c>
      <c r="M33" s="168">
        <f t="shared" si="2"/>
        <v>9172661</v>
      </c>
      <c r="N33" s="168">
        <f t="shared" si="2"/>
        <v>8489846</v>
      </c>
      <c r="O33" s="168">
        <f t="shared" si="2"/>
        <v>7623214</v>
      </c>
      <c r="P33" s="168">
        <f t="shared" si="2"/>
        <v>269214</v>
      </c>
      <c r="Q33" s="168">
        <f t="shared" ref="Q33:R33" si="3">SUM(Q21:Q32)</f>
        <v>4569282</v>
      </c>
      <c r="R33" s="172">
        <f t="shared" si="3"/>
        <v>159799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24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97" t="s">
        <v>176</v>
      </c>
      <c r="G37" s="177">
        <v>-28743</v>
      </c>
      <c r="H37" s="174">
        <v>-164017</v>
      </c>
      <c r="I37" s="174">
        <v>-15833</v>
      </c>
      <c r="J37" s="174">
        <v>-188012</v>
      </c>
      <c r="K37" s="174">
        <v>-205695</v>
      </c>
      <c r="L37" s="174">
        <v>-167281</v>
      </c>
      <c r="M37" s="174">
        <v>-448552</v>
      </c>
      <c r="N37" s="174">
        <v>-362098</v>
      </c>
      <c r="O37" s="174">
        <v>-73054</v>
      </c>
      <c r="P37" s="174">
        <v>-138599</v>
      </c>
      <c r="Q37" s="174">
        <v>-1047503</v>
      </c>
      <c r="R37" s="275">
        <v>-45959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4" t="s">
        <v>176</v>
      </c>
      <c r="G38" s="85">
        <v>-30082</v>
      </c>
      <c r="H38" s="84">
        <v>-178512</v>
      </c>
      <c r="I38" s="84">
        <v>-902139</v>
      </c>
      <c r="J38" s="84">
        <v>-512605</v>
      </c>
      <c r="K38" s="84">
        <v>-175818</v>
      </c>
      <c r="L38" s="84">
        <v>-641366</v>
      </c>
      <c r="M38" s="84">
        <v>-723738</v>
      </c>
      <c r="N38" s="84">
        <v>-744127</v>
      </c>
      <c r="O38" s="84">
        <v>-187401</v>
      </c>
      <c r="P38" s="84">
        <v>-369380</v>
      </c>
      <c r="Q38" s="84">
        <v>-125071</v>
      </c>
      <c r="R38" s="266">
        <v>-707817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4" t="s">
        <v>176</v>
      </c>
      <c r="G39" s="85">
        <v>-131815</v>
      </c>
      <c r="H39" s="84">
        <v>-99772</v>
      </c>
      <c r="I39" s="84">
        <v>-241987</v>
      </c>
      <c r="J39" s="84">
        <v>-290547</v>
      </c>
      <c r="K39" s="84">
        <v>-144676</v>
      </c>
      <c r="L39" s="84">
        <v>-145406</v>
      </c>
      <c r="M39" s="84">
        <v>-488272</v>
      </c>
      <c r="N39" s="84">
        <v>-422264</v>
      </c>
      <c r="O39" s="84">
        <v>-527267</v>
      </c>
      <c r="P39" s="84">
        <v>-570965</v>
      </c>
      <c r="Q39" s="84">
        <v>-134058</v>
      </c>
      <c r="R39" s="276">
        <v>-246802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4" t="s">
        <v>176</v>
      </c>
      <c r="G40" s="85">
        <v>-62385</v>
      </c>
      <c r="H40" s="84">
        <v>-68750</v>
      </c>
      <c r="I40" s="84">
        <v>-173650</v>
      </c>
      <c r="J40" s="84">
        <v>-66712</v>
      </c>
      <c r="K40" s="84">
        <v>-147796</v>
      </c>
      <c r="L40" s="84">
        <v>-238626</v>
      </c>
      <c r="M40" s="84">
        <v>-194128</v>
      </c>
      <c r="N40" s="84">
        <v>-248359</v>
      </c>
      <c r="O40" s="84">
        <v>-81610</v>
      </c>
      <c r="P40" s="84">
        <v>-465382</v>
      </c>
      <c r="Q40" s="84">
        <v>-196001</v>
      </c>
      <c r="R40" s="266">
        <v>-32434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4" t="s">
        <v>176</v>
      </c>
      <c r="G41" s="85">
        <v>-130737</v>
      </c>
      <c r="H41" s="84">
        <v>-210568</v>
      </c>
      <c r="I41" s="84">
        <v>-141649</v>
      </c>
      <c r="J41" s="84">
        <v>-120226</v>
      </c>
      <c r="K41" s="84">
        <v>-507305</v>
      </c>
      <c r="L41" s="84">
        <v>-174361</v>
      </c>
      <c r="M41" s="84">
        <v>-138004</v>
      </c>
      <c r="N41" s="84">
        <v>-98238</v>
      </c>
      <c r="O41" s="84">
        <v>-272912</v>
      </c>
      <c r="P41" s="84">
        <v>-488334</v>
      </c>
      <c r="Q41" s="84">
        <v>-38169</v>
      </c>
      <c r="R41" s="277">
        <v>-49283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4" t="s">
        <v>176</v>
      </c>
      <c r="G42" s="85">
        <v>-56728</v>
      </c>
      <c r="H42" s="84">
        <v>-42488</v>
      </c>
      <c r="I42" s="84">
        <v>-179413</v>
      </c>
      <c r="J42" s="84">
        <v>-118922</v>
      </c>
      <c r="K42" s="84">
        <v>-201216</v>
      </c>
      <c r="L42" s="84">
        <v>-162452</v>
      </c>
      <c r="M42" s="84">
        <v>-631153</v>
      </c>
      <c r="N42" s="84">
        <v>-371470</v>
      </c>
      <c r="O42" s="84">
        <v>-752298</v>
      </c>
      <c r="P42" s="84">
        <v>-251184</v>
      </c>
      <c r="Q42" s="84">
        <v>-53825</v>
      </c>
      <c r="R42" s="277">
        <v>-154808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176">
        <v>0</v>
      </c>
      <c r="G43" s="85">
        <v>-48991</v>
      </c>
      <c r="H43" s="84">
        <v>-6450</v>
      </c>
      <c r="I43" s="84">
        <v>-159517</v>
      </c>
      <c r="J43" s="84">
        <v>-239374</v>
      </c>
      <c r="K43" s="84">
        <v>-260308</v>
      </c>
      <c r="L43" s="84">
        <v>-121644</v>
      </c>
      <c r="M43" s="84">
        <v>-195806</v>
      </c>
      <c r="N43" s="84">
        <v>-277965</v>
      </c>
      <c r="O43" s="84">
        <v>-379952</v>
      </c>
      <c r="P43" s="84">
        <v>-114621</v>
      </c>
      <c r="Q43" s="84">
        <v>-166527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4">
        <v>0</v>
      </c>
      <c r="G44" s="85">
        <v>-156110</v>
      </c>
      <c r="H44" s="84">
        <v>-29783</v>
      </c>
      <c r="I44" s="84">
        <v>-189975</v>
      </c>
      <c r="J44" s="84">
        <v>-227222</v>
      </c>
      <c r="K44" s="84">
        <v>-237483</v>
      </c>
      <c r="L44" s="84">
        <v>-171707</v>
      </c>
      <c r="M44" s="84">
        <v>-254189</v>
      </c>
      <c r="N44" s="84">
        <v>-512756</v>
      </c>
      <c r="O44" s="84">
        <v>-115963</v>
      </c>
      <c r="P44" s="84">
        <v>-259132</v>
      </c>
      <c r="Q44" s="84">
        <v>-15954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4">
        <v>0</v>
      </c>
      <c r="G45" s="85">
        <v>-56376</v>
      </c>
      <c r="H45" s="84">
        <v>-13304</v>
      </c>
      <c r="I45" s="84">
        <v>-212802</v>
      </c>
      <c r="J45" s="84">
        <v>-436620</v>
      </c>
      <c r="K45" s="84">
        <v>-128592</v>
      </c>
      <c r="L45" s="84">
        <v>-98063</v>
      </c>
      <c r="M45" s="84">
        <v>-940683</v>
      </c>
      <c r="N45" s="84">
        <v>-159717</v>
      </c>
      <c r="O45" s="84">
        <v>-564607</v>
      </c>
      <c r="P45" s="84">
        <v>-443574</v>
      </c>
      <c r="Q45" s="84">
        <v>-6154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4">
        <v>0</v>
      </c>
      <c r="G46" s="85">
        <v>-126721</v>
      </c>
      <c r="H46" s="84">
        <v>-10219</v>
      </c>
      <c r="I46" s="84">
        <v>-244387</v>
      </c>
      <c r="J46" s="84">
        <v>-193253</v>
      </c>
      <c r="K46" s="84">
        <v>-520475</v>
      </c>
      <c r="L46" s="84">
        <v>-490910</v>
      </c>
      <c r="M46" s="84">
        <v>-91688</v>
      </c>
      <c r="N46" s="84">
        <v>-187946</v>
      </c>
      <c r="O46" s="84">
        <v>-272689</v>
      </c>
      <c r="P46" s="84">
        <v>-130230</v>
      </c>
      <c r="Q46" s="84">
        <v>-128022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4" t="s">
        <v>12</v>
      </c>
      <c r="G47" s="85">
        <v>-40069</v>
      </c>
      <c r="H47" s="84">
        <v>-491543</v>
      </c>
      <c r="I47" s="84">
        <v>-305825</v>
      </c>
      <c r="J47" s="84">
        <v>-239545</v>
      </c>
      <c r="K47" s="84">
        <v>-308002</v>
      </c>
      <c r="L47" s="84">
        <v>-257069</v>
      </c>
      <c r="M47" s="84">
        <v>-171270</v>
      </c>
      <c r="N47" s="84">
        <v>-88384</v>
      </c>
      <c r="O47" s="84">
        <v>-242525</v>
      </c>
      <c r="P47" s="84">
        <v>-202514</v>
      </c>
      <c r="Q47" s="84">
        <v>-573122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>
        <v>-8254</v>
      </c>
      <c r="G48" s="95">
        <v>-42119</v>
      </c>
      <c r="H48" s="92">
        <v>-29386</v>
      </c>
      <c r="I48" s="92">
        <v>-268375</v>
      </c>
      <c r="J48" s="92">
        <v>-146228</v>
      </c>
      <c r="K48" s="92">
        <v>-289329</v>
      </c>
      <c r="L48" s="92">
        <v>-846999</v>
      </c>
      <c r="M48" s="92">
        <v>-292323</v>
      </c>
      <c r="N48" s="92">
        <v>-185277</v>
      </c>
      <c r="O48" s="92">
        <v>-100525</v>
      </c>
      <c r="P48" s="92">
        <v>-38660</v>
      </c>
      <c r="Q48" s="92">
        <v>-7528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68">
        <f t="shared" ref="F49:P49" si="4">SUM(F37:F48)</f>
        <v>-8254</v>
      </c>
      <c r="G49" s="168">
        <f t="shared" si="4"/>
        <v>-910876</v>
      </c>
      <c r="H49" s="168">
        <f t="shared" si="4"/>
        <v>-1344792</v>
      </c>
      <c r="I49" s="168">
        <f t="shared" si="4"/>
        <v>-3035552</v>
      </c>
      <c r="J49" s="168">
        <f t="shared" si="4"/>
        <v>-2779266</v>
      </c>
      <c r="K49" s="168">
        <f t="shared" si="4"/>
        <v>-3126695</v>
      </c>
      <c r="L49" s="168">
        <f t="shared" si="4"/>
        <v>-3515884</v>
      </c>
      <c r="M49" s="168">
        <f t="shared" si="4"/>
        <v>-4569806</v>
      </c>
      <c r="N49" s="168">
        <f t="shared" si="4"/>
        <v>-3658601</v>
      </c>
      <c r="O49" s="168">
        <f t="shared" si="4"/>
        <v>-3570803</v>
      </c>
      <c r="P49" s="168">
        <f t="shared" si="4"/>
        <v>-3472575</v>
      </c>
      <c r="Q49" s="168">
        <f t="shared" ref="Q49:R49" si="5">SUM(Q37:Q48)</f>
        <v>-2491934</v>
      </c>
      <c r="R49" s="278">
        <f t="shared" si="5"/>
        <v>-1237103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179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58" t="s">
        <v>15</v>
      </c>
      <c r="B52" s="358"/>
      <c r="C52" s="358"/>
      <c r="D52" s="358"/>
      <c r="E52" s="358"/>
      <c r="F52" s="358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</row>
    <row r="53" spans="1:18" s="48" customFormat="1" ht="14">
      <c r="A53" s="322" t="s">
        <v>289</v>
      </c>
      <c r="B53" s="322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</row>
    <row r="54" spans="1:18" s="48" customFormat="1" ht="14">
      <c r="A54" s="321" t="str">
        <f>'Local SUT'!A67</f>
        <v>Source:  Minnesota Department of Revenue, Tax Research Division, February 2021</v>
      </c>
      <c r="B54" s="321"/>
      <c r="C54" s="321"/>
      <c r="D54" s="321"/>
      <c r="E54" s="321"/>
      <c r="F54" s="321"/>
      <c r="G54" s="321"/>
      <c r="H54" s="321"/>
      <c r="I54" s="321"/>
      <c r="J54" s="321"/>
      <c r="K54" s="321"/>
      <c r="L54" s="321"/>
      <c r="M54" s="321"/>
      <c r="N54" s="321"/>
      <c r="O54" s="321"/>
      <c r="P54" s="321"/>
      <c r="Q54" s="321"/>
      <c r="R54" s="321"/>
    </row>
    <row r="55" spans="1:18" s="48" customFormat="1" ht="14.5" customHeight="1">
      <c r="A55" s="323" t="s">
        <v>174</v>
      </c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323"/>
    </row>
    <row r="67" spans="1:10">
      <c r="A67" s="153"/>
      <c r="B67" s="153"/>
      <c r="C67" s="153"/>
      <c r="D67" s="153"/>
      <c r="E67" s="153"/>
      <c r="F67" s="153"/>
      <c r="G67" s="153"/>
      <c r="H67" s="153"/>
      <c r="I67" s="153"/>
      <c r="J67" s="153"/>
    </row>
  </sheetData>
  <mergeCells count="13">
    <mergeCell ref="A51:R51"/>
    <mergeCell ref="A52:R52"/>
    <mergeCell ref="A53:R53"/>
    <mergeCell ref="A54:R54"/>
    <mergeCell ref="A55:R55"/>
    <mergeCell ref="A34:R34"/>
    <mergeCell ref="A35:R35"/>
    <mergeCell ref="A50:R50"/>
    <mergeCell ref="A1:R1"/>
    <mergeCell ref="A2:R2"/>
    <mergeCell ref="A3:R3"/>
    <mergeCell ref="A18:R18"/>
    <mergeCell ref="A19:R19"/>
  </mergeCells>
  <pageMargins left="0" right="0" top="0.75" bottom="0" header="0.3" footer="0.3"/>
  <pageSetup scale="75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7">
    <pageSetUpPr fitToPage="1"/>
  </sheetPr>
  <dimension ref="A1:S180"/>
  <sheetViews>
    <sheetView showGridLines="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256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39" t="str">
        <f>'Local SUT'!A2</f>
        <v>CY 2004-2020</v>
      </c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</row>
    <row r="3" spans="1:19" s="45" customFormat="1" ht="19">
      <c r="A3" s="348" t="s">
        <v>75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122" t="s">
        <v>176</v>
      </c>
      <c r="K5" s="122" t="s">
        <v>176</v>
      </c>
      <c r="L5" s="122" t="s">
        <v>176</v>
      </c>
      <c r="M5" s="122" t="s">
        <v>176</v>
      </c>
      <c r="N5" s="122" t="s">
        <v>176</v>
      </c>
      <c r="O5" s="177">
        <v>587274</v>
      </c>
      <c r="P5" s="177">
        <v>557825</v>
      </c>
      <c r="Q5" s="177">
        <v>590289</v>
      </c>
      <c r="R5" s="255">
        <v>615162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414563</v>
      </c>
      <c r="P6" s="84">
        <v>439225</v>
      </c>
      <c r="Q6" s="84">
        <v>449640</v>
      </c>
      <c r="R6" s="256">
        <v>460944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386758</v>
      </c>
      <c r="P7" s="84">
        <v>395827</v>
      </c>
      <c r="Q7" s="84">
        <v>394546</v>
      </c>
      <c r="R7" s="257">
        <v>453601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179">
        <v>405</v>
      </c>
      <c r="O8" s="84">
        <v>465795</v>
      </c>
      <c r="P8" s="84">
        <v>494370</v>
      </c>
      <c r="Q8" s="84">
        <v>498215</v>
      </c>
      <c r="R8" s="257">
        <v>465354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445640</v>
      </c>
      <c r="O9" s="84">
        <v>465897</v>
      </c>
      <c r="P9" s="84">
        <v>446936</v>
      </c>
      <c r="Q9" s="84">
        <v>487088</v>
      </c>
      <c r="R9" s="258">
        <v>437810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464488</v>
      </c>
      <c r="O10" s="84">
        <v>491143</v>
      </c>
      <c r="P10" s="84">
        <v>519512</v>
      </c>
      <c r="Q10" s="84">
        <v>516335</v>
      </c>
      <c r="R10" s="259">
        <v>530252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446517</v>
      </c>
      <c r="O11" s="84">
        <v>480157</v>
      </c>
      <c r="P11" s="84">
        <v>473085</v>
      </c>
      <c r="Q11" s="84">
        <v>513888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538529</v>
      </c>
      <c r="O12" s="84">
        <v>542988</v>
      </c>
      <c r="P12" s="84">
        <v>582975</v>
      </c>
      <c r="Q12" s="84">
        <v>552254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492730</v>
      </c>
      <c r="O13" s="84">
        <v>504260</v>
      </c>
      <c r="P13" s="84">
        <v>526244</v>
      </c>
      <c r="Q13" s="84">
        <v>547186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488004</v>
      </c>
      <c r="O14" s="84">
        <v>494946</v>
      </c>
      <c r="P14" s="84">
        <v>510151</v>
      </c>
      <c r="Q14" s="84">
        <v>529397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472359</v>
      </c>
      <c r="O15" s="84">
        <v>472539</v>
      </c>
      <c r="P15" s="84">
        <v>523729</v>
      </c>
      <c r="Q15" s="84">
        <v>540009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468684</v>
      </c>
      <c r="O16" s="92">
        <v>485678</v>
      </c>
      <c r="P16" s="92">
        <v>546920</v>
      </c>
      <c r="Q16" s="92">
        <v>536155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3817356</v>
      </c>
      <c r="O17" s="168">
        <f>SUM(O5:O16)</f>
        <v>5791998</v>
      </c>
      <c r="P17" s="168">
        <f>SUM(P5:P16)</f>
        <v>6016799</v>
      </c>
      <c r="Q17" s="168">
        <f>SUM(Q5:Q16)</f>
        <v>6155002</v>
      </c>
      <c r="R17" s="172">
        <f t="shared" ref="R17" si="0">SUM(R5:R16)</f>
        <v>2963123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76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139" t="s">
        <v>0</v>
      </c>
      <c r="B20" s="137">
        <v>2004</v>
      </c>
      <c r="C20" s="133">
        <v>2005</v>
      </c>
      <c r="D20" s="133">
        <v>2006</v>
      </c>
      <c r="E20" s="133">
        <v>2007</v>
      </c>
      <c r="F20" s="133">
        <v>2008</v>
      </c>
      <c r="G20" s="133">
        <v>2009</v>
      </c>
      <c r="H20" s="133">
        <v>2010</v>
      </c>
      <c r="I20" s="133">
        <v>2011</v>
      </c>
      <c r="J20" s="134">
        <v>2012</v>
      </c>
      <c r="K20" s="134">
        <v>2013</v>
      </c>
      <c r="L20" s="134">
        <v>2014</v>
      </c>
      <c r="M20" s="134">
        <v>2015</v>
      </c>
      <c r="N20" s="134">
        <v>2016</v>
      </c>
      <c r="O20" s="134">
        <v>2017</v>
      </c>
      <c r="P20" s="134">
        <v>2018</v>
      </c>
      <c r="Q20" s="134">
        <v>2019</v>
      </c>
      <c r="R20" s="119">
        <v>2020</v>
      </c>
    </row>
    <row r="21" spans="1:18" s="46" customFormat="1" ht="16">
      <c r="A21" s="215" t="s">
        <v>1</v>
      </c>
      <c r="B21" s="216" t="s">
        <v>176</v>
      </c>
      <c r="C21" s="217" t="s">
        <v>176</v>
      </c>
      <c r="D21" s="217" t="s">
        <v>176</v>
      </c>
      <c r="E21" s="217" t="s">
        <v>176</v>
      </c>
      <c r="F21" s="217" t="s">
        <v>176</v>
      </c>
      <c r="G21" s="217" t="s">
        <v>176</v>
      </c>
      <c r="H21" s="217" t="s">
        <v>176</v>
      </c>
      <c r="I21" s="217" t="s">
        <v>176</v>
      </c>
      <c r="J21" s="217" t="s">
        <v>176</v>
      </c>
      <c r="K21" s="217" t="s">
        <v>176</v>
      </c>
      <c r="L21" s="217" t="s">
        <v>176</v>
      </c>
      <c r="M21" s="217" t="s">
        <v>176</v>
      </c>
      <c r="N21" s="217" t="s">
        <v>176</v>
      </c>
      <c r="O21" s="218">
        <v>13927</v>
      </c>
      <c r="P21" s="218">
        <v>25292</v>
      </c>
      <c r="Q21" s="218">
        <v>30339</v>
      </c>
      <c r="R21" s="265">
        <v>27567</v>
      </c>
    </row>
    <row r="22" spans="1:18" s="46" customFormat="1" ht="16">
      <c r="A22" s="105" t="s">
        <v>2</v>
      </c>
      <c r="B22" s="138" t="s">
        <v>176</v>
      </c>
      <c r="C22" s="135" t="s">
        <v>176</v>
      </c>
      <c r="D22" s="135" t="s">
        <v>176</v>
      </c>
      <c r="E22" s="135" t="s">
        <v>176</v>
      </c>
      <c r="F22" s="135" t="s">
        <v>176</v>
      </c>
      <c r="G22" s="135" t="s">
        <v>176</v>
      </c>
      <c r="H22" s="135" t="s">
        <v>176</v>
      </c>
      <c r="I22" s="135" t="s">
        <v>176</v>
      </c>
      <c r="J22" s="136" t="s">
        <v>176</v>
      </c>
      <c r="K22" s="136" t="s">
        <v>176</v>
      </c>
      <c r="L22" s="136" t="s">
        <v>176</v>
      </c>
      <c r="M22" s="136" t="s">
        <v>176</v>
      </c>
      <c r="N22" s="136" t="s">
        <v>176</v>
      </c>
      <c r="O22" s="136">
        <v>13901</v>
      </c>
      <c r="P22" s="136">
        <v>18511</v>
      </c>
      <c r="Q22" s="136">
        <v>25996</v>
      </c>
      <c r="R22" s="266">
        <v>17511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8904</v>
      </c>
      <c r="P23" s="84">
        <v>16041</v>
      </c>
      <c r="Q23" s="84">
        <v>16882</v>
      </c>
      <c r="R23" s="267">
        <v>17393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179">
        <v>0</v>
      </c>
      <c r="O24" s="84">
        <v>18415</v>
      </c>
      <c r="P24" s="84">
        <v>21993</v>
      </c>
      <c r="Q24" s="84">
        <v>27379</v>
      </c>
      <c r="R24" s="268">
        <v>17768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14850</v>
      </c>
      <c r="O25" s="84">
        <v>15737</v>
      </c>
      <c r="P25" s="84">
        <v>18153</v>
      </c>
      <c r="Q25" s="84">
        <v>24261</v>
      </c>
      <c r="R25" s="267">
        <v>8098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15634</v>
      </c>
      <c r="O26" s="84">
        <v>16403</v>
      </c>
      <c r="P26" s="84">
        <v>24318</v>
      </c>
      <c r="Q26" s="84">
        <v>25191</v>
      </c>
      <c r="R26" s="269">
        <v>17618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16119</v>
      </c>
      <c r="O27" s="84">
        <v>22034</v>
      </c>
      <c r="P27" s="84">
        <v>29695</v>
      </c>
      <c r="Q27" s="84">
        <v>19728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21539</v>
      </c>
      <c r="O28" s="84">
        <v>24836</v>
      </c>
      <c r="P28" s="84">
        <v>26888</v>
      </c>
      <c r="Q28" s="84">
        <v>27191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18242</v>
      </c>
      <c r="O29" s="84">
        <v>31304</v>
      </c>
      <c r="P29" s="84">
        <v>23910</v>
      </c>
      <c r="Q29" s="84">
        <v>31711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20455</v>
      </c>
      <c r="O30" s="84">
        <v>22852</v>
      </c>
      <c r="P30" s="84">
        <v>30822</v>
      </c>
      <c r="Q30" s="84">
        <v>28566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17728</v>
      </c>
      <c r="O31" s="84">
        <v>21572</v>
      </c>
      <c r="P31" s="84">
        <v>26113</v>
      </c>
      <c r="Q31" s="84">
        <v>31918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19617</v>
      </c>
      <c r="O32" s="92">
        <v>19534</v>
      </c>
      <c r="P32" s="92">
        <v>26417</v>
      </c>
      <c r="Q32" s="92">
        <v>21102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144184</v>
      </c>
      <c r="O33" s="168">
        <f>SUM(O21:O32)</f>
        <v>229419</v>
      </c>
      <c r="P33" s="168">
        <f>SUM(P21:P32)</f>
        <v>288153</v>
      </c>
      <c r="Q33" s="168">
        <f>SUM(Q21:Q32)</f>
        <v>310264</v>
      </c>
      <c r="R33" s="172">
        <f t="shared" ref="R33" si="1">SUM(R21:R32)</f>
        <v>105955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95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122" t="s">
        <v>176</v>
      </c>
      <c r="K37" s="122" t="s">
        <v>176</v>
      </c>
      <c r="L37" s="122" t="s">
        <v>176</v>
      </c>
      <c r="M37" s="122" t="s">
        <v>176</v>
      </c>
      <c r="N37" s="122" t="s">
        <v>176</v>
      </c>
      <c r="O37" s="177">
        <v>-37</v>
      </c>
      <c r="P37" s="177">
        <v>-111</v>
      </c>
      <c r="Q37" s="177">
        <v>-169</v>
      </c>
      <c r="R37" s="275">
        <v>-8153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-218</v>
      </c>
      <c r="P38" s="84">
        <v>0</v>
      </c>
      <c r="Q38" s="84">
        <v>-7408</v>
      </c>
      <c r="R38" s="266">
        <v>-122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-2453</v>
      </c>
      <c r="P39" s="84">
        <v>0</v>
      </c>
      <c r="Q39" s="84">
        <v>-98</v>
      </c>
      <c r="R39" s="276">
        <v>-2343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179">
        <v>0</v>
      </c>
      <c r="O40" s="84">
        <v>-380</v>
      </c>
      <c r="P40" s="84">
        <v>-3754</v>
      </c>
      <c r="Q40" s="84">
        <v>-11034</v>
      </c>
      <c r="R40" s="266">
        <v>-1357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-209</v>
      </c>
      <c r="P41" s="84">
        <v>-41</v>
      </c>
      <c r="Q41" s="84">
        <v>-997</v>
      </c>
      <c r="R41" s="277">
        <v>-9196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-498</v>
      </c>
      <c r="P42" s="84">
        <v>-161</v>
      </c>
      <c r="Q42" s="84">
        <v>-293</v>
      </c>
      <c r="R42" s="277">
        <v>-294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-32</v>
      </c>
      <c r="P43" s="84">
        <v>-1537</v>
      </c>
      <c r="Q43" s="84">
        <v>-36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-4</v>
      </c>
      <c r="O44" s="84">
        <v>-80</v>
      </c>
      <c r="P44" s="84">
        <v>-183</v>
      </c>
      <c r="Q44" s="84">
        <v>-367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-27</v>
      </c>
      <c r="O45" s="84">
        <v>0</v>
      </c>
      <c r="P45" s="84">
        <v>0</v>
      </c>
      <c r="Q45" s="84">
        <v>-3690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-62</v>
      </c>
      <c r="O46" s="84">
        <v>-89</v>
      </c>
      <c r="P46" s="84">
        <v>-141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0</v>
      </c>
      <c r="P47" s="84">
        <v>-530</v>
      </c>
      <c r="Q47" s="84">
        <v>-1288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0</v>
      </c>
      <c r="O48" s="92">
        <v>-166</v>
      </c>
      <c r="P48" s="92">
        <v>-7571</v>
      </c>
      <c r="Q48" s="92">
        <v>-1085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-93</v>
      </c>
      <c r="O49" s="168">
        <f>SUM(O37:O48)</f>
        <v>-4162</v>
      </c>
      <c r="P49" s="168">
        <f>SUM(P37:P48)</f>
        <v>-14029</v>
      </c>
      <c r="Q49" s="168">
        <f>SUM(Q37:Q48)</f>
        <v>-26465</v>
      </c>
      <c r="R49" s="278">
        <f t="shared" ref="R49" si="2">SUM(R37:R48)</f>
        <v>-21465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52" t="s">
        <v>174</v>
      </c>
      <c r="B53" s="352"/>
      <c r="C53" s="352"/>
      <c r="D53" s="352"/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</row>
    <row r="54" spans="1:18">
      <c r="A54" s="132"/>
      <c r="B54" s="130"/>
      <c r="C54" s="131"/>
      <c r="D54" s="131"/>
      <c r="E54" s="131"/>
      <c r="F54" s="130"/>
      <c r="G54" s="130"/>
      <c r="H54" s="130"/>
      <c r="I54" s="130"/>
      <c r="J54" s="130"/>
      <c r="R54" s="48"/>
    </row>
    <row r="55" spans="1:18">
      <c r="A55" s="132"/>
      <c r="B55" s="130"/>
      <c r="C55" s="131"/>
      <c r="D55" s="131"/>
      <c r="E55" s="131"/>
      <c r="F55" s="130"/>
      <c r="G55" s="130"/>
      <c r="H55" s="130"/>
      <c r="I55" s="130"/>
      <c r="J55" s="130"/>
    </row>
    <row r="56" spans="1:18">
      <c r="A56" s="132"/>
      <c r="B56" s="130"/>
      <c r="C56" s="131"/>
      <c r="D56" s="131"/>
      <c r="E56" s="131"/>
      <c r="F56" s="130"/>
      <c r="G56" s="130"/>
      <c r="H56" s="130"/>
      <c r="I56" s="130"/>
      <c r="J56" s="130"/>
    </row>
    <row r="57" spans="1:18">
      <c r="A57" s="132"/>
      <c r="B57" s="130"/>
      <c r="C57" s="131"/>
      <c r="D57" s="131"/>
      <c r="E57" s="131"/>
      <c r="F57" s="130"/>
      <c r="G57" s="130"/>
      <c r="H57" s="130"/>
      <c r="I57" s="130"/>
      <c r="J57" s="130"/>
    </row>
    <row r="58" spans="1:18">
      <c r="A58" s="132"/>
      <c r="B58" s="130"/>
      <c r="C58" s="131"/>
      <c r="D58" s="131"/>
      <c r="E58" s="131"/>
      <c r="F58" s="130"/>
      <c r="G58" s="130"/>
      <c r="H58" s="130"/>
      <c r="I58" s="130"/>
      <c r="J58" s="130"/>
    </row>
    <row r="59" spans="1:18">
      <c r="A59" s="132"/>
      <c r="B59" s="130"/>
      <c r="C59" s="131"/>
      <c r="D59" s="131"/>
      <c r="E59" s="131"/>
      <c r="F59" s="130"/>
      <c r="G59" s="130"/>
      <c r="H59" s="130"/>
      <c r="I59" s="130"/>
      <c r="J59" s="130"/>
    </row>
    <row r="60" spans="1:18">
      <c r="A60" s="132"/>
      <c r="B60" s="130"/>
      <c r="C60" s="130"/>
      <c r="D60" s="130"/>
      <c r="E60" s="130"/>
      <c r="F60" s="130"/>
      <c r="G60" s="130"/>
      <c r="H60" s="130"/>
      <c r="I60" s="130"/>
      <c r="J60" s="130"/>
    </row>
    <row r="61" spans="1:18">
      <c r="A61" s="132"/>
      <c r="B61" s="130"/>
      <c r="C61" s="130"/>
      <c r="D61" s="130"/>
      <c r="E61" s="130"/>
      <c r="F61" s="130"/>
      <c r="G61" s="130"/>
      <c r="H61" s="130"/>
      <c r="I61" s="130"/>
      <c r="J61" s="130"/>
    </row>
    <row r="62" spans="1:18">
      <c r="A62" s="132"/>
      <c r="B62" s="130"/>
      <c r="C62" s="130"/>
      <c r="D62" s="130"/>
      <c r="E62" s="130"/>
      <c r="F62" s="130"/>
      <c r="G62" s="130"/>
      <c r="H62" s="130"/>
      <c r="I62" s="130"/>
      <c r="J62" s="130"/>
    </row>
    <row r="63" spans="1:18">
      <c r="A63" s="132"/>
      <c r="B63" s="130"/>
      <c r="C63" s="130"/>
      <c r="D63" s="130"/>
      <c r="E63" s="130"/>
      <c r="F63" s="130"/>
      <c r="G63" s="130"/>
      <c r="H63" s="130"/>
      <c r="I63" s="130"/>
      <c r="J63" s="130"/>
    </row>
    <row r="64" spans="1:18">
      <c r="A64" s="132"/>
      <c r="B64" s="130"/>
      <c r="C64" s="130"/>
      <c r="D64" s="130"/>
      <c r="E64" s="130"/>
      <c r="F64" s="130"/>
      <c r="G64" s="130"/>
      <c r="H64" s="130"/>
      <c r="I64" s="130"/>
      <c r="J64" s="130"/>
    </row>
    <row r="65" spans="1:10">
      <c r="A65" s="132"/>
      <c r="B65" s="130"/>
      <c r="C65" s="130"/>
      <c r="D65" s="130"/>
      <c r="E65" s="130"/>
      <c r="F65" s="130"/>
      <c r="G65" s="130"/>
      <c r="H65" s="130"/>
      <c r="I65" s="130"/>
      <c r="J65" s="130"/>
    </row>
    <row r="66" spans="1:10">
      <c r="A66" s="132"/>
      <c r="B66" s="130"/>
      <c r="C66" s="130"/>
      <c r="D66" s="130"/>
      <c r="E66" s="130"/>
      <c r="F66" s="130"/>
      <c r="G66" s="130"/>
      <c r="H66" s="130"/>
      <c r="I66" s="130"/>
      <c r="J66" s="130"/>
    </row>
    <row r="67" spans="1:10">
      <c r="A67" s="132"/>
      <c r="B67" s="130"/>
    </row>
    <row r="68" spans="1:10">
      <c r="A68" s="132"/>
      <c r="B68" s="130"/>
    </row>
    <row r="69" spans="1:10">
      <c r="A69" s="132"/>
      <c r="B69" s="130"/>
    </row>
    <row r="70" spans="1:10">
      <c r="A70" s="132"/>
      <c r="B70" s="130"/>
    </row>
    <row r="71" spans="1:10">
      <c r="A71" s="132"/>
      <c r="B71" s="130"/>
    </row>
    <row r="72" spans="1:10">
      <c r="A72" s="132"/>
      <c r="B72" s="130"/>
    </row>
    <row r="73" spans="1:10">
      <c r="A73" s="132"/>
      <c r="B73" s="130"/>
    </row>
    <row r="74" spans="1:10">
      <c r="A74" s="132"/>
      <c r="B74" s="130"/>
    </row>
    <row r="75" spans="1:10">
      <c r="A75" s="132"/>
      <c r="B75" s="130"/>
    </row>
    <row r="76" spans="1:10">
      <c r="A76" s="132"/>
      <c r="B76" s="130"/>
    </row>
    <row r="77" spans="1:10">
      <c r="A77" s="132"/>
      <c r="B77" s="130"/>
    </row>
    <row r="78" spans="1:10">
      <c r="A78" s="132"/>
      <c r="B78" s="130"/>
    </row>
    <row r="79" spans="1:10">
      <c r="A79" s="132"/>
      <c r="B79" s="130"/>
    </row>
    <row r="80" spans="1:10">
      <c r="A80" s="132"/>
      <c r="B80" s="130"/>
    </row>
    <row r="81" spans="1:2">
      <c r="A81" s="132"/>
      <c r="B81" s="130"/>
    </row>
    <row r="82" spans="1:2">
      <c r="A82" s="132"/>
      <c r="B82" s="130"/>
    </row>
    <row r="83" spans="1:2">
      <c r="A83" s="132"/>
      <c r="B83" s="130"/>
    </row>
    <row r="84" spans="1:2">
      <c r="A84" s="132"/>
      <c r="B84" s="130"/>
    </row>
    <row r="85" spans="1:2">
      <c r="A85" s="132"/>
      <c r="B85" s="130"/>
    </row>
    <row r="86" spans="1:2">
      <c r="A86" s="132"/>
      <c r="B86" s="130"/>
    </row>
    <row r="87" spans="1:2">
      <c r="A87" s="132"/>
      <c r="B87" s="130"/>
    </row>
    <row r="88" spans="1:2">
      <c r="A88" s="132"/>
      <c r="B88" s="130"/>
    </row>
    <row r="89" spans="1:2">
      <c r="A89" s="132"/>
      <c r="B89" s="130"/>
    </row>
    <row r="90" spans="1:2">
      <c r="A90" s="132"/>
      <c r="B90" s="130"/>
    </row>
    <row r="91" spans="1:2">
      <c r="A91" s="132"/>
      <c r="B91" s="130"/>
    </row>
    <row r="92" spans="1:2">
      <c r="A92" s="132"/>
      <c r="B92" s="130"/>
    </row>
    <row r="93" spans="1:2">
      <c r="A93" s="132"/>
      <c r="B93" s="130"/>
    </row>
    <row r="94" spans="1:2">
      <c r="A94" s="132"/>
      <c r="B94" s="130"/>
    </row>
    <row r="95" spans="1:2">
      <c r="A95" s="132"/>
      <c r="B95" s="130"/>
    </row>
    <row r="96" spans="1:2">
      <c r="A96" s="132"/>
      <c r="B96" s="130"/>
    </row>
    <row r="97" spans="1:2">
      <c r="A97" s="132"/>
      <c r="B97" s="130"/>
    </row>
    <row r="98" spans="1:2">
      <c r="A98" s="132"/>
      <c r="B98" s="130"/>
    </row>
    <row r="99" spans="1:2">
      <c r="A99" s="132"/>
      <c r="B99" s="130"/>
    </row>
    <row r="100" spans="1:2">
      <c r="A100" s="132"/>
      <c r="B100" s="130"/>
    </row>
    <row r="101" spans="1:2">
      <c r="A101" s="132"/>
      <c r="B101" s="130"/>
    </row>
    <row r="102" spans="1:2">
      <c r="A102" s="132"/>
      <c r="B102" s="130"/>
    </row>
    <row r="103" spans="1:2">
      <c r="A103" s="132"/>
      <c r="B103" s="130"/>
    </row>
    <row r="104" spans="1:2">
      <c r="A104" s="132"/>
      <c r="B104" s="130"/>
    </row>
    <row r="105" spans="1:2">
      <c r="A105" s="132"/>
      <c r="B105" s="130"/>
    </row>
    <row r="106" spans="1:2">
      <c r="A106" s="132"/>
      <c r="B106" s="130"/>
    </row>
    <row r="107" spans="1:2">
      <c r="A107" s="132"/>
      <c r="B107" s="130"/>
    </row>
    <row r="108" spans="1:2">
      <c r="A108" s="132"/>
      <c r="B108" s="130"/>
    </row>
    <row r="109" spans="1:2">
      <c r="A109" s="132"/>
      <c r="B109" s="130"/>
    </row>
    <row r="110" spans="1:2">
      <c r="A110" s="132"/>
      <c r="B110" s="130"/>
    </row>
    <row r="111" spans="1:2">
      <c r="A111" s="132"/>
      <c r="B111" s="130"/>
    </row>
    <row r="112" spans="1:2">
      <c r="A112" s="132"/>
      <c r="B112" s="130"/>
    </row>
    <row r="113" spans="1:2">
      <c r="A113" s="132"/>
      <c r="B113" s="130"/>
    </row>
    <row r="114" spans="1:2">
      <c r="A114" s="132"/>
      <c r="B114" s="130"/>
    </row>
    <row r="115" spans="1:2">
      <c r="A115" s="132"/>
      <c r="B115" s="130"/>
    </row>
    <row r="116" spans="1:2">
      <c r="A116" s="132"/>
      <c r="B116" s="130"/>
    </row>
    <row r="117" spans="1:2">
      <c r="A117" s="132"/>
      <c r="B117" s="130"/>
    </row>
    <row r="118" spans="1:2">
      <c r="A118" s="132"/>
      <c r="B118" s="130"/>
    </row>
    <row r="119" spans="1:2">
      <c r="A119" s="132"/>
      <c r="B119" s="130"/>
    </row>
    <row r="120" spans="1:2">
      <c r="A120" s="132"/>
      <c r="B120" s="130"/>
    </row>
    <row r="121" spans="1:2">
      <c r="A121" s="132"/>
      <c r="B121" s="130"/>
    </row>
    <row r="122" spans="1:2">
      <c r="A122" s="132"/>
      <c r="B122" s="130"/>
    </row>
    <row r="123" spans="1:2">
      <c r="A123" s="132"/>
      <c r="B123" s="130"/>
    </row>
    <row r="124" spans="1:2">
      <c r="A124" s="132"/>
      <c r="B124" s="130"/>
    </row>
    <row r="125" spans="1:2">
      <c r="A125" s="132"/>
      <c r="B125" s="130"/>
    </row>
    <row r="126" spans="1:2">
      <c r="A126" s="132"/>
      <c r="B126" s="130"/>
    </row>
    <row r="127" spans="1:2">
      <c r="A127" s="132"/>
      <c r="B127" s="130"/>
    </row>
    <row r="128" spans="1:2">
      <c r="A128" s="132"/>
      <c r="B128" s="130"/>
    </row>
    <row r="129" spans="1:2">
      <c r="A129" s="132"/>
      <c r="B129" s="130"/>
    </row>
    <row r="130" spans="1:2">
      <c r="A130" s="132"/>
      <c r="B130" s="130"/>
    </row>
    <row r="131" spans="1:2">
      <c r="A131" s="132"/>
      <c r="B131" s="130"/>
    </row>
    <row r="132" spans="1:2">
      <c r="A132" s="132"/>
      <c r="B132" s="130"/>
    </row>
    <row r="133" spans="1:2">
      <c r="A133" s="132"/>
      <c r="B133" s="130"/>
    </row>
    <row r="134" spans="1:2">
      <c r="A134" s="132"/>
      <c r="B134" s="130"/>
    </row>
    <row r="135" spans="1:2">
      <c r="A135" s="132"/>
      <c r="B135" s="130"/>
    </row>
    <row r="136" spans="1:2">
      <c r="A136" s="132"/>
      <c r="B136" s="130"/>
    </row>
    <row r="137" spans="1:2">
      <c r="A137" s="132"/>
      <c r="B137" s="130"/>
    </row>
    <row r="138" spans="1:2">
      <c r="A138" s="132"/>
      <c r="B138" s="130"/>
    </row>
    <row r="139" spans="1:2">
      <c r="A139" s="132"/>
      <c r="B139" s="130"/>
    </row>
    <row r="140" spans="1:2">
      <c r="A140" s="132"/>
      <c r="B140" s="130"/>
    </row>
    <row r="141" spans="1:2">
      <c r="A141" s="132"/>
      <c r="B141" s="130"/>
    </row>
    <row r="142" spans="1:2">
      <c r="A142" s="132"/>
      <c r="B142" s="130"/>
    </row>
    <row r="143" spans="1:2">
      <c r="A143" s="132"/>
      <c r="B143" s="130"/>
    </row>
    <row r="144" spans="1:2">
      <c r="A144" s="132"/>
      <c r="B144" s="130"/>
    </row>
    <row r="145" spans="1:2">
      <c r="A145" s="132"/>
      <c r="B145" s="130"/>
    </row>
    <row r="146" spans="1:2">
      <c r="A146" s="132"/>
      <c r="B146" s="130"/>
    </row>
    <row r="147" spans="1:2">
      <c r="A147" s="132"/>
      <c r="B147" s="130"/>
    </row>
    <row r="148" spans="1:2">
      <c r="A148" s="132"/>
      <c r="B148" s="130"/>
    </row>
    <row r="149" spans="1:2">
      <c r="A149" s="132"/>
      <c r="B149" s="130"/>
    </row>
    <row r="150" spans="1:2">
      <c r="A150" s="132"/>
      <c r="B150" s="130"/>
    </row>
    <row r="151" spans="1:2">
      <c r="A151" s="132"/>
      <c r="B151" s="130"/>
    </row>
    <row r="152" spans="1:2">
      <c r="A152" s="132"/>
      <c r="B152" s="130"/>
    </row>
    <row r="153" spans="1:2">
      <c r="A153" s="132"/>
      <c r="B153" s="130"/>
    </row>
    <row r="154" spans="1:2">
      <c r="A154" s="132"/>
      <c r="B154" s="130"/>
    </row>
    <row r="155" spans="1:2">
      <c r="A155" s="132"/>
      <c r="B155" s="130"/>
    </row>
    <row r="156" spans="1:2">
      <c r="A156" s="132"/>
      <c r="B156" s="130"/>
    </row>
    <row r="157" spans="1:2">
      <c r="A157" s="132"/>
      <c r="B157" s="130"/>
    </row>
    <row r="158" spans="1:2">
      <c r="A158" s="132"/>
      <c r="B158" s="130"/>
    </row>
    <row r="159" spans="1:2">
      <c r="A159" s="132"/>
      <c r="B159" s="130"/>
    </row>
    <row r="160" spans="1:2">
      <c r="A160" s="132"/>
      <c r="B160" s="130"/>
    </row>
    <row r="161" spans="1:2">
      <c r="A161" s="132"/>
      <c r="B161" s="130"/>
    </row>
    <row r="162" spans="1:2">
      <c r="A162" s="132"/>
      <c r="B162" s="130"/>
    </row>
    <row r="163" spans="1:2">
      <c r="A163" s="132"/>
      <c r="B163" s="130"/>
    </row>
    <row r="164" spans="1:2">
      <c r="A164" s="132"/>
      <c r="B164" s="130"/>
    </row>
    <row r="165" spans="1:2">
      <c r="A165" s="132"/>
      <c r="B165" s="130"/>
    </row>
    <row r="166" spans="1:2">
      <c r="A166" s="132"/>
      <c r="B166" s="130"/>
    </row>
    <row r="167" spans="1:2">
      <c r="A167" s="132"/>
      <c r="B167" s="130"/>
    </row>
    <row r="168" spans="1:2">
      <c r="A168" s="132"/>
      <c r="B168" s="130"/>
    </row>
    <row r="169" spans="1:2">
      <c r="A169" s="132"/>
      <c r="B169" s="130"/>
    </row>
    <row r="170" spans="1:2">
      <c r="A170" s="132"/>
      <c r="B170" s="130"/>
    </row>
    <row r="171" spans="1:2">
      <c r="A171" s="132"/>
      <c r="B171" s="130"/>
    </row>
    <row r="172" spans="1:2">
      <c r="A172" s="132"/>
      <c r="B172" s="130"/>
    </row>
    <row r="173" spans="1:2">
      <c r="A173" s="132"/>
      <c r="B173" s="130"/>
    </row>
    <row r="174" spans="1:2">
      <c r="A174" s="132"/>
      <c r="B174" s="130"/>
    </row>
    <row r="175" spans="1:2">
      <c r="A175" s="132"/>
      <c r="B175" s="130"/>
    </row>
    <row r="176" spans="1:2">
      <c r="A176" s="132"/>
      <c r="B176" s="130"/>
    </row>
    <row r="177" spans="1:2">
      <c r="A177" s="132"/>
      <c r="B177" s="130"/>
    </row>
    <row r="178" spans="1:2">
      <c r="A178" s="132"/>
      <c r="B178" s="130"/>
    </row>
    <row r="179" spans="1:2">
      <c r="A179" s="132"/>
      <c r="B179" s="130"/>
    </row>
    <row r="180" spans="1:2">
      <c r="A180" s="132"/>
      <c r="B180" s="130"/>
    </row>
  </sheetData>
  <mergeCells count="11">
    <mergeCell ref="A53:R53"/>
    <mergeCell ref="A34:R34"/>
    <mergeCell ref="A52:R52"/>
    <mergeCell ref="A35:R35"/>
    <mergeCell ref="A50:R50"/>
    <mergeCell ref="A51:R51"/>
    <mergeCell ref="A1:S1"/>
    <mergeCell ref="A2:R2"/>
    <mergeCell ref="A3:R3"/>
    <mergeCell ref="A18:R18"/>
    <mergeCell ref="A19:R19"/>
  </mergeCells>
  <pageMargins left="0" right="0" top="0.75" bottom="0.75" header="0.3" footer="0.3"/>
  <pageSetup scale="83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8">
    <pageSetUpPr fitToPage="1"/>
  </sheetPr>
  <dimension ref="A1:S54"/>
  <sheetViews>
    <sheetView showGridLines="0" zoomScaleNormal="10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 customWidth="1"/>
    <col min="2" max="13" width="12.5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257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77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149848</v>
      </c>
      <c r="P5" s="174">
        <v>144996</v>
      </c>
      <c r="Q5" s="174">
        <v>149422</v>
      </c>
      <c r="R5" s="255">
        <v>172573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111055</v>
      </c>
      <c r="P6" s="84">
        <v>114144</v>
      </c>
      <c r="Q6" s="84">
        <v>118037</v>
      </c>
      <c r="R6" s="256">
        <v>133542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108346</v>
      </c>
      <c r="P7" s="84">
        <v>106067</v>
      </c>
      <c r="Q7" s="84">
        <v>112788</v>
      </c>
      <c r="R7" s="257">
        <v>129977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176">
        <v>8</v>
      </c>
      <c r="O8" s="84">
        <v>127062</v>
      </c>
      <c r="P8" s="84">
        <v>126867</v>
      </c>
      <c r="Q8" s="84">
        <v>134608</v>
      </c>
      <c r="R8" s="257">
        <v>156087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122823</v>
      </c>
      <c r="O9" s="84">
        <v>125141</v>
      </c>
      <c r="P9" s="84">
        <v>118033</v>
      </c>
      <c r="Q9" s="84">
        <v>133631</v>
      </c>
      <c r="R9" s="258">
        <v>152701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119872</v>
      </c>
      <c r="O10" s="84">
        <v>135128</v>
      </c>
      <c r="P10" s="84">
        <v>146910</v>
      </c>
      <c r="Q10" s="84">
        <v>156828</v>
      </c>
      <c r="R10" s="259">
        <v>162050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128047</v>
      </c>
      <c r="O11" s="84">
        <v>127711</v>
      </c>
      <c r="P11" s="84">
        <v>132389</v>
      </c>
      <c r="Q11" s="84">
        <v>145318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151933</v>
      </c>
      <c r="O12" s="84">
        <v>148983</v>
      </c>
      <c r="P12" s="84">
        <v>168927</v>
      </c>
      <c r="Q12" s="84">
        <v>169819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137533</v>
      </c>
      <c r="O13" s="84">
        <v>136948</v>
      </c>
      <c r="P13" s="84">
        <v>151627</v>
      </c>
      <c r="Q13" s="84">
        <v>161797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137320</v>
      </c>
      <c r="O14" s="84">
        <v>137031</v>
      </c>
      <c r="P14" s="84">
        <v>141136</v>
      </c>
      <c r="Q14" s="84">
        <v>160423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134296</v>
      </c>
      <c r="O15" s="84">
        <v>128908</v>
      </c>
      <c r="P15" s="84">
        <v>138773</v>
      </c>
      <c r="Q15" s="84">
        <v>151579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127377</v>
      </c>
      <c r="O16" s="92">
        <v>130272</v>
      </c>
      <c r="P16" s="92">
        <v>148147</v>
      </c>
      <c r="Q16" s="92">
        <v>149676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1059209</v>
      </c>
      <c r="O17" s="168">
        <f>SUM(O5:O16)</f>
        <v>1566433</v>
      </c>
      <c r="P17" s="168">
        <f>SUM(P5:P16)</f>
        <v>1638016</v>
      </c>
      <c r="Q17" s="168">
        <f>SUM(Q5:Q16)</f>
        <v>1743926</v>
      </c>
      <c r="R17" s="172">
        <f t="shared" ref="R17" si="0">SUM(R5:R16)</f>
        <v>906930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6" customFormat="1" ht="19">
      <c r="A19" s="348" t="s">
        <v>78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11916</v>
      </c>
      <c r="P21" s="174">
        <v>8532</v>
      </c>
      <c r="Q21" s="174">
        <v>3000</v>
      </c>
      <c r="R21" s="265">
        <v>10178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6618</v>
      </c>
      <c r="P22" s="84">
        <v>4305</v>
      </c>
      <c r="Q22" s="84">
        <v>6612</v>
      </c>
      <c r="R22" s="266">
        <v>20871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8283</v>
      </c>
      <c r="P23" s="84">
        <v>4410</v>
      </c>
      <c r="Q23" s="84">
        <v>4808</v>
      </c>
      <c r="R23" s="267">
        <v>5456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176">
        <v>0</v>
      </c>
      <c r="O24" s="84">
        <v>7072</v>
      </c>
      <c r="P24" s="84">
        <v>7774</v>
      </c>
      <c r="Q24" s="84">
        <v>5427</v>
      </c>
      <c r="R24" s="268">
        <v>-2669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4962</v>
      </c>
      <c r="O25" s="84">
        <v>6599</v>
      </c>
      <c r="P25" s="84">
        <v>4173</v>
      </c>
      <c r="Q25" s="84">
        <v>7197</v>
      </c>
      <c r="R25" s="267">
        <v>10386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10105</v>
      </c>
      <c r="O26" s="84">
        <v>7734</v>
      </c>
      <c r="P26" s="84">
        <v>10593</v>
      </c>
      <c r="Q26" s="84">
        <v>7073</v>
      </c>
      <c r="R26" s="269">
        <v>9067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11134</v>
      </c>
      <c r="O27" s="84">
        <v>11134</v>
      </c>
      <c r="P27" s="84">
        <v>13543</v>
      </c>
      <c r="Q27" s="84">
        <v>7541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7483</v>
      </c>
      <c r="O28" s="84">
        <v>8221</v>
      </c>
      <c r="P28" s="84">
        <v>8984</v>
      </c>
      <c r="Q28" s="84">
        <v>8890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7911</v>
      </c>
      <c r="O29" s="84">
        <v>7951</v>
      </c>
      <c r="P29" s="84">
        <v>8290</v>
      </c>
      <c r="Q29" s="84">
        <v>10286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10942</v>
      </c>
      <c r="O30" s="84">
        <v>7615</v>
      </c>
      <c r="P30" s="84">
        <v>12307</v>
      </c>
      <c r="Q30" s="84">
        <v>9635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10442</v>
      </c>
      <c r="O31" s="84">
        <v>8014</v>
      </c>
      <c r="P31" s="84">
        <v>6014</v>
      </c>
      <c r="Q31" s="84">
        <v>11788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5028</v>
      </c>
      <c r="O32" s="92">
        <v>6012</v>
      </c>
      <c r="P32" s="92">
        <v>6030</v>
      </c>
      <c r="Q32" s="92">
        <v>9538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68007</v>
      </c>
      <c r="O33" s="168">
        <f>SUM(O21:O32)</f>
        <v>97169</v>
      </c>
      <c r="P33" s="168">
        <f>SUM(P21:P32)</f>
        <v>94955</v>
      </c>
      <c r="Q33" s="168">
        <f>SUM(Q21:Q32)</f>
        <v>91795</v>
      </c>
      <c r="R33" s="172">
        <f t="shared" ref="R33" si="1">SUM(R21:R32)</f>
        <v>53289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96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-1507</v>
      </c>
      <c r="P37" s="174">
        <v>-4</v>
      </c>
      <c r="Q37" s="174">
        <v>0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-1623</v>
      </c>
      <c r="Q38" s="84">
        <v>-27</v>
      </c>
      <c r="R38" s="266">
        <v>-453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-1</v>
      </c>
      <c r="P39" s="84">
        <v>0</v>
      </c>
      <c r="Q39" s="84">
        <v>-6507</v>
      </c>
      <c r="R39" s="276">
        <v>-9931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176">
        <v>0</v>
      </c>
      <c r="O40" s="84">
        <v>0</v>
      </c>
      <c r="P40" s="84">
        <v>0</v>
      </c>
      <c r="Q40" s="84">
        <v>-5153</v>
      </c>
      <c r="R40" s="266">
        <v>-1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-12</v>
      </c>
      <c r="Q41" s="84">
        <v>-7006</v>
      </c>
      <c r="R41" s="277">
        <v>-139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0</v>
      </c>
      <c r="P42" s="84">
        <v>-5</v>
      </c>
      <c r="Q42" s="84">
        <v>-1</v>
      </c>
      <c r="R42" s="277">
        <v>-11053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-284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0</v>
      </c>
      <c r="O44" s="84">
        <v>0</v>
      </c>
      <c r="P44" s="84">
        <v>-1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-5</v>
      </c>
      <c r="P45" s="84">
        <v>0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-85</v>
      </c>
      <c r="O46" s="84">
        <v>0</v>
      </c>
      <c r="P46" s="84">
        <v>0</v>
      </c>
      <c r="Q46" s="84">
        <v>-106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0</v>
      </c>
      <c r="P47" s="84">
        <v>-523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0</v>
      </c>
      <c r="O48" s="92">
        <v>0</v>
      </c>
      <c r="P48" s="92">
        <v>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-85</v>
      </c>
      <c r="O49" s="168">
        <f>SUM(O37:O48)</f>
        <v>-1797</v>
      </c>
      <c r="P49" s="168">
        <f>SUM(P37:P48)</f>
        <v>-2168</v>
      </c>
      <c r="Q49" s="168">
        <f>SUM(Q37:Q48)</f>
        <v>-18800</v>
      </c>
      <c r="R49" s="278">
        <f t="shared" ref="R49" si="2">SUM(R37:R48)</f>
        <v>-21577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3:R53"/>
    <mergeCell ref="A1:S1"/>
    <mergeCell ref="A52:R52"/>
    <mergeCell ref="A2:R2"/>
    <mergeCell ref="A3:R3"/>
    <mergeCell ref="A18:R18"/>
    <mergeCell ref="A19:R19"/>
    <mergeCell ref="A34:R34"/>
  </mergeCells>
  <pageMargins left="0" right="0" top="0.75" bottom="0.75" header="0.3" footer="0.3"/>
  <pageSetup scale="86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9">
    <pageSetUpPr fitToPage="1"/>
  </sheetPr>
  <dimension ref="A1:S54"/>
  <sheetViews>
    <sheetView showGridLines="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0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258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79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97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110220</v>
      </c>
      <c r="P5" s="174">
        <v>111812</v>
      </c>
      <c r="Q5" s="174">
        <v>143377</v>
      </c>
      <c r="R5" s="255">
        <v>139715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91632</v>
      </c>
      <c r="P6" s="84">
        <v>123181</v>
      </c>
      <c r="Q6" s="84">
        <v>106235</v>
      </c>
      <c r="R6" s="256">
        <v>117246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89522</v>
      </c>
      <c r="P7" s="84">
        <v>90734</v>
      </c>
      <c r="Q7" s="84">
        <v>101568</v>
      </c>
      <c r="R7" s="257">
        <v>110016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176">
        <v>0</v>
      </c>
      <c r="O8" s="84">
        <v>100020</v>
      </c>
      <c r="P8" s="84">
        <v>102623</v>
      </c>
      <c r="Q8" s="84">
        <v>107260</v>
      </c>
      <c r="R8" s="257">
        <v>117811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81450</v>
      </c>
      <c r="O9" s="84">
        <v>107482</v>
      </c>
      <c r="P9" s="84">
        <v>101649</v>
      </c>
      <c r="Q9" s="84">
        <v>115708</v>
      </c>
      <c r="R9" s="258">
        <v>127382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145572</v>
      </c>
      <c r="O10" s="84">
        <v>154818</v>
      </c>
      <c r="P10" s="84">
        <v>173838</v>
      </c>
      <c r="Q10" s="84">
        <v>181909</v>
      </c>
      <c r="R10" s="259">
        <v>200175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179119</v>
      </c>
      <c r="O11" s="84">
        <v>206723</v>
      </c>
      <c r="P11" s="84">
        <v>212039</v>
      </c>
      <c r="Q11" s="84">
        <v>235504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232432</v>
      </c>
      <c r="O12" s="84">
        <v>253647</v>
      </c>
      <c r="P12" s="84">
        <v>266758</v>
      </c>
      <c r="Q12" s="84">
        <v>274983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206164</v>
      </c>
      <c r="O13" s="84">
        <v>203839</v>
      </c>
      <c r="P13" s="84">
        <v>225301</v>
      </c>
      <c r="Q13" s="84">
        <v>230407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3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183235</v>
      </c>
      <c r="O14" s="84">
        <v>184293</v>
      </c>
      <c r="P14" s="84">
        <v>188157</v>
      </c>
      <c r="Q14" s="84">
        <v>190186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121100</v>
      </c>
      <c r="O15" s="84">
        <v>124651</v>
      </c>
      <c r="P15" s="84">
        <v>139985</v>
      </c>
      <c r="Q15" s="84">
        <v>151630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95220</v>
      </c>
      <c r="O16" s="92">
        <v>101193</v>
      </c>
      <c r="P16" s="92">
        <v>111651</v>
      </c>
      <c r="Q16" s="92">
        <v>115185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1244292</v>
      </c>
      <c r="O17" s="168">
        <f>SUM(O5:O16)</f>
        <v>1728040</v>
      </c>
      <c r="P17" s="168">
        <f>SUM(P5:P16)</f>
        <v>1847728</v>
      </c>
      <c r="Q17" s="168">
        <f>SUM(Q5:Q16)</f>
        <v>1953952</v>
      </c>
      <c r="R17" s="172">
        <f t="shared" ref="R17" si="0">SUM(R5:R16)</f>
        <v>812345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80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97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5109</v>
      </c>
      <c r="P21" s="174">
        <v>7123</v>
      </c>
      <c r="Q21" s="174">
        <v>5468</v>
      </c>
      <c r="R21" s="265">
        <v>9510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3091</v>
      </c>
      <c r="P22" s="84">
        <v>32276</v>
      </c>
      <c r="Q22" s="84">
        <v>4806</v>
      </c>
      <c r="R22" s="266">
        <v>-915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3428</v>
      </c>
      <c r="P23" s="84">
        <v>19145</v>
      </c>
      <c r="Q23" s="84">
        <v>2723</v>
      </c>
      <c r="R23" s="267">
        <v>4136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176">
        <v>16</v>
      </c>
      <c r="O24" s="84">
        <v>3373</v>
      </c>
      <c r="P24" s="84">
        <v>6200</v>
      </c>
      <c r="Q24" s="84">
        <v>3382</v>
      </c>
      <c r="R24" s="268">
        <v>33403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5010</v>
      </c>
      <c r="O25" s="84">
        <v>2743</v>
      </c>
      <c r="P25" s="84">
        <v>39838</v>
      </c>
      <c r="Q25" s="84">
        <v>4746</v>
      </c>
      <c r="R25" s="267">
        <v>2200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6248</v>
      </c>
      <c r="O26" s="84">
        <v>4944</v>
      </c>
      <c r="P26" s="84">
        <v>5289</v>
      </c>
      <c r="Q26" s="84">
        <v>9331</v>
      </c>
      <c r="R26" s="269">
        <v>17312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8908</v>
      </c>
      <c r="O27" s="84">
        <v>8701</v>
      </c>
      <c r="P27" s="84">
        <v>10053</v>
      </c>
      <c r="Q27" s="84">
        <v>11083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12088</v>
      </c>
      <c r="O28" s="84">
        <v>10223</v>
      </c>
      <c r="P28" s="84">
        <v>12459</v>
      </c>
      <c r="Q28" s="84">
        <v>11500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6689</v>
      </c>
      <c r="O29" s="84">
        <v>5451</v>
      </c>
      <c r="P29" s="84">
        <v>6666</v>
      </c>
      <c r="Q29" s="84">
        <v>11252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3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6704</v>
      </c>
      <c r="O30" s="84">
        <v>7745</v>
      </c>
      <c r="P30" s="84">
        <v>12003</v>
      </c>
      <c r="Q30" s="84">
        <v>8449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3287</v>
      </c>
      <c r="O31" s="84">
        <v>4970</v>
      </c>
      <c r="P31" s="84">
        <v>5987</v>
      </c>
      <c r="Q31" s="84">
        <v>6279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3512</v>
      </c>
      <c r="O32" s="92">
        <v>7362</v>
      </c>
      <c r="P32" s="92">
        <v>3667</v>
      </c>
      <c r="Q32" s="92">
        <v>42280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52462</v>
      </c>
      <c r="O33" s="168">
        <f>SUM(O21:O32)</f>
        <v>67140</v>
      </c>
      <c r="P33" s="168">
        <f>SUM(P21:P32)</f>
        <v>160706</v>
      </c>
      <c r="Q33" s="168">
        <f>SUM(Q21:Q32)</f>
        <v>121299</v>
      </c>
      <c r="R33" s="172">
        <f t="shared" ref="R33" si="1">SUM(R21:R32)</f>
        <v>65646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98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97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-219</v>
      </c>
      <c r="Q37" s="174">
        <v>0</v>
      </c>
      <c r="R37" s="275">
        <v>-162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-896</v>
      </c>
      <c r="Q38" s="84">
        <v>0</v>
      </c>
      <c r="R38" s="266">
        <v>-2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0</v>
      </c>
      <c r="Q39" s="84">
        <v>-46</v>
      </c>
      <c r="R39" s="276">
        <v>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176">
        <v>0</v>
      </c>
      <c r="O40" s="84">
        <v>-99</v>
      </c>
      <c r="P40" s="84">
        <v>0</v>
      </c>
      <c r="Q40" s="84">
        <v>0</v>
      </c>
      <c r="R40" s="266">
        <v>-231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0</v>
      </c>
      <c r="Q41" s="84">
        <v>0</v>
      </c>
      <c r="R41" s="277">
        <v>-1271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0</v>
      </c>
      <c r="P42" s="84">
        <v>0</v>
      </c>
      <c r="Q42" s="84">
        <v>0</v>
      </c>
      <c r="R42" s="277">
        <v>-15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0</v>
      </c>
      <c r="P43" s="84">
        <v>0</v>
      </c>
      <c r="Q43" s="84">
        <v>-751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0</v>
      </c>
      <c r="O44" s="84">
        <v>0</v>
      </c>
      <c r="P44" s="84">
        <v>-36</v>
      </c>
      <c r="Q44" s="84">
        <v>-164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-1136</v>
      </c>
      <c r="P45" s="84">
        <v>0</v>
      </c>
      <c r="Q45" s="84">
        <v>-46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3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0</v>
      </c>
      <c r="O46" s="84">
        <v>0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0</v>
      </c>
      <c r="P47" s="84">
        <v>0</v>
      </c>
      <c r="Q47" s="84">
        <v>-2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0</v>
      </c>
      <c r="O48" s="92">
        <v>-81</v>
      </c>
      <c r="P48" s="92">
        <v>-10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0</v>
      </c>
      <c r="O49" s="168">
        <f>SUM(O37:O48)</f>
        <v>-1316</v>
      </c>
      <c r="P49" s="168">
        <f>SUM(P37:P48)</f>
        <v>-1161</v>
      </c>
      <c r="Q49" s="168">
        <f>SUM(Q37:Q48)</f>
        <v>-1009</v>
      </c>
      <c r="R49" s="278">
        <f t="shared" ref="R49" si="2">SUM(R37:R48)</f>
        <v>-1681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S1"/>
    <mergeCell ref="A2:R2"/>
    <mergeCell ref="A3:R3"/>
    <mergeCell ref="A18:R18"/>
    <mergeCell ref="A19:R19"/>
    <mergeCell ref="A53:R53"/>
    <mergeCell ref="A34:R34"/>
    <mergeCell ref="A35:R35"/>
    <mergeCell ref="A52:R52"/>
    <mergeCell ref="A50:R50"/>
    <mergeCell ref="A51:R51"/>
  </mergeCells>
  <pageMargins left="0" right="0" top="0.75" bottom="0.75" header="0.3" footer="0.3"/>
  <pageSetup scale="86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0">
    <pageSetUpPr fitToPage="1"/>
  </sheetPr>
  <dimension ref="A1:S54"/>
  <sheetViews>
    <sheetView showGridLines="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0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259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81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122" t="s">
        <v>176</v>
      </c>
      <c r="G5" s="122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174840</v>
      </c>
      <c r="P5" s="174">
        <v>180238</v>
      </c>
      <c r="Q5" s="174">
        <v>216003</v>
      </c>
      <c r="R5" s="255">
        <v>238613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5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136891</v>
      </c>
      <c r="P6" s="84">
        <v>146129</v>
      </c>
      <c r="Q6" s="84">
        <v>167406</v>
      </c>
      <c r="R6" s="256">
        <v>187544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5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136868</v>
      </c>
      <c r="P7" s="84">
        <v>141421</v>
      </c>
      <c r="Q7" s="84">
        <v>159092</v>
      </c>
      <c r="R7" s="257">
        <v>182681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3" t="s">
        <v>176</v>
      </c>
      <c r="F8" s="84" t="s">
        <v>176</v>
      </c>
      <c r="G8" s="85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176">
        <v>316</v>
      </c>
      <c r="O8" s="84">
        <v>156938</v>
      </c>
      <c r="P8" s="84">
        <v>166391</v>
      </c>
      <c r="Q8" s="84">
        <v>196114</v>
      </c>
      <c r="R8" s="257">
        <v>196612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5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130726</v>
      </c>
      <c r="O9" s="84">
        <v>165357</v>
      </c>
      <c r="P9" s="84">
        <v>161624</v>
      </c>
      <c r="Q9" s="84">
        <v>200566</v>
      </c>
      <c r="R9" s="258">
        <v>205002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5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164307</v>
      </c>
      <c r="O10" s="84">
        <v>194154</v>
      </c>
      <c r="P10" s="84">
        <v>215370</v>
      </c>
      <c r="Q10" s="84">
        <v>242916</v>
      </c>
      <c r="R10" s="259">
        <v>251805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5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165558</v>
      </c>
      <c r="O11" s="84">
        <v>193889</v>
      </c>
      <c r="P11" s="84">
        <v>206888</v>
      </c>
      <c r="Q11" s="84">
        <v>228457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5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196623</v>
      </c>
      <c r="O12" s="84">
        <v>205711</v>
      </c>
      <c r="P12" s="84">
        <v>242855</v>
      </c>
      <c r="Q12" s="84">
        <v>264119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5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175973</v>
      </c>
      <c r="O13" s="84">
        <v>182809</v>
      </c>
      <c r="P13" s="84">
        <v>204047</v>
      </c>
      <c r="Q13" s="84">
        <v>233289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4" t="s">
        <v>176</v>
      </c>
      <c r="G14" s="85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171572</v>
      </c>
      <c r="O14" s="84">
        <v>186996</v>
      </c>
      <c r="P14" s="84">
        <v>208690</v>
      </c>
      <c r="Q14" s="84">
        <v>230877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5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162818</v>
      </c>
      <c r="O15" s="84">
        <v>174302</v>
      </c>
      <c r="P15" s="84">
        <v>210708</v>
      </c>
      <c r="Q15" s="84">
        <v>229107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2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145417</v>
      </c>
      <c r="O16" s="92">
        <v>158811</v>
      </c>
      <c r="P16" s="92">
        <v>190116</v>
      </c>
      <c r="Q16" s="92">
        <v>207763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1313310</v>
      </c>
      <c r="O17" s="168">
        <f>SUM(O5:O16)</f>
        <v>2067566</v>
      </c>
      <c r="P17" s="168">
        <f>SUM(P5:P16)</f>
        <v>2274477</v>
      </c>
      <c r="Q17" s="168">
        <f>SUM(Q5:Q16)</f>
        <v>2575709</v>
      </c>
      <c r="R17" s="172">
        <f t="shared" ref="R17" si="0">SUM(R5:R16)</f>
        <v>1262257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82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122" t="s">
        <v>176</v>
      </c>
      <c r="G21" s="122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11125</v>
      </c>
      <c r="P21" s="174">
        <v>13303</v>
      </c>
      <c r="Q21" s="174">
        <v>13577</v>
      </c>
      <c r="R21" s="265">
        <v>11271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5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6651</v>
      </c>
      <c r="P22" s="84">
        <v>11914</v>
      </c>
      <c r="Q22" s="84">
        <v>9494</v>
      </c>
      <c r="R22" s="266">
        <v>7526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5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8548</v>
      </c>
      <c r="P23" s="84">
        <v>5918</v>
      </c>
      <c r="Q23" s="84">
        <v>5911</v>
      </c>
      <c r="R23" s="267">
        <v>8173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3" t="s">
        <v>176</v>
      </c>
      <c r="F24" s="84" t="s">
        <v>176</v>
      </c>
      <c r="G24" s="85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176">
        <v>0</v>
      </c>
      <c r="O24" s="84">
        <v>8642</v>
      </c>
      <c r="P24" s="84">
        <v>9177</v>
      </c>
      <c r="Q24" s="84">
        <v>12127</v>
      </c>
      <c r="R24" s="268">
        <v>7507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5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7171</v>
      </c>
      <c r="O25" s="84">
        <v>8055</v>
      </c>
      <c r="P25" s="84">
        <v>6870</v>
      </c>
      <c r="Q25" s="84">
        <v>7550</v>
      </c>
      <c r="R25" s="267">
        <v>6610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5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8327</v>
      </c>
      <c r="O26" s="84">
        <v>7976</v>
      </c>
      <c r="P26" s="84">
        <v>6846</v>
      </c>
      <c r="Q26" s="84">
        <v>9525</v>
      </c>
      <c r="R26" s="269">
        <v>9827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5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7836</v>
      </c>
      <c r="O27" s="84">
        <v>13634</v>
      </c>
      <c r="P27" s="84">
        <v>10569</v>
      </c>
      <c r="Q27" s="84">
        <v>10793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5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10585</v>
      </c>
      <c r="O28" s="84">
        <v>5056</v>
      </c>
      <c r="P28" s="84">
        <v>9197</v>
      </c>
      <c r="Q28" s="84">
        <v>12941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5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10625</v>
      </c>
      <c r="O29" s="84">
        <v>9423</v>
      </c>
      <c r="P29" s="84">
        <v>10550</v>
      </c>
      <c r="Q29" s="84">
        <v>11633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4" t="s">
        <v>176</v>
      </c>
      <c r="G30" s="85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7912</v>
      </c>
      <c r="O30" s="84">
        <v>10336</v>
      </c>
      <c r="P30" s="84">
        <v>9962</v>
      </c>
      <c r="Q30" s="84">
        <v>12924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5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6911</v>
      </c>
      <c r="O31" s="84">
        <v>13666</v>
      </c>
      <c r="P31" s="84">
        <v>10284</v>
      </c>
      <c r="Q31" s="84">
        <v>8343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2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4892</v>
      </c>
      <c r="O32" s="92">
        <v>7700</v>
      </c>
      <c r="P32" s="92">
        <v>14532</v>
      </c>
      <c r="Q32" s="92">
        <v>9113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64259</v>
      </c>
      <c r="O33" s="168">
        <f>SUM(O21:O32)</f>
        <v>110812</v>
      </c>
      <c r="P33" s="168">
        <f>SUM(P21:P32)</f>
        <v>119122</v>
      </c>
      <c r="Q33" s="168">
        <f>SUM(Q21:Q32)</f>
        <v>123931</v>
      </c>
      <c r="R33" s="172">
        <f t="shared" ref="R33" si="1">SUM(R21:R32)</f>
        <v>50914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99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122" t="s">
        <v>176</v>
      </c>
      <c r="G37" s="122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-142</v>
      </c>
      <c r="P37" s="174">
        <v>-1426</v>
      </c>
      <c r="Q37" s="174">
        <v>0</v>
      </c>
      <c r="R37" s="275">
        <v>-4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5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-289</v>
      </c>
      <c r="P38" s="84">
        <v>-314</v>
      </c>
      <c r="Q38" s="84">
        <v>-4063</v>
      </c>
      <c r="R38" s="266">
        <v>-742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5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-208</v>
      </c>
      <c r="Q39" s="84">
        <v>-2380</v>
      </c>
      <c r="R39" s="276">
        <v>-23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3" t="s">
        <v>176</v>
      </c>
      <c r="F40" s="84" t="s">
        <v>176</v>
      </c>
      <c r="G40" s="85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176">
        <v>0</v>
      </c>
      <c r="O40" s="84">
        <v>-11803</v>
      </c>
      <c r="P40" s="84">
        <v>0</v>
      </c>
      <c r="Q40" s="84">
        <v>-364</v>
      </c>
      <c r="R40" s="266">
        <v>-3306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5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-35</v>
      </c>
      <c r="Q41" s="84">
        <v>-9</v>
      </c>
      <c r="R41" s="277">
        <v>-3968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5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-163</v>
      </c>
      <c r="P42" s="84">
        <v>-2023</v>
      </c>
      <c r="Q42" s="84">
        <v>-873</v>
      </c>
      <c r="R42" s="277">
        <v>-1999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5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0</v>
      </c>
      <c r="O43" s="84">
        <v>-624</v>
      </c>
      <c r="P43" s="84">
        <v>0</v>
      </c>
      <c r="Q43" s="84">
        <v>-18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5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0</v>
      </c>
      <c r="O44" s="84">
        <v>-1655</v>
      </c>
      <c r="P44" s="84">
        <v>0</v>
      </c>
      <c r="Q44" s="84">
        <v>-1261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5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-32</v>
      </c>
      <c r="P45" s="84">
        <v>0</v>
      </c>
      <c r="Q45" s="84">
        <v>-11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5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-10</v>
      </c>
      <c r="O46" s="84">
        <v>-614</v>
      </c>
      <c r="P46" s="84">
        <v>0</v>
      </c>
      <c r="Q46" s="84">
        <v>-4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5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-27</v>
      </c>
      <c r="P47" s="84">
        <v>-467</v>
      </c>
      <c r="Q47" s="84">
        <v>-695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2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0</v>
      </c>
      <c r="O48" s="92">
        <v>-11664</v>
      </c>
      <c r="P48" s="92">
        <v>-384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-10</v>
      </c>
      <c r="O49" s="168">
        <f>SUM(O37:O48)</f>
        <v>-27013</v>
      </c>
      <c r="P49" s="168">
        <f>SUM(P37:P48)</f>
        <v>-4857</v>
      </c>
      <c r="Q49" s="168">
        <f>SUM(Q37:Q48)</f>
        <v>-9678</v>
      </c>
      <c r="R49" s="278">
        <f t="shared" ref="R49" si="2">SUM(R37:R48)</f>
        <v>-10042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35:R35"/>
    <mergeCell ref="A50:R50"/>
    <mergeCell ref="A51:R51"/>
    <mergeCell ref="A53:R53"/>
    <mergeCell ref="A1:S1"/>
    <mergeCell ref="A52:R52"/>
    <mergeCell ref="A2:R2"/>
    <mergeCell ref="A3:R3"/>
    <mergeCell ref="A18:R18"/>
    <mergeCell ref="A19:R19"/>
    <mergeCell ref="A34:R34"/>
  </mergeCells>
  <pageMargins left="0" right="0" top="0.75" bottom="0.75" header="0.3" footer="0.3"/>
  <pageSetup scale="87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1">
    <pageSetUpPr fitToPage="1"/>
  </sheetPr>
  <dimension ref="A1:S54"/>
  <sheetViews>
    <sheetView showGridLines="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260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83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97" t="s">
        <v>176</v>
      </c>
      <c r="E5" s="97" t="s">
        <v>176</v>
      </c>
      <c r="F5" s="97" t="s">
        <v>176</v>
      </c>
      <c r="G5" s="97" t="s">
        <v>176</v>
      </c>
      <c r="H5" s="97" t="s">
        <v>176</v>
      </c>
      <c r="I5" s="97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468857</v>
      </c>
      <c r="P5" s="174">
        <v>475797</v>
      </c>
      <c r="Q5" s="174">
        <v>516764</v>
      </c>
      <c r="R5" s="255">
        <v>554548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4" t="s">
        <v>176</v>
      </c>
      <c r="E6" s="84" t="s">
        <v>176</v>
      </c>
      <c r="F6" s="84" t="s">
        <v>176</v>
      </c>
      <c r="G6" s="84" t="s">
        <v>176</v>
      </c>
      <c r="H6" s="84" t="s">
        <v>176</v>
      </c>
      <c r="I6" s="84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345059</v>
      </c>
      <c r="P6" s="84">
        <v>362776</v>
      </c>
      <c r="Q6" s="84">
        <v>397085</v>
      </c>
      <c r="R6" s="256">
        <v>433263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4" t="s">
        <v>176</v>
      </c>
      <c r="E7" s="84" t="s">
        <v>176</v>
      </c>
      <c r="F7" s="84" t="s">
        <v>176</v>
      </c>
      <c r="G7" s="84" t="s">
        <v>176</v>
      </c>
      <c r="H7" s="84" t="s">
        <v>176</v>
      </c>
      <c r="I7" s="84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330096</v>
      </c>
      <c r="P7" s="84">
        <v>345435</v>
      </c>
      <c r="Q7" s="84">
        <v>380935</v>
      </c>
      <c r="R7" s="257">
        <v>399373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4" t="s">
        <v>176</v>
      </c>
      <c r="E8" s="84" t="s">
        <v>176</v>
      </c>
      <c r="F8" s="84" t="s">
        <v>176</v>
      </c>
      <c r="G8" s="84" t="s">
        <v>176</v>
      </c>
      <c r="H8" s="84" t="s">
        <v>176</v>
      </c>
      <c r="I8" s="84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176">
        <v>1914</v>
      </c>
      <c r="O8" s="84">
        <v>393850</v>
      </c>
      <c r="P8" s="84">
        <v>421416</v>
      </c>
      <c r="Q8" s="84">
        <v>444889</v>
      </c>
      <c r="R8" s="257">
        <v>444064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4" t="s">
        <v>176</v>
      </c>
      <c r="E9" s="84" t="s">
        <v>176</v>
      </c>
      <c r="F9" s="84" t="s">
        <v>176</v>
      </c>
      <c r="G9" s="84" t="s">
        <v>176</v>
      </c>
      <c r="H9" s="84" t="s">
        <v>176</v>
      </c>
      <c r="I9" s="84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367962</v>
      </c>
      <c r="O9" s="84">
        <v>424590</v>
      </c>
      <c r="P9" s="84">
        <v>431821</v>
      </c>
      <c r="Q9" s="84">
        <v>474279</v>
      </c>
      <c r="R9" s="258">
        <v>490625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4" t="s">
        <v>176</v>
      </c>
      <c r="E10" s="84" t="s">
        <v>176</v>
      </c>
      <c r="F10" s="84" t="s">
        <v>176</v>
      </c>
      <c r="G10" s="84" t="s">
        <v>176</v>
      </c>
      <c r="H10" s="84" t="s">
        <v>176</v>
      </c>
      <c r="I10" s="84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489881</v>
      </c>
      <c r="O10" s="84">
        <v>540529</v>
      </c>
      <c r="P10" s="84">
        <v>616609</v>
      </c>
      <c r="Q10" s="84">
        <v>667086</v>
      </c>
      <c r="R10" s="259">
        <v>675084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4" t="s">
        <v>176</v>
      </c>
      <c r="E11" s="84" t="s">
        <v>176</v>
      </c>
      <c r="F11" s="84" t="s">
        <v>176</v>
      </c>
      <c r="G11" s="84" t="s">
        <v>176</v>
      </c>
      <c r="H11" s="84" t="s">
        <v>176</v>
      </c>
      <c r="I11" s="84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511373</v>
      </c>
      <c r="O11" s="84">
        <v>534959</v>
      </c>
      <c r="P11" s="84">
        <v>569076</v>
      </c>
      <c r="Q11" s="84">
        <v>654125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4" t="s">
        <v>176</v>
      </c>
      <c r="E12" s="84" t="s">
        <v>176</v>
      </c>
      <c r="F12" s="84" t="s">
        <v>176</v>
      </c>
      <c r="G12" s="84" t="s">
        <v>176</v>
      </c>
      <c r="H12" s="84" t="s">
        <v>176</v>
      </c>
      <c r="I12" s="84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667564</v>
      </c>
      <c r="O12" s="84">
        <v>716777</v>
      </c>
      <c r="P12" s="84">
        <v>801882</v>
      </c>
      <c r="Q12" s="84">
        <v>791195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4" t="s">
        <v>176</v>
      </c>
      <c r="E13" s="84" t="s">
        <v>176</v>
      </c>
      <c r="F13" s="84" t="s">
        <v>176</v>
      </c>
      <c r="G13" s="84" t="s">
        <v>176</v>
      </c>
      <c r="H13" s="84" t="s">
        <v>176</v>
      </c>
      <c r="I13" s="84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587295</v>
      </c>
      <c r="O13" s="84">
        <v>617354</v>
      </c>
      <c r="P13" s="84">
        <v>667235</v>
      </c>
      <c r="Q13" s="84">
        <v>757463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4" t="s">
        <v>176</v>
      </c>
      <c r="E14" s="84" t="s">
        <v>176</v>
      </c>
      <c r="F14" s="84" t="s">
        <v>176</v>
      </c>
      <c r="G14" s="84" t="s">
        <v>176</v>
      </c>
      <c r="H14" s="84" t="s">
        <v>176</v>
      </c>
      <c r="I14" s="84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524961</v>
      </c>
      <c r="O14" s="84">
        <v>560396</v>
      </c>
      <c r="P14" s="84">
        <v>566690</v>
      </c>
      <c r="Q14" s="84">
        <v>618356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4" t="s">
        <v>176</v>
      </c>
      <c r="E15" s="84" t="s">
        <v>176</v>
      </c>
      <c r="F15" s="84" t="s">
        <v>176</v>
      </c>
      <c r="G15" s="84" t="s">
        <v>176</v>
      </c>
      <c r="H15" s="84" t="s">
        <v>176</v>
      </c>
      <c r="I15" s="84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448178</v>
      </c>
      <c r="O15" s="84">
        <v>460936</v>
      </c>
      <c r="P15" s="84">
        <v>515390</v>
      </c>
      <c r="Q15" s="84">
        <v>534732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2" t="s">
        <v>176</v>
      </c>
      <c r="H16" s="95" t="s">
        <v>176</v>
      </c>
      <c r="I16" s="92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396896</v>
      </c>
      <c r="O16" s="92">
        <v>424523</v>
      </c>
      <c r="P16" s="92">
        <v>470098</v>
      </c>
      <c r="Q16" s="92">
        <v>487772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3996024</v>
      </c>
      <c r="O17" s="168">
        <f>SUM(O5:O16)</f>
        <v>5817926</v>
      </c>
      <c r="P17" s="168">
        <f>SUM(P5:P16)</f>
        <v>6244225</v>
      </c>
      <c r="Q17" s="168">
        <f>SUM(Q5:Q16)</f>
        <v>6724681</v>
      </c>
      <c r="R17" s="172">
        <f t="shared" ref="R17" si="0">SUM(R5:R16)</f>
        <v>2996957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84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97" t="s">
        <v>176</v>
      </c>
      <c r="E21" s="97" t="s">
        <v>176</v>
      </c>
      <c r="F21" s="97" t="s">
        <v>176</v>
      </c>
      <c r="G21" s="97" t="s">
        <v>176</v>
      </c>
      <c r="H21" s="97" t="s">
        <v>176</v>
      </c>
      <c r="I21" s="97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20446</v>
      </c>
      <c r="P21" s="174">
        <v>22747</v>
      </c>
      <c r="Q21" s="174">
        <v>30467</v>
      </c>
      <c r="R21" s="265">
        <v>38315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4" t="s">
        <v>176</v>
      </c>
      <c r="E22" s="84" t="s">
        <v>176</v>
      </c>
      <c r="F22" s="84" t="s">
        <v>176</v>
      </c>
      <c r="G22" s="84" t="s">
        <v>176</v>
      </c>
      <c r="H22" s="84" t="s">
        <v>176</v>
      </c>
      <c r="I22" s="84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15305</v>
      </c>
      <c r="P22" s="84">
        <v>15461</v>
      </c>
      <c r="Q22" s="84">
        <v>22104</v>
      </c>
      <c r="R22" s="266">
        <v>17430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4" t="s">
        <v>176</v>
      </c>
      <c r="E23" s="84" t="s">
        <v>176</v>
      </c>
      <c r="F23" s="84" t="s">
        <v>176</v>
      </c>
      <c r="G23" s="84" t="s">
        <v>176</v>
      </c>
      <c r="H23" s="84" t="s">
        <v>176</v>
      </c>
      <c r="I23" s="84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16426</v>
      </c>
      <c r="P23" s="84">
        <v>13344</v>
      </c>
      <c r="Q23" s="84">
        <v>11517</v>
      </c>
      <c r="R23" s="267">
        <v>19038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4" t="s">
        <v>176</v>
      </c>
      <c r="E24" s="84" t="s">
        <v>176</v>
      </c>
      <c r="F24" s="84" t="s">
        <v>176</v>
      </c>
      <c r="G24" s="84" t="s">
        <v>176</v>
      </c>
      <c r="H24" s="84" t="s">
        <v>176</v>
      </c>
      <c r="I24" s="84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176">
        <v>0</v>
      </c>
      <c r="O24" s="84">
        <v>27629</v>
      </c>
      <c r="P24" s="84">
        <v>18277</v>
      </c>
      <c r="Q24" s="84">
        <v>19265</v>
      </c>
      <c r="R24" s="268">
        <v>17697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4" t="s">
        <v>176</v>
      </c>
      <c r="E25" s="84" t="s">
        <v>176</v>
      </c>
      <c r="F25" s="84" t="s">
        <v>176</v>
      </c>
      <c r="G25" s="84" t="s">
        <v>176</v>
      </c>
      <c r="H25" s="84" t="s">
        <v>176</v>
      </c>
      <c r="I25" s="84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13857</v>
      </c>
      <c r="O25" s="84">
        <v>21156</v>
      </c>
      <c r="P25" s="84">
        <v>18224</v>
      </c>
      <c r="Q25" s="84">
        <v>21056</v>
      </c>
      <c r="R25" s="267">
        <v>18991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4" t="s">
        <v>176</v>
      </c>
      <c r="E26" s="84" t="s">
        <v>176</v>
      </c>
      <c r="F26" s="84" t="s">
        <v>176</v>
      </c>
      <c r="G26" s="84" t="s">
        <v>176</v>
      </c>
      <c r="H26" s="84" t="s">
        <v>176</v>
      </c>
      <c r="I26" s="84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15047</v>
      </c>
      <c r="O26" s="84">
        <v>19003</v>
      </c>
      <c r="P26" s="84">
        <v>17318</v>
      </c>
      <c r="Q26" s="84">
        <v>45886</v>
      </c>
      <c r="R26" s="269">
        <v>20124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4" t="s">
        <v>176</v>
      </c>
      <c r="E27" s="84" t="s">
        <v>176</v>
      </c>
      <c r="F27" s="84" t="s">
        <v>176</v>
      </c>
      <c r="G27" s="84" t="s">
        <v>176</v>
      </c>
      <c r="H27" s="84" t="s">
        <v>176</v>
      </c>
      <c r="I27" s="84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22517</v>
      </c>
      <c r="O27" s="84">
        <v>29980</v>
      </c>
      <c r="P27" s="84">
        <v>20535</v>
      </c>
      <c r="Q27" s="84">
        <v>30426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4" t="s">
        <v>176</v>
      </c>
      <c r="E28" s="84" t="s">
        <v>176</v>
      </c>
      <c r="F28" s="84" t="s">
        <v>176</v>
      </c>
      <c r="G28" s="84" t="s">
        <v>176</v>
      </c>
      <c r="H28" s="84" t="s">
        <v>176</v>
      </c>
      <c r="I28" s="84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20966</v>
      </c>
      <c r="O28" s="84">
        <v>30125</v>
      </c>
      <c r="P28" s="84">
        <v>27251</v>
      </c>
      <c r="Q28" s="84">
        <v>35932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4" t="s">
        <v>176</v>
      </c>
      <c r="E29" s="84" t="s">
        <v>176</v>
      </c>
      <c r="F29" s="84" t="s">
        <v>176</v>
      </c>
      <c r="G29" s="84" t="s">
        <v>176</v>
      </c>
      <c r="H29" s="84" t="s">
        <v>176</v>
      </c>
      <c r="I29" s="84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19441</v>
      </c>
      <c r="O29" s="84">
        <v>20921</v>
      </c>
      <c r="P29" s="84">
        <v>28101</v>
      </c>
      <c r="Q29" s="84">
        <v>20674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4" t="s">
        <v>176</v>
      </c>
      <c r="E30" s="84" t="s">
        <v>176</v>
      </c>
      <c r="F30" s="84" t="s">
        <v>176</v>
      </c>
      <c r="G30" s="84" t="s">
        <v>176</v>
      </c>
      <c r="H30" s="84" t="s">
        <v>176</v>
      </c>
      <c r="I30" s="84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22151</v>
      </c>
      <c r="O30" s="84">
        <v>25079</v>
      </c>
      <c r="P30" s="84">
        <v>22320</v>
      </c>
      <c r="Q30" s="84">
        <v>30540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4" t="s">
        <v>176</v>
      </c>
      <c r="E31" s="84" t="s">
        <v>176</v>
      </c>
      <c r="F31" s="84" t="s">
        <v>176</v>
      </c>
      <c r="G31" s="84" t="s">
        <v>176</v>
      </c>
      <c r="H31" s="84" t="s">
        <v>176</v>
      </c>
      <c r="I31" s="84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15388</v>
      </c>
      <c r="O31" s="84">
        <v>19222</v>
      </c>
      <c r="P31" s="84">
        <v>23810</v>
      </c>
      <c r="Q31" s="84">
        <v>19146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2" t="s">
        <v>176</v>
      </c>
      <c r="H32" s="95" t="s">
        <v>176</v>
      </c>
      <c r="I32" s="92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16740</v>
      </c>
      <c r="O32" s="92">
        <v>24215</v>
      </c>
      <c r="P32" s="92">
        <v>17678</v>
      </c>
      <c r="Q32" s="92">
        <v>20700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146107</v>
      </c>
      <c r="O33" s="168">
        <f>SUM(O21:O32)</f>
        <v>269507</v>
      </c>
      <c r="P33" s="168">
        <f>SUM(P21:P32)</f>
        <v>245066</v>
      </c>
      <c r="Q33" s="168">
        <f>SUM(Q21:Q32)</f>
        <v>307713</v>
      </c>
      <c r="R33" s="172">
        <f t="shared" ref="R33" si="1">SUM(R21:R32)</f>
        <v>131595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100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97" t="s">
        <v>176</v>
      </c>
      <c r="E37" s="97" t="s">
        <v>176</v>
      </c>
      <c r="F37" s="97" t="s">
        <v>176</v>
      </c>
      <c r="G37" s="97" t="s">
        <v>176</v>
      </c>
      <c r="H37" s="97" t="s">
        <v>176</v>
      </c>
      <c r="I37" s="97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-390</v>
      </c>
      <c r="Q37" s="174">
        <v>-759</v>
      </c>
      <c r="R37" s="275">
        <v>-21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4" t="s">
        <v>176</v>
      </c>
      <c r="E38" s="84" t="s">
        <v>176</v>
      </c>
      <c r="F38" s="84" t="s">
        <v>176</v>
      </c>
      <c r="G38" s="84" t="s">
        <v>176</v>
      </c>
      <c r="H38" s="84" t="s">
        <v>176</v>
      </c>
      <c r="I38" s="84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-402</v>
      </c>
      <c r="Q38" s="84">
        <v>0</v>
      </c>
      <c r="R38" s="266">
        <v>-2593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4" t="s">
        <v>176</v>
      </c>
      <c r="E39" s="84" t="s">
        <v>176</v>
      </c>
      <c r="F39" s="84" t="s">
        <v>176</v>
      </c>
      <c r="G39" s="84" t="s">
        <v>176</v>
      </c>
      <c r="H39" s="84" t="s">
        <v>176</v>
      </c>
      <c r="I39" s="84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-38</v>
      </c>
      <c r="P39" s="84">
        <v>-2897</v>
      </c>
      <c r="Q39" s="84">
        <v>-5</v>
      </c>
      <c r="R39" s="276">
        <v>-230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4" t="s">
        <v>176</v>
      </c>
      <c r="E40" s="84" t="s">
        <v>176</v>
      </c>
      <c r="F40" s="84" t="s">
        <v>176</v>
      </c>
      <c r="G40" s="84" t="s">
        <v>176</v>
      </c>
      <c r="H40" s="84" t="s">
        <v>176</v>
      </c>
      <c r="I40" s="84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176">
        <v>0</v>
      </c>
      <c r="O40" s="84">
        <v>-1134</v>
      </c>
      <c r="P40" s="84">
        <v>-233</v>
      </c>
      <c r="Q40" s="84">
        <v>-131</v>
      </c>
      <c r="R40" s="266">
        <v>-58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4" t="s">
        <v>176</v>
      </c>
      <c r="E41" s="84" t="s">
        <v>176</v>
      </c>
      <c r="F41" s="84" t="s">
        <v>176</v>
      </c>
      <c r="G41" s="84" t="s">
        <v>176</v>
      </c>
      <c r="H41" s="84" t="s">
        <v>176</v>
      </c>
      <c r="I41" s="84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-565</v>
      </c>
      <c r="P41" s="84">
        <v>-54</v>
      </c>
      <c r="Q41" s="84">
        <v>-48</v>
      </c>
      <c r="R41" s="277">
        <v>-2689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4" t="s">
        <v>176</v>
      </c>
      <c r="E42" s="84" t="s">
        <v>176</v>
      </c>
      <c r="F42" s="84" t="s">
        <v>176</v>
      </c>
      <c r="G42" s="84" t="s">
        <v>176</v>
      </c>
      <c r="H42" s="84" t="s">
        <v>176</v>
      </c>
      <c r="I42" s="84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-204</v>
      </c>
      <c r="P42" s="84">
        <v>-903</v>
      </c>
      <c r="Q42" s="84">
        <v>-14</v>
      </c>
      <c r="R42" s="277">
        <v>-368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4" t="s">
        <v>176</v>
      </c>
      <c r="E43" s="84" t="s">
        <v>176</v>
      </c>
      <c r="F43" s="84" t="s">
        <v>176</v>
      </c>
      <c r="G43" s="84" t="s">
        <v>176</v>
      </c>
      <c r="H43" s="84" t="s">
        <v>176</v>
      </c>
      <c r="I43" s="84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-23</v>
      </c>
      <c r="O43" s="84">
        <v>0</v>
      </c>
      <c r="P43" s="84">
        <v>-10</v>
      </c>
      <c r="Q43" s="84">
        <v>-362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4" t="s">
        <v>176</v>
      </c>
      <c r="E44" s="84" t="s">
        <v>176</v>
      </c>
      <c r="F44" s="84" t="s">
        <v>176</v>
      </c>
      <c r="G44" s="84" t="s">
        <v>176</v>
      </c>
      <c r="H44" s="84" t="s">
        <v>176</v>
      </c>
      <c r="I44" s="84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-10</v>
      </c>
      <c r="O44" s="84">
        <v>0</v>
      </c>
      <c r="P44" s="84">
        <v>-48</v>
      </c>
      <c r="Q44" s="84">
        <v>-4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4" t="s">
        <v>176</v>
      </c>
      <c r="E45" s="84" t="s">
        <v>176</v>
      </c>
      <c r="F45" s="84" t="s">
        <v>176</v>
      </c>
      <c r="G45" s="84" t="s">
        <v>176</v>
      </c>
      <c r="H45" s="84" t="s">
        <v>176</v>
      </c>
      <c r="I45" s="84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-78</v>
      </c>
      <c r="P45" s="84">
        <v>-32</v>
      </c>
      <c r="Q45" s="84">
        <v>-5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4" t="s">
        <v>176</v>
      </c>
      <c r="E46" s="84" t="s">
        <v>176</v>
      </c>
      <c r="F46" s="84" t="s">
        <v>176</v>
      </c>
      <c r="G46" s="84" t="s">
        <v>176</v>
      </c>
      <c r="H46" s="84" t="s">
        <v>176</v>
      </c>
      <c r="I46" s="84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0</v>
      </c>
      <c r="O46" s="84">
        <v>-43</v>
      </c>
      <c r="P46" s="84">
        <v>-158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4" t="s">
        <v>176</v>
      </c>
      <c r="E47" s="84" t="s">
        <v>176</v>
      </c>
      <c r="F47" s="84" t="s">
        <v>176</v>
      </c>
      <c r="G47" s="84" t="s">
        <v>176</v>
      </c>
      <c r="H47" s="84" t="s">
        <v>176</v>
      </c>
      <c r="I47" s="84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0</v>
      </c>
      <c r="P47" s="84">
        <v>-174</v>
      </c>
      <c r="Q47" s="84">
        <v>-80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2" t="s">
        <v>176</v>
      </c>
      <c r="H48" s="95" t="s">
        <v>176</v>
      </c>
      <c r="I48" s="92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-1738</v>
      </c>
      <c r="O48" s="92">
        <v>-1421</v>
      </c>
      <c r="P48" s="92">
        <v>-175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-1771</v>
      </c>
      <c r="O49" s="168">
        <f>SUM(O37:O48)</f>
        <v>-3483</v>
      </c>
      <c r="P49" s="168">
        <f>SUM(P37:P48)</f>
        <v>-5476</v>
      </c>
      <c r="Q49" s="168">
        <f>SUM(Q37:Q48)</f>
        <v>-1408</v>
      </c>
      <c r="R49" s="278">
        <f t="shared" ref="R49" si="2">SUM(R37:R48)</f>
        <v>-5959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52:R52"/>
    <mergeCell ref="A35:R35"/>
    <mergeCell ref="A50:R50"/>
    <mergeCell ref="A51:R51"/>
    <mergeCell ref="A53:R53"/>
    <mergeCell ref="A34:R34"/>
    <mergeCell ref="A1:S1"/>
    <mergeCell ref="A2:R2"/>
    <mergeCell ref="A3:R3"/>
    <mergeCell ref="A18:R18"/>
    <mergeCell ref="A19:R19"/>
  </mergeCells>
  <pageMargins left="0" right="0" top="0.75" bottom="0.75" header="0.3" footer="0.3"/>
  <pageSetup scale="86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2">
    <pageSetUpPr fitToPage="1"/>
  </sheetPr>
  <dimension ref="A1:S225"/>
  <sheetViews>
    <sheetView showGridLines="0" zoomScaleNormal="10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0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261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86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174">
        <v>303</v>
      </c>
      <c r="O5" s="174">
        <v>262880</v>
      </c>
      <c r="P5" s="174">
        <v>274160</v>
      </c>
      <c r="Q5" s="174">
        <v>277787</v>
      </c>
      <c r="R5" s="255">
        <v>310363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>
        <v>164395</v>
      </c>
      <c r="O6" s="84">
        <v>209287</v>
      </c>
      <c r="P6" s="84">
        <v>211837</v>
      </c>
      <c r="Q6" s="84">
        <v>233155</v>
      </c>
      <c r="R6" s="256">
        <v>237111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>
        <v>182863</v>
      </c>
      <c r="O7" s="84">
        <v>182699</v>
      </c>
      <c r="P7" s="84">
        <v>187070</v>
      </c>
      <c r="Q7" s="84">
        <v>201103</v>
      </c>
      <c r="R7" s="257">
        <v>226325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4" t="s">
        <v>176</v>
      </c>
      <c r="K8" s="84" t="s">
        <v>176</v>
      </c>
      <c r="L8" s="84" t="s">
        <v>176</v>
      </c>
      <c r="M8" s="84" t="s">
        <v>176</v>
      </c>
      <c r="N8" s="84">
        <v>226113</v>
      </c>
      <c r="O8" s="84">
        <v>224685</v>
      </c>
      <c r="P8" s="84">
        <v>230510</v>
      </c>
      <c r="Q8" s="84">
        <v>242213</v>
      </c>
      <c r="R8" s="257">
        <v>249049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238937</v>
      </c>
      <c r="O9" s="84">
        <v>251150</v>
      </c>
      <c r="P9" s="84">
        <v>244933</v>
      </c>
      <c r="Q9" s="84">
        <v>264052</v>
      </c>
      <c r="R9" s="258">
        <v>271012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280744</v>
      </c>
      <c r="O10" s="84">
        <v>314947</v>
      </c>
      <c r="P10" s="84">
        <v>343132</v>
      </c>
      <c r="Q10" s="84">
        <v>339520</v>
      </c>
      <c r="R10" s="259">
        <v>381059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4" t="s">
        <v>176</v>
      </c>
      <c r="K11" s="84" t="s">
        <v>176</v>
      </c>
      <c r="L11" s="84" t="s">
        <v>176</v>
      </c>
      <c r="M11" s="84" t="s">
        <v>176</v>
      </c>
      <c r="N11" s="84">
        <v>292474</v>
      </c>
      <c r="O11" s="84">
        <v>309219</v>
      </c>
      <c r="P11" s="84">
        <v>328571</v>
      </c>
      <c r="Q11" s="84">
        <v>345135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349114</v>
      </c>
      <c r="O12" s="84">
        <v>363975</v>
      </c>
      <c r="P12" s="84">
        <v>376159</v>
      </c>
      <c r="Q12" s="84">
        <v>391166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265028</v>
      </c>
      <c r="O13" s="84">
        <v>281985</v>
      </c>
      <c r="P13" s="84">
        <v>316990</v>
      </c>
      <c r="Q13" s="84">
        <v>333338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277567</v>
      </c>
      <c r="O14" s="84">
        <v>293379</v>
      </c>
      <c r="P14" s="84">
        <v>308764</v>
      </c>
      <c r="Q14" s="84">
        <v>315288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238980</v>
      </c>
      <c r="O15" s="84">
        <v>262035</v>
      </c>
      <c r="P15" s="84">
        <v>302080</v>
      </c>
      <c r="Q15" s="84">
        <v>304039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220053</v>
      </c>
      <c r="O16" s="92">
        <v>244668</v>
      </c>
      <c r="P16" s="92">
        <v>259993</v>
      </c>
      <c r="Q16" s="92">
        <v>266176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2736571</v>
      </c>
      <c r="O17" s="168">
        <f>SUM(O5:O16)</f>
        <v>3200909</v>
      </c>
      <c r="P17" s="168">
        <f>SUM(P5:P16)</f>
        <v>3384199</v>
      </c>
      <c r="Q17" s="168">
        <f>SUM(Q5:Q16)</f>
        <v>3512972</v>
      </c>
      <c r="R17" s="172">
        <f t="shared" ref="R17" si="0">SUM(R5:R16)</f>
        <v>1674919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87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174">
        <v>9</v>
      </c>
      <c r="O21" s="174">
        <v>17892</v>
      </c>
      <c r="P21" s="174">
        <v>17920</v>
      </c>
      <c r="Q21" s="174">
        <v>20308</v>
      </c>
      <c r="R21" s="265">
        <v>17763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>
        <v>14201</v>
      </c>
      <c r="O22" s="84">
        <v>13677</v>
      </c>
      <c r="P22" s="84">
        <v>17507</v>
      </c>
      <c r="Q22" s="84">
        <v>17642</v>
      </c>
      <c r="R22" s="266">
        <v>15835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>
        <v>17536</v>
      </c>
      <c r="O23" s="84">
        <v>12325</v>
      </c>
      <c r="P23" s="84">
        <v>12401</v>
      </c>
      <c r="Q23" s="84">
        <v>14119</v>
      </c>
      <c r="R23" s="267">
        <v>10683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4" t="s">
        <v>176</v>
      </c>
      <c r="K24" s="84" t="s">
        <v>176</v>
      </c>
      <c r="L24" s="84" t="s">
        <v>176</v>
      </c>
      <c r="M24" s="84" t="s">
        <v>176</v>
      </c>
      <c r="N24" s="84">
        <v>11995</v>
      </c>
      <c r="O24" s="84">
        <v>17379</v>
      </c>
      <c r="P24" s="84">
        <v>15091</v>
      </c>
      <c r="Q24" s="84">
        <v>9</v>
      </c>
      <c r="R24" s="268">
        <v>26741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16379</v>
      </c>
      <c r="O25" s="84">
        <v>20121</v>
      </c>
      <c r="P25" s="84">
        <v>16285</v>
      </c>
      <c r="Q25" s="84">
        <v>15329</v>
      </c>
      <c r="R25" s="267">
        <v>22105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15381</v>
      </c>
      <c r="O26" s="84">
        <v>17777</v>
      </c>
      <c r="P26" s="84">
        <v>23660</v>
      </c>
      <c r="Q26" s="84">
        <v>22751</v>
      </c>
      <c r="R26" s="269">
        <v>16842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4" t="s">
        <v>176</v>
      </c>
      <c r="K27" s="84" t="s">
        <v>176</v>
      </c>
      <c r="L27" s="84" t="s">
        <v>176</v>
      </c>
      <c r="M27" s="84" t="s">
        <v>176</v>
      </c>
      <c r="N27" s="84">
        <v>20093</v>
      </c>
      <c r="O27" s="84">
        <v>29865</v>
      </c>
      <c r="P27" s="84">
        <v>23987</v>
      </c>
      <c r="Q27" s="84">
        <v>24682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16516</v>
      </c>
      <c r="O28" s="84">
        <v>31120</v>
      </c>
      <c r="P28" s="84">
        <v>40969</v>
      </c>
      <c r="Q28" s="84">
        <v>37039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23055</v>
      </c>
      <c r="O29" s="84">
        <v>23322</v>
      </c>
      <c r="P29" s="84">
        <v>30770</v>
      </c>
      <c r="Q29" s="84">
        <v>15724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23936</v>
      </c>
      <c r="O30" s="84">
        <v>30189</v>
      </c>
      <c r="P30" s="84">
        <v>29245</v>
      </c>
      <c r="Q30" s="84">
        <v>24643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19179</v>
      </c>
      <c r="O31" s="84">
        <v>19205</v>
      </c>
      <c r="P31" s="84">
        <v>26804</v>
      </c>
      <c r="Q31" s="84">
        <v>23591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12639</v>
      </c>
      <c r="O32" s="92">
        <v>18011</v>
      </c>
      <c r="P32" s="92">
        <v>23095</v>
      </c>
      <c r="Q32" s="92">
        <v>20393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190919</v>
      </c>
      <c r="O33" s="168">
        <f>SUM(O21:O32)</f>
        <v>250883</v>
      </c>
      <c r="P33" s="168">
        <f>SUM(P21:P32)</f>
        <v>277734</v>
      </c>
      <c r="Q33" s="168">
        <f>SUM(Q21:Q32)</f>
        <v>236230</v>
      </c>
      <c r="R33" s="172">
        <f t="shared" ref="R33" si="1">SUM(R21:R32)</f>
        <v>109969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107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174">
        <v>0</v>
      </c>
      <c r="O37" s="174">
        <v>0</v>
      </c>
      <c r="P37" s="174">
        <v>-129</v>
      </c>
      <c r="Q37" s="174">
        <v>-2</v>
      </c>
      <c r="R37" s="275">
        <v>-5156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>
        <v>0</v>
      </c>
      <c r="O38" s="84">
        <v>0</v>
      </c>
      <c r="P38" s="84">
        <v>0</v>
      </c>
      <c r="Q38" s="84">
        <v>-143</v>
      </c>
      <c r="R38" s="266">
        <v>-1243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>
        <v>0</v>
      </c>
      <c r="O39" s="84">
        <v>-4</v>
      </c>
      <c r="P39" s="84">
        <v>-132</v>
      </c>
      <c r="Q39" s="84">
        <v>0</v>
      </c>
      <c r="R39" s="276">
        <v>-7467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4" t="s">
        <v>176</v>
      </c>
      <c r="K40" s="84" t="s">
        <v>176</v>
      </c>
      <c r="L40" s="84" t="s">
        <v>176</v>
      </c>
      <c r="M40" s="84" t="s">
        <v>176</v>
      </c>
      <c r="N40" s="84">
        <v>0</v>
      </c>
      <c r="O40" s="84">
        <v>0</v>
      </c>
      <c r="P40" s="84">
        <v>0</v>
      </c>
      <c r="Q40" s="84">
        <v>-111</v>
      </c>
      <c r="R40" s="266">
        <v>-404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0</v>
      </c>
      <c r="Q41" s="84">
        <v>0</v>
      </c>
      <c r="R41" s="277">
        <v>-4872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-46</v>
      </c>
      <c r="O42" s="84">
        <v>0</v>
      </c>
      <c r="P42" s="84">
        <v>0</v>
      </c>
      <c r="Q42" s="84">
        <v>-1</v>
      </c>
      <c r="R42" s="277">
        <v>-4352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4" t="s">
        <v>176</v>
      </c>
      <c r="K43" s="84" t="s">
        <v>176</v>
      </c>
      <c r="L43" s="84" t="s">
        <v>176</v>
      </c>
      <c r="M43" s="84" t="s">
        <v>176</v>
      </c>
      <c r="N43" s="84">
        <v>-488</v>
      </c>
      <c r="O43" s="84">
        <v>-1272</v>
      </c>
      <c r="P43" s="84">
        <v>-477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0</v>
      </c>
      <c r="O44" s="84">
        <v>-108</v>
      </c>
      <c r="P44" s="84">
        <v>-18</v>
      </c>
      <c r="Q44" s="84">
        <v>-3712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0</v>
      </c>
      <c r="P45" s="84">
        <v>0</v>
      </c>
      <c r="Q45" s="84">
        <v>-346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0</v>
      </c>
      <c r="O46" s="84">
        <v>-675</v>
      </c>
      <c r="P46" s="84">
        <v>0</v>
      </c>
      <c r="Q46" s="84">
        <v>346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-1</v>
      </c>
      <c r="O47" s="84">
        <v>-580</v>
      </c>
      <c r="P47" s="84">
        <v>0</v>
      </c>
      <c r="Q47" s="84">
        <v>-1083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-5</v>
      </c>
      <c r="O48" s="92">
        <v>-240</v>
      </c>
      <c r="P48" s="92">
        <v>0</v>
      </c>
      <c r="Q48" s="92">
        <v>-3683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-540</v>
      </c>
      <c r="O49" s="168">
        <f>SUM(O37:O48)</f>
        <v>-2879</v>
      </c>
      <c r="P49" s="168">
        <f>SUM(P37:P48)</f>
        <v>-756</v>
      </c>
      <c r="Q49" s="168">
        <f>SUM(Q37:Q48)</f>
        <v>-8735</v>
      </c>
      <c r="R49" s="278">
        <f t="shared" ref="R49" si="2">SUM(R37:R48)</f>
        <v>-23494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1" t="str">
        <f>'Local SUT'!A67</f>
        <v>Source:  Minnesota Department of Revenue, Tax Research Division, February 2021</v>
      </c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  <row r="66" spans="1:10">
      <c r="A66" s="132"/>
      <c r="B66" s="130"/>
    </row>
    <row r="67" spans="1:10">
      <c r="A67" s="132"/>
      <c r="B67" s="130"/>
    </row>
    <row r="68" spans="1:10">
      <c r="A68" s="153"/>
      <c r="B68" s="153"/>
      <c r="C68" s="153"/>
      <c r="D68" s="153"/>
      <c r="E68" s="153"/>
      <c r="F68" s="153"/>
      <c r="G68" s="153"/>
      <c r="H68" s="153"/>
      <c r="I68" s="153"/>
      <c r="J68" s="153"/>
    </row>
    <row r="83" spans="1:2">
      <c r="A83" s="132"/>
      <c r="B83" s="130"/>
    </row>
    <row r="84" spans="1:2">
      <c r="A84" s="132"/>
      <c r="B84" s="130"/>
    </row>
    <row r="85" spans="1:2">
      <c r="A85" s="132"/>
      <c r="B85" s="130"/>
    </row>
    <row r="86" spans="1:2">
      <c r="A86" s="132"/>
      <c r="B86" s="130"/>
    </row>
    <row r="87" spans="1:2">
      <c r="A87" s="132"/>
      <c r="B87" s="130"/>
    </row>
    <row r="89" spans="1:2">
      <c r="A89" s="132"/>
      <c r="B89" s="130"/>
    </row>
    <row r="90" spans="1:2">
      <c r="A90" s="132"/>
      <c r="B90" s="130"/>
    </row>
    <row r="91" spans="1:2">
      <c r="A91" s="132"/>
      <c r="B91" s="130"/>
    </row>
    <row r="92" spans="1:2">
      <c r="A92" s="132"/>
      <c r="B92" s="130"/>
    </row>
    <row r="93" spans="1:2">
      <c r="A93" s="132"/>
      <c r="B93" s="130"/>
    </row>
    <row r="94" spans="1:2">
      <c r="A94" s="132"/>
      <c r="B94" s="130"/>
    </row>
    <row r="95" spans="1:2">
      <c r="A95" s="132"/>
      <c r="B95" s="130"/>
    </row>
    <row r="96" spans="1:2">
      <c r="A96" s="132"/>
      <c r="B96" s="130"/>
    </row>
    <row r="97" spans="1:2">
      <c r="A97" s="132"/>
      <c r="B97" s="130"/>
    </row>
    <row r="98" spans="1:2">
      <c r="A98" s="132"/>
      <c r="B98" s="130"/>
    </row>
    <row r="99" spans="1:2">
      <c r="A99" s="132"/>
      <c r="B99" s="130"/>
    </row>
    <row r="100" spans="1:2">
      <c r="A100" s="132"/>
      <c r="B100" s="130"/>
    </row>
    <row r="101" spans="1:2">
      <c r="A101" s="132"/>
      <c r="B101" s="130"/>
    </row>
    <row r="102" spans="1:2">
      <c r="A102" s="132"/>
      <c r="B102" s="130"/>
    </row>
    <row r="103" spans="1:2">
      <c r="A103" s="132"/>
      <c r="B103" s="130"/>
    </row>
    <row r="104" spans="1:2">
      <c r="A104" s="132"/>
      <c r="B104" s="130"/>
    </row>
    <row r="105" spans="1:2">
      <c r="A105" s="132"/>
      <c r="B105" s="130"/>
    </row>
    <row r="106" spans="1:2">
      <c r="A106" s="132"/>
      <c r="B106" s="130"/>
    </row>
    <row r="107" spans="1:2">
      <c r="A107" s="132"/>
      <c r="B107" s="130"/>
    </row>
    <row r="108" spans="1:2">
      <c r="A108" s="132"/>
      <c r="B108" s="130"/>
    </row>
    <row r="109" spans="1:2">
      <c r="A109" s="132"/>
      <c r="B109" s="130"/>
    </row>
    <row r="110" spans="1:2">
      <c r="A110" s="132"/>
      <c r="B110" s="130"/>
    </row>
    <row r="111" spans="1:2">
      <c r="A111" s="132"/>
      <c r="B111" s="130"/>
    </row>
    <row r="112" spans="1:2">
      <c r="A112" s="132"/>
      <c r="B112" s="130"/>
    </row>
    <row r="113" spans="1:2">
      <c r="A113" s="132"/>
      <c r="B113" s="130"/>
    </row>
    <row r="114" spans="1:2">
      <c r="A114" s="132"/>
      <c r="B114" s="130"/>
    </row>
    <row r="115" spans="1:2">
      <c r="A115" s="132"/>
      <c r="B115" s="130"/>
    </row>
    <row r="116" spans="1:2">
      <c r="A116" s="132"/>
      <c r="B116" s="130"/>
    </row>
    <row r="117" spans="1:2">
      <c r="A117" s="132"/>
      <c r="B117" s="130"/>
    </row>
    <row r="118" spans="1:2">
      <c r="A118" s="132"/>
      <c r="B118" s="130"/>
    </row>
    <row r="119" spans="1:2">
      <c r="A119" s="132"/>
      <c r="B119" s="130"/>
    </row>
    <row r="120" spans="1:2">
      <c r="A120" s="132"/>
      <c r="B120" s="130"/>
    </row>
    <row r="121" spans="1:2">
      <c r="A121" s="132"/>
      <c r="B121" s="130"/>
    </row>
    <row r="122" spans="1:2">
      <c r="A122" s="132"/>
      <c r="B122" s="130"/>
    </row>
    <row r="123" spans="1:2">
      <c r="A123" s="132"/>
      <c r="B123" s="130"/>
    </row>
    <row r="124" spans="1:2">
      <c r="A124" s="132"/>
      <c r="B124" s="130"/>
    </row>
    <row r="125" spans="1:2">
      <c r="A125" s="132"/>
      <c r="B125" s="130"/>
    </row>
    <row r="126" spans="1:2">
      <c r="A126" s="132"/>
      <c r="B126" s="130"/>
    </row>
    <row r="127" spans="1:2">
      <c r="A127" s="132"/>
      <c r="B127" s="130"/>
    </row>
    <row r="128" spans="1:2">
      <c r="A128" s="132"/>
      <c r="B128" s="130"/>
    </row>
    <row r="129" spans="1:2">
      <c r="A129" s="132"/>
      <c r="B129" s="130"/>
    </row>
    <row r="130" spans="1:2">
      <c r="A130" s="132"/>
      <c r="B130" s="130"/>
    </row>
    <row r="131" spans="1:2">
      <c r="A131" s="132"/>
      <c r="B131" s="130"/>
    </row>
    <row r="132" spans="1:2">
      <c r="A132" s="132"/>
      <c r="B132" s="130"/>
    </row>
    <row r="133" spans="1:2">
      <c r="A133" s="132"/>
      <c r="B133" s="130"/>
    </row>
    <row r="134" spans="1:2">
      <c r="A134" s="132"/>
      <c r="B134" s="130"/>
    </row>
    <row r="135" spans="1:2">
      <c r="A135" s="132"/>
      <c r="B135" s="130"/>
    </row>
    <row r="136" spans="1:2">
      <c r="A136" s="132"/>
      <c r="B136" s="130"/>
    </row>
    <row r="137" spans="1:2">
      <c r="A137" s="132"/>
      <c r="B137" s="130"/>
    </row>
    <row r="138" spans="1:2">
      <c r="A138" s="132"/>
      <c r="B138" s="130"/>
    </row>
    <row r="139" spans="1:2">
      <c r="A139" s="132"/>
      <c r="B139" s="130"/>
    </row>
    <row r="140" spans="1:2">
      <c r="A140" s="132"/>
      <c r="B140" s="130"/>
    </row>
    <row r="141" spans="1:2">
      <c r="A141" s="132"/>
      <c r="B141" s="130"/>
    </row>
    <row r="142" spans="1:2">
      <c r="A142" s="132"/>
      <c r="B142" s="130"/>
    </row>
    <row r="143" spans="1:2">
      <c r="A143" s="132"/>
      <c r="B143" s="130"/>
    </row>
    <row r="144" spans="1:2">
      <c r="A144" s="132"/>
      <c r="B144" s="130"/>
    </row>
    <row r="145" spans="1:2">
      <c r="A145" s="132"/>
      <c r="B145" s="130"/>
    </row>
    <row r="146" spans="1:2">
      <c r="A146" s="132"/>
      <c r="B146" s="130"/>
    </row>
    <row r="147" spans="1:2">
      <c r="A147" s="132"/>
      <c r="B147" s="130"/>
    </row>
    <row r="148" spans="1:2">
      <c r="A148" s="132"/>
      <c r="B148" s="130"/>
    </row>
    <row r="149" spans="1:2">
      <c r="A149" s="132"/>
      <c r="B149" s="130"/>
    </row>
    <row r="150" spans="1:2">
      <c r="A150" s="132"/>
      <c r="B150" s="130"/>
    </row>
    <row r="151" spans="1:2">
      <c r="A151" s="132"/>
      <c r="B151" s="130"/>
    </row>
    <row r="152" spans="1:2">
      <c r="A152" s="132"/>
      <c r="B152" s="130"/>
    </row>
    <row r="153" spans="1:2">
      <c r="A153" s="132"/>
      <c r="B153" s="130"/>
    </row>
    <row r="154" spans="1:2">
      <c r="A154" s="132"/>
      <c r="B154" s="130"/>
    </row>
    <row r="155" spans="1:2">
      <c r="A155" s="132"/>
      <c r="B155" s="130"/>
    </row>
    <row r="156" spans="1:2">
      <c r="A156" s="132"/>
      <c r="B156" s="130"/>
    </row>
    <row r="157" spans="1:2">
      <c r="A157" s="132"/>
      <c r="B157" s="130"/>
    </row>
    <row r="158" spans="1:2">
      <c r="A158" s="132"/>
      <c r="B158" s="130"/>
    </row>
    <row r="159" spans="1:2">
      <c r="A159" s="132"/>
      <c r="B159" s="130"/>
    </row>
    <row r="160" spans="1:2">
      <c r="A160" s="132"/>
      <c r="B160" s="130"/>
    </row>
    <row r="161" spans="1:2">
      <c r="A161" s="132"/>
      <c r="B161" s="130"/>
    </row>
    <row r="162" spans="1:2">
      <c r="A162" s="132"/>
      <c r="B162" s="130"/>
    </row>
    <row r="163" spans="1:2">
      <c r="A163" s="132"/>
      <c r="B163" s="130"/>
    </row>
    <row r="164" spans="1:2">
      <c r="A164" s="132"/>
      <c r="B164" s="130"/>
    </row>
    <row r="165" spans="1:2">
      <c r="A165" s="132"/>
      <c r="B165" s="130"/>
    </row>
    <row r="166" spans="1:2">
      <c r="A166" s="132"/>
      <c r="B166" s="130"/>
    </row>
    <row r="167" spans="1:2">
      <c r="A167" s="132"/>
      <c r="B167" s="130"/>
    </row>
    <row r="168" spans="1:2">
      <c r="A168" s="132"/>
      <c r="B168" s="130"/>
    </row>
    <row r="169" spans="1:2">
      <c r="A169" s="132"/>
      <c r="B169" s="130"/>
    </row>
    <row r="170" spans="1:2">
      <c r="A170" s="132"/>
      <c r="B170" s="130"/>
    </row>
    <row r="171" spans="1:2">
      <c r="A171" s="132"/>
      <c r="B171" s="130"/>
    </row>
    <row r="172" spans="1:2">
      <c r="A172" s="132"/>
      <c r="B172" s="130"/>
    </row>
    <row r="173" spans="1:2">
      <c r="A173" s="132"/>
      <c r="B173" s="130"/>
    </row>
    <row r="174" spans="1:2">
      <c r="A174" s="132"/>
      <c r="B174" s="130"/>
    </row>
    <row r="175" spans="1:2">
      <c r="A175" s="132"/>
      <c r="B175" s="130"/>
    </row>
    <row r="176" spans="1:2">
      <c r="A176" s="132"/>
      <c r="B176" s="130"/>
    </row>
    <row r="177" spans="1:2">
      <c r="A177" s="132"/>
      <c r="B177" s="130"/>
    </row>
    <row r="178" spans="1:2">
      <c r="A178" s="132"/>
      <c r="B178" s="130"/>
    </row>
    <row r="179" spans="1:2">
      <c r="A179" s="132"/>
      <c r="B179" s="130"/>
    </row>
    <row r="180" spans="1:2">
      <c r="A180" s="132"/>
      <c r="B180" s="130"/>
    </row>
    <row r="181" spans="1:2">
      <c r="A181" s="132"/>
      <c r="B181" s="130"/>
    </row>
    <row r="182" spans="1:2">
      <c r="A182" s="132"/>
      <c r="B182" s="130"/>
    </row>
    <row r="183" spans="1:2">
      <c r="A183" s="132"/>
      <c r="B183" s="130"/>
    </row>
    <row r="184" spans="1:2">
      <c r="A184" s="132"/>
      <c r="B184" s="130"/>
    </row>
    <row r="185" spans="1:2">
      <c r="A185" s="132"/>
      <c r="B185" s="130"/>
    </row>
    <row r="186" spans="1:2">
      <c r="A186" s="132"/>
      <c r="B186" s="130"/>
    </row>
    <row r="187" spans="1:2">
      <c r="A187" s="132"/>
      <c r="B187" s="130"/>
    </row>
    <row r="188" spans="1:2">
      <c r="A188" s="132"/>
      <c r="B188" s="130"/>
    </row>
    <row r="189" spans="1:2">
      <c r="A189" s="132"/>
      <c r="B189" s="130"/>
    </row>
    <row r="190" spans="1:2">
      <c r="A190" s="132"/>
      <c r="B190" s="130"/>
    </row>
    <row r="191" spans="1:2">
      <c r="A191" s="132"/>
      <c r="B191" s="130"/>
    </row>
    <row r="192" spans="1:2">
      <c r="A192" s="132"/>
      <c r="B192" s="130"/>
    </row>
    <row r="193" spans="1:2">
      <c r="A193" s="132"/>
      <c r="B193" s="130"/>
    </row>
    <row r="194" spans="1:2">
      <c r="A194" s="132"/>
      <c r="B194" s="130"/>
    </row>
    <row r="195" spans="1:2">
      <c r="A195" s="132"/>
      <c r="B195" s="130"/>
    </row>
    <row r="196" spans="1:2">
      <c r="A196" s="132"/>
      <c r="B196" s="130"/>
    </row>
    <row r="197" spans="1:2">
      <c r="A197" s="132"/>
      <c r="B197" s="130"/>
    </row>
    <row r="198" spans="1:2">
      <c r="A198" s="132"/>
      <c r="B198" s="130"/>
    </row>
    <row r="199" spans="1:2">
      <c r="A199" s="132"/>
      <c r="B199" s="130"/>
    </row>
    <row r="200" spans="1:2">
      <c r="A200" s="132"/>
      <c r="B200" s="130"/>
    </row>
    <row r="201" spans="1:2">
      <c r="A201" s="132"/>
      <c r="B201" s="130"/>
    </row>
    <row r="202" spans="1:2">
      <c r="A202" s="132"/>
      <c r="B202" s="130"/>
    </row>
    <row r="203" spans="1:2">
      <c r="A203" s="132"/>
      <c r="B203" s="130"/>
    </row>
    <row r="204" spans="1:2">
      <c r="A204" s="132"/>
      <c r="B204" s="130"/>
    </row>
    <row r="205" spans="1:2">
      <c r="A205" s="132"/>
      <c r="B205" s="130"/>
    </row>
    <row r="206" spans="1:2">
      <c r="A206" s="132"/>
      <c r="B206" s="130"/>
    </row>
    <row r="207" spans="1:2">
      <c r="A207" s="132"/>
      <c r="B207" s="130"/>
    </row>
    <row r="208" spans="1:2">
      <c r="A208" s="132"/>
      <c r="B208" s="130"/>
    </row>
    <row r="209" spans="1:2">
      <c r="A209" s="132"/>
      <c r="B209" s="130"/>
    </row>
    <row r="210" spans="1:2">
      <c r="A210" s="132"/>
      <c r="B210" s="130"/>
    </row>
    <row r="211" spans="1:2">
      <c r="A211" s="132"/>
      <c r="B211" s="130"/>
    </row>
    <row r="212" spans="1:2">
      <c r="A212" s="132"/>
      <c r="B212" s="130"/>
    </row>
    <row r="213" spans="1:2">
      <c r="A213" s="132"/>
      <c r="B213" s="130"/>
    </row>
    <row r="214" spans="1:2">
      <c r="A214" s="132"/>
      <c r="B214" s="130"/>
    </row>
    <row r="215" spans="1:2">
      <c r="A215" s="132"/>
      <c r="B215" s="130"/>
    </row>
    <row r="216" spans="1:2">
      <c r="A216" s="132"/>
      <c r="B216" s="130"/>
    </row>
    <row r="217" spans="1:2">
      <c r="A217" s="132"/>
      <c r="B217" s="130"/>
    </row>
    <row r="218" spans="1:2">
      <c r="A218" s="132"/>
      <c r="B218" s="130"/>
    </row>
    <row r="219" spans="1:2">
      <c r="A219" s="132"/>
      <c r="B219" s="130"/>
    </row>
    <row r="220" spans="1:2">
      <c r="A220" s="132"/>
      <c r="B220" s="130"/>
    </row>
    <row r="221" spans="1:2">
      <c r="A221" s="132"/>
      <c r="B221" s="130"/>
    </row>
    <row r="222" spans="1:2">
      <c r="A222" s="132"/>
      <c r="B222" s="130"/>
    </row>
    <row r="223" spans="1:2">
      <c r="A223" s="132"/>
      <c r="B223" s="130"/>
    </row>
    <row r="224" spans="1:2">
      <c r="A224" s="132"/>
      <c r="B224" s="130"/>
    </row>
    <row r="225" spans="1:2">
      <c r="A225" s="132"/>
      <c r="B225" s="130"/>
    </row>
  </sheetData>
  <mergeCells count="11">
    <mergeCell ref="A35:R35"/>
    <mergeCell ref="A50:R50"/>
    <mergeCell ref="A51:R51"/>
    <mergeCell ref="A53:R53"/>
    <mergeCell ref="A1:S1"/>
    <mergeCell ref="A52:R52"/>
    <mergeCell ref="A2:R2"/>
    <mergeCell ref="A3:R3"/>
    <mergeCell ref="A18:R18"/>
    <mergeCell ref="A19:R19"/>
    <mergeCell ref="A34:R34"/>
  </mergeCells>
  <pageMargins left="0" right="0" top="0.75" bottom="0" header="0.3" footer="0.3"/>
  <pageSetup scale="88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23">
    <pageSetUpPr fitToPage="1"/>
  </sheetPr>
  <dimension ref="A1:S54"/>
  <sheetViews>
    <sheetView showGridLines="0" zoomScaleNormal="100" workbookViewId="0">
      <pane ySplit="1" topLeftCell="A2" activePane="bottomLeft" state="frozen"/>
      <selection pane="bottomLeft" sqref="A1:S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7" width="12.5" style="120"/>
    <col min="18" max="18" width="13.6640625" style="81" bestFit="1" customWidth="1"/>
    <col min="19" max="16384" width="12.5" style="120"/>
  </cols>
  <sheetData>
    <row r="1" spans="1:19" s="44" customFormat="1" ht="21">
      <c r="A1" s="338" t="s">
        <v>262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</row>
    <row r="2" spans="1:19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45" customFormat="1" ht="19">
      <c r="A3" s="348" t="s">
        <v>89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9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19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174">
        <v>62413</v>
      </c>
      <c r="P5" s="174">
        <v>69234</v>
      </c>
      <c r="Q5" s="174">
        <v>77092</v>
      </c>
      <c r="R5" s="255">
        <v>85253</v>
      </c>
    </row>
    <row r="6" spans="1:19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>
        <v>50769</v>
      </c>
      <c r="P6" s="84">
        <v>52148</v>
      </c>
      <c r="Q6" s="84">
        <v>62081</v>
      </c>
      <c r="R6" s="256">
        <v>67014</v>
      </c>
    </row>
    <row r="7" spans="1:19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>
        <v>46959</v>
      </c>
      <c r="P7" s="84">
        <v>50969</v>
      </c>
      <c r="Q7" s="84">
        <v>55227</v>
      </c>
      <c r="R7" s="257">
        <v>55586</v>
      </c>
    </row>
    <row r="8" spans="1:19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83" t="s">
        <v>176</v>
      </c>
      <c r="N8" s="176">
        <v>0</v>
      </c>
      <c r="O8" s="214">
        <v>52069</v>
      </c>
      <c r="P8" s="214">
        <v>60058</v>
      </c>
      <c r="Q8" s="214">
        <v>62069</v>
      </c>
      <c r="R8" s="257">
        <v>67528</v>
      </c>
    </row>
    <row r="9" spans="1:19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84">
        <v>46548</v>
      </c>
      <c r="O9" s="84">
        <v>56678</v>
      </c>
      <c r="P9" s="84">
        <v>52661</v>
      </c>
      <c r="Q9" s="84">
        <v>65064</v>
      </c>
      <c r="R9" s="258">
        <v>72804</v>
      </c>
    </row>
    <row r="10" spans="1:19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84">
        <v>69264</v>
      </c>
      <c r="O10" s="84">
        <v>67556</v>
      </c>
      <c r="P10" s="84">
        <v>70291</v>
      </c>
      <c r="Q10" s="84">
        <v>78559</v>
      </c>
      <c r="R10" s="259">
        <v>88375</v>
      </c>
    </row>
    <row r="11" spans="1:19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3" t="s">
        <v>176</v>
      </c>
      <c r="N11" s="84">
        <v>61568</v>
      </c>
      <c r="O11" s="84">
        <v>65610</v>
      </c>
      <c r="P11" s="84">
        <v>79492</v>
      </c>
      <c r="Q11" s="84">
        <v>78202</v>
      </c>
      <c r="R11" s="252" t="s">
        <v>176</v>
      </c>
    </row>
    <row r="12" spans="1:19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84">
        <v>80119</v>
      </c>
      <c r="O12" s="84">
        <v>79313</v>
      </c>
      <c r="P12" s="84">
        <v>85181</v>
      </c>
      <c r="Q12" s="84">
        <v>90580</v>
      </c>
      <c r="R12" s="253" t="s">
        <v>176</v>
      </c>
    </row>
    <row r="13" spans="1:19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84">
        <v>67533</v>
      </c>
      <c r="O13" s="84">
        <v>66891</v>
      </c>
      <c r="P13" s="84">
        <v>74603</v>
      </c>
      <c r="Q13" s="84">
        <v>84261</v>
      </c>
      <c r="R13" s="253" t="s">
        <v>176</v>
      </c>
    </row>
    <row r="14" spans="1:19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84">
        <v>67145</v>
      </c>
      <c r="O14" s="84">
        <v>71820</v>
      </c>
      <c r="P14" s="84">
        <v>73000</v>
      </c>
      <c r="Q14" s="84">
        <v>83774</v>
      </c>
      <c r="R14" s="253" t="s">
        <v>176</v>
      </c>
    </row>
    <row r="15" spans="1:19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84">
        <v>58235</v>
      </c>
      <c r="O15" s="84">
        <v>44151</v>
      </c>
      <c r="P15" s="84">
        <v>74312</v>
      </c>
      <c r="Q15" s="84">
        <v>78958</v>
      </c>
      <c r="R15" s="253" t="s">
        <v>176</v>
      </c>
    </row>
    <row r="16" spans="1:19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92">
        <v>54173</v>
      </c>
      <c r="O16" s="92">
        <v>60743</v>
      </c>
      <c r="P16" s="92">
        <v>68223</v>
      </c>
      <c r="Q16" s="92">
        <v>71219</v>
      </c>
      <c r="R16" s="254" t="s">
        <v>176</v>
      </c>
    </row>
    <row r="17" spans="1:18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504585</v>
      </c>
      <c r="O17" s="168">
        <f>SUM(O5:O16)</f>
        <v>724972</v>
      </c>
      <c r="P17" s="168">
        <f>SUM(P5:P16)</f>
        <v>810172</v>
      </c>
      <c r="Q17" s="168">
        <f>SUM(Q5:Q16)</f>
        <v>887086</v>
      </c>
      <c r="R17" s="172">
        <f t="shared" ref="R17" si="0">SUM(R5:R16)</f>
        <v>436560</v>
      </c>
    </row>
    <row r="18" spans="1:18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8" s="45" customFormat="1" ht="19">
      <c r="A19" s="348" t="s">
        <v>90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</row>
    <row r="20" spans="1:18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8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174">
        <v>10676</v>
      </c>
      <c r="P21" s="174">
        <v>10983</v>
      </c>
      <c r="Q21" s="174">
        <v>20206</v>
      </c>
      <c r="R21" s="265">
        <v>9780</v>
      </c>
    </row>
    <row r="22" spans="1:18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>
        <v>6918</v>
      </c>
      <c r="P22" s="84">
        <v>8007</v>
      </c>
      <c r="Q22" s="84">
        <v>8635</v>
      </c>
      <c r="R22" s="266">
        <v>6795</v>
      </c>
    </row>
    <row r="23" spans="1:18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>
        <v>7074</v>
      </c>
      <c r="P23" s="84">
        <v>8111</v>
      </c>
      <c r="Q23" s="84">
        <v>7483</v>
      </c>
      <c r="R23" s="267">
        <v>7564</v>
      </c>
    </row>
    <row r="24" spans="1:18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83" t="s">
        <v>176</v>
      </c>
      <c r="N24" s="176">
        <v>0</v>
      </c>
      <c r="O24" s="214">
        <v>9098</v>
      </c>
      <c r="P24" s="214">
        <v>9199</v>
      </c>
      <c r="Q24" s="214">
        <v>9025</v>
      </c>
      <c r="R24" s="268">
        <v>9979</v>
      </c>
    </row>
    <row r="25" spans="1:18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84">
        <v>5276</v>
      </c>
      <c r="O25" s="84">
        <v>7641</v>
      </c>
      <c r="P25" s="84">
        <v>8815</v>
      </c>
      <c r="Q25" s="84">
        <v>8115</v>
      </c>
      <c r="R25" s="267">
        <v>8461</v>
      </c>
    </row>
    <row r="26" spans="1:18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84">
        <v>5173</v>
      </c>
      <c r="O26" s="84">
        <v>7874</v>
      </c>
      <c r="P26" s="84">
        <v>10090</v>
      </c>
      <c r="Q26" s="84">
        <v>8787</v>
      </c>
      <c r="R26" s="269">
        <v>8211</v>
      </c>
    </row>
    <row r="27" spans="1:18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3" t="s">
        <v>176</v>
      </c>
      <c r="N27" s="84">
        <v>7762</v>
      </c>
      <c r="O27" s="84">
        <v>11053</v>
      </c>
      <c r="P27" s="84">
        <v>11379</v>
      </c>
      <c r="Q27" s="84">
        <v>11099</v>
      </c>
      <c r="R27" s="252" t="s">
        <v>176</v>
      </c>
    </row>
    <row r="28" spans="1:18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84">
        <v>5693</v>
      </c>
      <c r="O28" s="84">
        <v>8166</v>
      </c>
      <c r="P28" s="84">
        <v>10814</v>
      </c>
      <c r="Q28" s="84">
        <v>10170</v>
      </c>
      <c r="R28" s="253" t="s">
        <v>176</v>
      </c>
    </row>
    <row r="29" spans="1:18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84">
        <v>7363</v>
      </c>
      <c r="O29" s="84">
        <v>9069</v>
      </c>
      <c r="P29" s="84">
        <v>9644</v>
      </c>
      <c r="Q29" s="84">
        <v>13180</v>
      </c>
      <c r="R29" s="253" t="s">
        <v>176</v>
      </c>
    </row>
    <row r="30" spans="1:18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84">
        <v>12845</v>
      </c>
      <c r="O30" s="84">
        <v>10322</v>
      </c>
      <c r="P30" s="84">
        <v>13167</v>
      </c>
      <c r="Q30" s="84">
        <v>22721</v>
      </c>
      <c r="R30" s="253" t="s">
        <v>176</v>
      </c>
    </row>
    <row r="31" spans="1:18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84">
        <v>9786</v>
      </c>
      <c r="O31" s="84">
        <v>9167</v>
      </c>
      <c r="P31" s="84">
        <v>9580</v>
      </c>
      <c r="Q31" s="84">
        <v>12133</v>
      </c>
      <c r="R31" s="253" t="s">
        <v>176</v>
      </c>
    </row>
    <row r="32" spans="1:18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92">
        <v>9732</v>
      </c>
      <c r="O32" s="92">
        <v>8460</v>
      </c>
      <c r="P32" s="92">
        <v>9685</v>
      </c>
      <c r="Q32" s="92">
        <v>11037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63630</v>
      </c>
      <c r="O33" s="168">
        <f>SUM(O21:O32)</f>
        <v>105518</v>
      </c>
      <c r="P33" s="168">
        <f>SUM(P21:P32)</f>
        <v>119474</v>
      </c>
      <c r="Q33" s="168">
        <f>SUM(Q21:Q32)</f>
        <v>142591</v>
      </c>
      <c r="R33" s="172">
        <f t="shared" ref="R33" si="1">SUM(R21:R32)</f>
        <v>50790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113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174">
        <v>0</v>
      </c>
      <c r="P37" s="174">
        <v>-33</v>
      </c>
      <c r="Q37" s="174">
        <v>-3407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>
        <v>0</v>
      </c>
      <c r="P38" s="84">
        <v>0</v>
      </c>
      <c r="Q38" s="84">
        <v>0</v>
      </c>
      <c r="R38" s="277">
        <v>-34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>
        <v>0</v>
      </c>
      <c r="P39" s="84">
        <v>0</v>
      </c>
      <c r="Q39" s="84">
        <v>0</v>
      </c>
      <c r="R39" s="276">
        <v>-123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83" t="s">
        <v>176</v>
      </c>
      <c r="N40" s="176">
        <v>0</v>
      </c>
      <c r="O40" s="214">
        <v>-51</v>
      </c>
      <c r="P40" s="214">
        <v>-33</v>
      </c>
      <c r="Q40" s="214">
        <v>-15</v>
      </c>
      <c r="R40" s="266">
        <v>-6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84">
        <v>0</v>
      </c>
      <c r="O41" s="84">
        <v>0</v>
      </c>
      <c r="P41" s="84">
        <v>0</v>
      </c>
      <c r="Q41" s="84">
        <v>0</v>
      </c>
      <c r="R41" s="277">
        <v>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84">
        <v>0</v>
      </c>
      <c r="O42" s="84">
        <v>-29</v>
      </c>
      <c r="P42" s="84">
        <v>0</v>
      </c>
      <c r="Q42" s="84">
        <v>0</v>
      </c>
      <c r="R42" s="277">
        <v>-123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3" t="s">
        <v>176</v>
      </c>
      <c r="N43" s="84">
        <v>0</v>
      </c>
      <c r="O43" s="84">
        <v>0</v>
      </c>
      <c r="P43" s="84">
        <v>0</v>
      </c>
      <c r="Q43" s="8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84">
        <v>-28</v>
      </c>
      <c r="O44" s="84">
        <v>-13</v>
      </c>
      <c r="P44" s="84">
        <v>0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84">
        <v>0</v>
      </c>
      <c r="O45" s="84">
        <v>-694</v>
      </c>
      <c r="P45" s="84">
        <v>0</v>
      </c>
      <c r="Q45" s="84">
        <v>-1864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84">
        <v>0</v>
      </c>
      <c r="O46" s="84">
        <v>-6</v>
      </c>
      <c r="P46" s="84">
        <v>0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84">
        <v>0</v>
      </c>
      <c r="O47" s="84">
        <v>0</v>
      </c>
      <c r="P47" s="84">
        <v>-22</v>
      </c>
      <c r="Q47" s="84">
        <v>-34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92">
        <v>-20617</v>
      </c>
      <c r="O48" s="92">
        <v>0</v>
      </c>
      <c r="P48" s="92">
        <v>-12</v>
      </c>
      <c r="Q48" s="92">
        <v>0</v>
      </c>
      <c r="R48" s="254" t="s">
        <v>176</v>
      </c>
    </row>
    <row r="49" spans="1:18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-20645</v>
      </c>
      <c r="O49" s="168">
        <f>SUM(O37:O48)</f>
        <v>-793</v>
      </c>
      <c r="P49" s="168">
        <f>SUM(P37:P48)</f>
        <v>-100</v>
      </c>
      <c r="Q49" s="168">
        <f>SUM(Q37:Q48)</f>
        <v>-5320</v>
      </c>
      <c r="R49" s="278">
        <f t="shared" ref="R49" si="2">SUM(R37:R48)</f>
        <v>-286</v>
      </c>
    </row>
    <row r="50" spans="1:18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18" s="48" customFormat="1" ht="14">
      <c r="A51" s="344" t="s">
        <v>215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</row>
    <row r="52" spans="1:18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</row>
    <row r="53" spans="1:18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18">
      <c r="R54" s="48"/>
    </row>
  </sheetData>
  <mergeCells count="11">
    <mergeCell ref="A1:S1"/>
    <mergeCell ref="A2:R2"/>
    <mergeCell ref="A3:R3"/>
    <mergeCell ref="A18:R18"/>
    <mergeCell ref="A19:R19"/>
    <mergeCell ref="A53:R53"/>
    <mergeCell ref="A52:R52"/>
    <mergeCell ref="A34:R34"/>
    <mergeCell ref="A35:R35"/>
    <mergeCell ref="A50:R50"/>
    <mergeCell ref="A51:R51"/>
  </mergeCells>
  <pageMargins left="0" right="0" top="0.75" bottom="0.75" header="0.3" footer="0.3"/>
  <pageSetup scale="86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B281-AE3E-4556-A9BD-8CF4D0D7CE86}">
  <sheetPr codeName="Sheet52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6" width="0" style="120" hidden="1" customWidth="1"/>
    <col min="17" max="17" width="12.5" style="120"/>
    <col min="18" max="18" width="13.6640625" style="81" bestFit="1" customWidth="1"/>
    <col min="19" max="16384" width="12.5" style="120"/>
  </cols>
  <sheetData>
    <row r="1" spans="1:22" s="44" customFormat="1" ht="21">
      <c r="A1" s="338" t="s">
        <v>297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</row>
    <row r="2" spans="1:22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2" s="45" customFormat="1" ht="19">
      <c r="A3" s="339" t="s">
        <v>298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2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2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97" t="s">
        <v>176</v>
      </c>
      <c r="Q5" s="97" t="s">
        <v>176</v>
      </c>
      <c r="R5" s="255">
        <v>208982</v>
      </c>
    </row>
    <row r="6" spans="1:22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165029</v>
      </c>
    </row>
    <row r="7" spans="1:22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154507</v>
      </c>
    </row>
    <row r="8" spans="1:22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83" t="s">
        <v>176</v>
      </c>
      <c r="N8" s="97" t="s">
        <v>176</v>
      </c>
      <c r="O8" s="97" t="s">
        <v>176</v>
      </c>
      <c r="P8" s="97" t="s">
        <v>176</v>
      </c>
      <c r="Q8" s="97" t="s">
        <v>176</v>
      </c>
      <c r="R8" s="257">
        <v>180840</v>
      </c>
    </row>
    <row r="9" spans="1:22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97" t="s">
        <v>176</v>
      </c>
      <c r="O9" s="97" t="s">
        <v>176</v>
      </c>
      <c r="P9" s="97" t="s">
        <v>176</v>
      </c>
      <c r="Q9" s="97" t="s">
        <v>176</v>
      </c>
      <c r="R9" s="258">
        <v>206509</v>
      </c>
    </row>
    <row r="10" spans="1:22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97" t="s">
        <v>176</v>
      </c>
      <c r="O10" s="97" t="s">
        <v>176</v>
      </c>
      <c r="P10" s="97" t="s">
        <v>176</v>
      </c>
      <c r="Q10" s="97" t="s">
        <v>176</v>
      </c>
      <c r="R10" s="259">
        <v>250856</v>
      </c>
    </row>
    <row r="11" spans="1:22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3" t="s">
        <v>176</v>
      </c>
      <c r="N11" s="97" t="s">
        <v>176</v>
      </c>
      <c r="O11" s="97" t="s">
        <v>176</v>
      </c>
      <c r="P11" s="97" t="s">
        <v>176</v>
      </c>
      <c r="Q11" s="174">
        <v>27</v>
      </c>
      <c r="R11" s="252" t="s">
        <v>176</v>
      </c>
    </row>
    <row r="12" spans="1:22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97" t="s">
        <v>176</v>
      </c>
      <c r="O12" s="97" t="s">
        <v>176</v>
      </c>
      <c r="P12" s="97" t="s">
        <v>176</v>
      </c>
      <c r="Q12" s="84">
        <v>169019</v>
      </c>
      <c r="R12" s="253" t="s">
        <v>176</v>
      </c>
    </row>
    <row r="13" spans="1:22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97" t="s">
        <v>176</v>
      </c>
      <c r="O13" s="97" t="s">
        <v>176</v>
      </c>
      <c r="P13" s="97" t="s">
        <v>176</v>
      </c>
      <c r="Q13" s="84">
        <v>185128</v>
      </c>
      <c r="R13" s="253" t="s">
        <v>176</v>
      </c>
    </row>
    <row r="14" spans="1:22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97" t="s">
        <v>176</v>
      </c>
      <c r="O14" s="97" t="s">
        <v>176</v>
      </c>
      <c r="P14" s="97" t="s">
        <v>176</v>
      </c>
      <c r="Q14" s="84">
        <v>185296</v>
      </c>
      <c r="R14" s="253" t="s">
        <v>176</v>
      </c>
    </row>
    <row r="15" spans="1:22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97" t="s">
        <v>176</v>
      </c>
      <c r="O15" s="97" t="s">
        <v>176</v>
      </c>
      <c r="P15" s="97" t="s">
        <v>176</v>
      </c>
      <c r="Q15" s="84">
        <v>186368</v>
      </c>
      <c r="R15" s="253" t="s">
        <v>176</v>
      </c>
    </row>
    <row r="16" spans="1:22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309" t="s">
        <v>176</v>
      </c>
      <c r="O16" s="309" t="s">
        <v>176</v>
      </c>
      <c r="P16" s="309" t="s">
        <v>176</v>
      </c>
      <c r="Q16" s="92">
        <v>187293</v>
      </c>
      <c r="R16" s="254" t="s">
        <v>176</v>
      </c>
    </row>
    <row r="17" spans="1:19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0</v>
      </c>
      <c r="O17" s="168">
        <f>SUM(O5:O16)</f>
        <v>0</v>
      </c>
      <c r="P17" s="168">
        <f>SUM(P5:P16)</f>
        <v>0</v>
      </c>
      <c r="Q17" s="168">
        <f>SUM(Q5:Q16)</f>
        <v>913131</v>
      </c>
      <c r="R17" s="172">
        <f t="shared" ref="R17" si="0">SUM(R5:R16)</f>
        <v>1166723</v>
      </c>
    </row>
    <row r="18" spans="1:19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9" s="45" customFormat="1" ht="19">
      <c r="A19" s="339" t="s">
        <v>299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97" t="s">
        <v>176</v>
      </c>
      <c r="Q21" s="97" t="s">
        <v>176</v>
      </c>
      <c r="R21" s="265">
        <v>5737</v>
      </c>
    </row>
    <row r="22" spans="1:19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3901</v>
      </c>
    </row>
    <row r="23" spans="1:19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4229</v>
      </c>
    </row>
    <row r="24" spans="1:19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83" t="s">
        <v>176</v>
      </c>
      <c r="N24" s="97" t="s">
        <v>176</v>
      </c>
      <c r="O24" s="97" t="s">
        <v>176</v>
      </c>
      <c r="P24" s="97" t="s">
        <v>176</v>
      </c>
      <c r="Q24" s="97" t="s">
        <v>176</v>
      </c>
      <c r="R24" s="268">
        <v>3130</v>
      </c>
    </row>
    <row r="25" spans="1:19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97" t="s">
        <v>176</v>
      </c>
      <c r="O25" s="97" t="s">
        <v>176</v>
      </c>
      <c r="P25" s="97" t="s">
        <v>176</v>
      </c>
      <c r="Q25" s="97" t="s">
        <v>176</v>
      </c>
      <c r="R25" s="267">
        <v>3115</v>
      </c>
    </row>
    <row r="26" spans="1:19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97" t="s">
        <v>176</v>
      </c>
      <c r="O26" s="97" t="s">
        <v>176</v>
      </c>
      <c r="P26" s="97" t="s">
        <v>176</v>
      </c>
      <c r="Q26" s="97" t="s">
        <v>176</v>
      </c>
      <c r="R26" s="269">
        <v>3842</v>
      </c>
    </row>
    <row r="27" spans="1:19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3" t="s">
        <v>176</v>
      </c>
      <c r="N27" s="97" t="s">
        <v>176</v>
      </c>
      <c r="O27" s="97" t="s">
        <v>176</v>
      </c>
      <c r="P27" s="97" t="s">
        <v>176</v>
      </c>
      <c r="Q27" s="174">
        <v>0</v>
      </c>
      <c r="R27" s="252" t="s">
        <v>176</v>
      </c>
    </row>
    <row r="28" spans="1:19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97" t="s">
        <v>176</v>
      </c>
      <c r="O28" s="97" t="s">
        <v>176</v>
      </c>
      <c r="P28" s="97" t="s">
        <v>176</v>
      </c>
      <c r="Q28" s="84">
        <v>4020</v>
      </c>
      <c r="R28" s="253" t="s">
        <v>176</v>
      </c>
    </row>
    <row r="29" spans="1:19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97" t="s">
        <v>176</v>
      </c>
      <c r="O29" s="97" t="s">
        <v>176</v>
      </c>
      <c r="P29" s="97" t="s">
        <v>176</v>
      </c>
      <c r="Q29" s="84">
        <v>3526</v>
      </c>
      <c r="R29" s="253" t="s">
        <v>176</v>
      </c>
    </row>
    <row r="30" spans="1:19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97" t="s">
        <v>176</v>
      </c>
      <c r="O30" s="97" t="s">
        <v>176</v>
      </c>
      <c r="P30" s="97" t="s">
        <v>176</v>
      </c>
      <c r="Q30" s="84">
        <v>5195</v>
      </c>
      <c r="R30" s="253" t="s">
        <v>176</v>
      </c>
    </row>
    <row r="31" spans="1:19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97" t="s">
        <v>176</v>
      </c>
      <c r="O31" s="97" t="s">
        <v>176</v>
      </c>
      <c r="P31" s="97" t="s">
        <v>176</v>
      </c>
      <c r="Q31" s="84">
        <v>4340</v>
      </c>
      <c r="R31" s="253" t="s">
        <v>176</v>
      </c>
    </row>
    <row r="32" spans="1:19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309" t="s">
        <v>176</v>
      </c>
      <c r="O32" s="309" t="s">
        <v>176</v>
      </c>
      <c r="P32" s="309" t="s">
        <v>176</v>
      </c>
      <c r="Q32" s="92">
        <v>4246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0</v>
      </c>
      <c r="O33" s="168">
        <f>SUM(O21:O32)</f>
        <v>0</v>
      </c>
      <c r="P33" s="168">
        <f>SUM(P21:P32)</f>
        <v>0</v>
      </c>
      <c r="Q33" s="168">
        <f>SUM(Q21:Q32)</f>
        <v>21327</v>
      </c>
      <c r="R33" s="172">
        <f t="shared" ref="R33" si="1">SUM(R21:R32)</f>
        <v>23954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300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97" t="s">
        <v>176</v>
      </c>
      <c r="Q37" s="97" t="s">
        <v>176</v>
      </c>
      <c r="R37" s="275">
        <v>0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6">
        <v>-6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83" t="s">
        <v>176</v>
      </c>
      <c r="N40" s="97" t="s">
        <v>176</v>
      </c>
      <c r="O40" s="97" t="s">
        <v>176</v>
      </c>
      <c r="P40" s="97" t="s">
        <v>176</v>
      </c>
      <c r="Q40" s="97" t="s">
        <v>176</v>
      </c>
      <c r="R40" s="277">
        <v>0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97" t="s">
        <v>176</v>
      </c>
      <c r="O41" s="97" t="s">
        <v>176</v>
      </c>
      <c r="P41" s="97" t="s">
        <v>176</v>
      </c>
      <c r="Q41" s="97" t="s">
        <v>176</v>
      </c>
      <c r="R41" s="277">
        <v>0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97" t="s">
        <v>176</v>
      </c>
      <c r="O42" s="97" t="s">
        <v>176</v>
      </c>
      <c r="P42" s="97" t="s">
        <v>176</v>
      </c>
      <c r="Q42" s="97" t="s">
        <v>176</v>
      </c>
      <c r="R42" s="277">
        <v>-6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3" t="s">
        <v>176</v>
      </c>
      <c r="N43" s="97" t="s">
        <v>176</v>
      </c>
      <c r="O43" s="97" t="s">
        <v>176</v>
      </c>
      <c r="P43" s="97" t="s">
        <v>176</v>
      </c>
      <c r="Q43" s="174">
        <v>0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97" t="s">
        <v>176</v>
      </c>
      <c r="O44" s="97" t="s">
        <v>176</v>
      </c>
      <c r="P44" s="97" t="s">
        <v>176</v>
      </c>
      <c r="Q44" s="84">
        <v>0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97" t="s">
        <v>176</v>
      </c>
      <c r="O45" s="97" t="s">
        <v>176</v>
      </c>
      <c r="P45" s="97" t="s">
        <v>176</v>
      </c>
      <c r="Q45" s="84">
        <v>0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97" t="s">
        <v>176</v>
      </c>
      <c r="O46" s="97" t="s">
        <v>176</v>
      </c>
      <c r="P46" s="97" t="s">
        <v>176</v>
      </c>
      <c r="Q46" s="8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97" t="s">
        <v>176</v>
      </c>
      <c r="O47" s="97" t="s">
        <v>176</v>
      </c>
      <c r="P47" s="97" t="s">
        <v>176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309" t="s">
        <v>176</v>
      </c>
      <c r="O48" s="309" t="s">
        <v>176</v>
      </c>
      <c r="P48" s="309" t="s">
        <v>176</v>
      </c>
      <c r="Q48" s="92">
        <v>0</v>
      </c>
      <c r="R48" s="254" t="s">
        <v>176</v>
      </c>
    </row>
    <row r="49" spans="1:20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0</v>
      </c>
      <c r="O49" s="168">
        <f>SUM(O37:O48)</f>
        <v>0</v>
      </c>
      <c r="P49" s="168">
        <f>SUM(P37:P48)</f>
        <v>0</v>
      </c>
      <c r="Q49" s="168">
        <f>SUM(Q37:Q48)</f>
        <v>0</v>
      </c>
      <c r="R49" s="278">
        <f t="shared" ref="R49" si="2">SUM(R37:R48)</f>
        <v>-12</v>
      </c>
    </row>
    <row r="50" spans="1:20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0" s="48" customFormat="1" ht="14">
      <c r="A51" s="344" t="s">
        <v>288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344"/>
    </row>
    <row r="52" spans="1:20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</row>
    <row r="53" spans="1:20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0">
      <c r="R54" s="48"/>
    </row>
  </sheetData>
  <mergeCells count="11">
    <mergeCell ref="A35:R35"/>
    <mergeCell ref="A50:R50"/>
    <mergeCell ref="A53:R53"/>
    <mergeCell ref="A51:S51"/>
    <mergeCell ref="A52:T52"/>
    <mergeCell ref="A2:R2"/>
    <mergeCell ref="A18:R18"/>
    <mergeCell ref="A34:R34"/>
    <mergeCell ref="A3:S3"/>
    <mergeCell ref="A1:V1"/>
    <mergeCell ref="A19:S19"/>
  </mergeCells>
  <pageMargins left="0" right="0" top="0.75" bottom="0.75" header="0.3" footer="0.3"/>
  <pageSetup scale="86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2417-9184-49DD-BFAC-6C6D357A5817}">
  <sheetPr codeName="Sheet53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6" width="0" style="120" hidden="1" customWidth="1"/>
    <col min="17" max="17" width="12.5" style="120"/>
    <col min="18" max="18" width="13.6640625" style="81" bestFit="1" customWidth="1"/>
    <col min="19" max="16384" width="12.5" style="120"/>
  </cols>
  <sheetData>
    <row r="1" spans="1:22" s="44" customFormat="1" ht="21">
      <c r="A1" s="338" t="s">
        <v>302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</row>
    <row r="2" spans="1:22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2" s="45" customFormat="1" ht="19">
      <c r="A3" s="339" t="s">
        <v>303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</row>
    <row r="4" spans="1:22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2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97" t="s">
        <v>176</v>
      </c>
      <c r="Q5" s="97" t="s">
        <v>176</v>
      </c>
      <c r="R5" s="255">
        <v>211106</v>
      </c>
    </row>
    <row r="6" spans="1:22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166805</v>
      </c>
    </row>
    <row r="7" spans="1:22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168459</v>
      </c>
    </row>
    <row r="8" spans="1:22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83" t="s">
        <v>176</v>
      </c>
      <c r="N8" s="97" t="s">
        <v>176</v>
      </c>
      <c r="O8" s="97" t="s">
        <v>176</v>
      </c>
      <c r="P8" s="97" t="s">
        <v>176</v>
      </c>
      <c r="Q8" s="97" t="s">
        <v>176</v>
      </c>
      <c r="R8" s="257">
        <v>194393</v>
      </c>
    </row>
    <row r="9" spans="1:22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97" t="s">
        <v>176</v>
      </c>
      <c r="O9" s="97" t="s">
        <v>176</v>
      </c>
      <c r="P9" s="97" t="s">
        <v>176</v>
      </c>
      <c r="Q9" s="97" t="s">
        <v>176</v>
      </c>
      <c r="R9" s="258">
        <v>198672</v>
      </c>
    </row>
    <row r="10" spans="1:22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97" t="s">
        <v>176</v>
      </c>
      <c r="O10" s="97" t="s">
        <v>176</v>
      </c>
      <c r="P10" s="97" t="s">
        <v>176</v>
      </c>
      <c r="Q10" s="97" t="s">
        <v>176</v>
      </c>
      <c r="R10" s="259">
        <v>215336</v>
      </c>
    </row>
    <row r="11" spans="1:22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3" t="s">
        <v>176</v>
      </c>
      <c r="N11" s="97" t="s">
        <v>176</v>
      </c>
      <c r="O11" s="97" t="s">
        <v>176</v>
      </c>
      <c r="P11" s="97" t="s">
        <v>176</v>
      </c>
      <c r="Q11" s="97" t="s">
        <v>176</v>
      </c>
      <c r="R11" s="252" t="s">
        <v>176</v>
      </c>
    </row>
    <row r="12" spans="1:22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97" t="s">
        <v>176</v>
      </c>
      <c r="O12" s="97" t="s">
        <v>176</v>
      </c>
      <c r="P12" s="97" t="s">
        <v>176</v>
      </c>
      <c r="Q12" s="97" t="s">
        <v>176</v>
      </c>
      <c r="R12" s="253" t="s">
        <v>176</v>
      </c>
    </row>
    <row r="13" spans="1:22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97" t="s">
        <v>176</v>
      </c>
      <c r="O13" s="97" t="s">
        <v>176</v>
      </c>
      <c r="P13" s="97" t="s">
        <v>176</v>
      </c>
      <c r="Q13" s="97" t="s">
        <v>176</v>
      </c>
      <c r="R13" s="253" t="s">
        <v>176</v>
      </c>
    </row>
    <row r="14" spans="1:22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97" t="s">
        <v>176</v>
      </c>
      <c r="O14" s="97" t="s">
        <v>176</v>
      </c>
      <c r="P14" s="97" t="s">
        <v>176</v>
      </c>
      <c r="Q14" s="174">
        <v>39</v>
      </c>
      <c r="R14" s="253" t="s">
        <v>176</v>
      </c>
    </row>
    <row r="15" spans="1:22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97" t="s">
        <v>176</v>
      </c>
      <c r="O15" s="97" t="s">
        <v>176</v>
      </c>
      <c r="P15" s="97" t="s">
        <v>176</v>
      </c>
      <c r="Q15" s="84">
        <v>156813</v>
      </c>
      <c r="R15" s="253" t="s">
        <v>176</v>
      </c>
    </row>
    <row r="16" spans="1:22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309" t="s">
        <v>176</v>
      </c>
      <c r="O16" s="309" t="s">
        <v>176</v>
      </c>
      <c r="P16" s="309" t="s">
        <v>176</v>
      </c>
      <c r="Q16" s="92">
        <v>165701</v>
      </c>
      <c r="R16" s="254" t="s">
        <v>176</v>
      </c>
    </row>
    <row r="17" spans="1:19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0</v>
      </c>
      <c r="O17" s="168">
        <f>SUM(O5:O16)</f>
        <v>0</v>
      </c>
      <c r="P17" s="168">
        <f>SUM(P5:P16)</f>
        <v>0</v>
      </c>
      <c r="Q17" s="168">
        <f>SUM(Q5:Q16)</f>
        <v>322553</v>
      </c>
      <c r="R17" s="172">
        <f t="shared" ref="R17" si="0">SUM(R5:R16)</f>
        <v>1154771</v>
      </c>
    </row>
    <row r="18" spans="1:19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19" s="45" customFormat="1" ht="19">
      <c r="A19" s="339" t="s">
        <v>304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</row>
    <row r="20" spans="1:19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19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97" t="s">
        <v>176</v>
      </c>
      <c r="Q21" s="97" t="s">
        <v>176</v>
      </c>
      <c r="R21" s="265">
        <v>13662</v>
      </c>
    </row>
    <row r="22" spans="1:19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9970</v>
      </c>
    </row>
    <row r="23" spans="1:19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8548</v>
      </c>
    </row>
    <row r="24" spans="1:19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83" t="s">
        <v>176</v>
      </c>
      <c r="N24" s="97" t="s">
        <v>176</v>
      </c>
      <c r="O24" s="97" t="s">
        <v>176</v>
      </c>
      <c r="P24" s="97" t="s">
        <v>176</v>
      </c>
      <c r="Q24" s="97" t="s">
        <v>176</v>
      </c>
      <c r="R24" s="268">
        <v>10916</v>
      </c>
    </row>
    <row r="25" spans="1:19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97" t="s">
        <v>176</v>
      </c>
      <c r="O25" s="97" t="s">
        <v>176</v>
      </c>
      <c r="P25" s="97" t="s">
        <v>176</v>
      </c>
      <c r="Q25" s="97" t="s">
        <v>176</v>
      </c>
      <c r="R25" s="267">
        <v>8697</v>
      </c>
    </row>
    <row r="26" spans="1:19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97" t="s">
        <v>176</v>
      </c>
      <c r="O26" s="97" t="s">
        <v>176</v>
      </c>
      <c r="P26" s="97" t="s">
        <v>176</v>
      </c>
      <c r="Q26" s="97" t="s">
        <v>176</v>
      </c>
      <c r="R26" s="269">
        <v>11345</v>
      </c>
    </row>
    <row r="27" spans="1:19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3" t="s">
        <v>176</v>
      </c>
      <c r="N27" s="97" t="s">
        <v>176</v>
      </c>
      <c r="O27" s="97" t="s">
        <v>176</v>
      </c>
      <c r="P27" s="97" t="s">
        <v>176</v>
      </c>
      <c r="Q27" s="97" t="s">
        <v>176</v>
      </c>
      <c r="R27" s="252" t="s">
        <v>176</v>
      </c>
    </row>
    <row r="28" spans="1:19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97" t="s">
        <v>176</v>
      </c>
      <c r="O28" s="97" t="s">
        <v>176</v>
      </c>
      <c r="P28" s="97" t="s">
        <v>176</v>
      </c>
      <c r="Q28" s="97" t="s">
        <v>176</v>
      </c>
      <c r="R28" s="253" t="s">
        <v>176</v>
      </c>
    </row>
    <row r="29" spans="1:19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97" t="s">
        <v>176</v>
      </c>
      <c r="O29" s="97" t="s">
        <v>176</v>
      </c>
      <c r="P29" s="97" t="s">
        <v>176</v>
      </c>
      <c r="Q29" s="97" t="s">
        <v>176</v>
      </c>
      <c r="R29" s="253" t="s">
        <v>176</v>
      </c>
    </row>
    <row r="30" spans="1:19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97" t="s">
        <v>176</v>
      </c>
      <c r="O30" s="97" t="s">
        <v>176</v>
      </c>
      <c r="P30" s="97" t="s">
        <v>176</v>
      </c>
      <c r="Q30" s="174">
        <v>0</v>
      </c>
      <c r="R30" s="253" t="s">
        <v>176</v>
      </c>
    </row>
    <row r="31" spans="1:19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97" t="s">
        <v>176</v>
      </c>
      <c r="O31" s="97" t="s">
        <v>176</v>
      </c>
      <c r="P31" s="97" t="s">
        <v>176</v>
      </c>
      <c r="Q31" s="84">
        <v>18586</v>
      </c>
      <c r="R31" s="253" t="s">
        <v>176</v>
      </c>
    </row>
    <row r="32" spans="1:19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309" t="s">
        <v>176</v>
      </c>
      <c r="O32" s="309" t="s">
        <v>176</v>
      </c>
      <c r="P32" s="309" t="s">
        <v>176</v>
      </c>
      <c r="Q32" s="92">
        <v>10751</v>
      </c>
      <c r="R32" s="254" t="s">
        <v>176</v>
      </c>
    </row>
    <row r="33" spans="1:18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0</v>
      </c>
      <c r="O33" s="168">
        <f>SUM(O21:O32)</f>
        <v>0</v>
      </c>
      <c r="P33" s="168">
        <f>SUM(P21:P32)</f>
        <v>0</v>
      </c>
      <c r="Q33" s="168">
        <f>SUM(Q21:Q32)</f>
        <v>29337</v>
      </c>
      <c r="R33" s="172">
        <f t="shared" ref="R33" si="1">SUM(R21:R32)</f>
        <v>63138</v>
      </c>
    </row>
    <row r="34" spans="1:18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8" s="45" customFormat="1" ht="19">
      <c r="A35" s="348" t="s">
        <v>305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</row>
    <row r="36" spans="1:18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8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97" t="s">
        <v>176</v>
      </c>
      <c r="Q37" s="97" t="s">
        <v>176</v>
      </c>
      <c r="R37" s="275">
        <v>-618</v>
      </c>
    </row>
    <row r="38" spans="1:18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8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7">
        <v>0</v>
      </c>
    </row>
    <row r="40" spans="1:18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83" t="s">
        <v>176</v>
      </c>
      <c r="N40" s="97" t="s">
        <v>176</v>
      </c>
      <c r="O40" s="97" t="s">
        <v>176</v>
      </c>
      <c r="P40" s="97" t="s">
        <v>176</v>
      </c>
      <c r="Q40" s="97" t="s">
        <v>176</v>
      </c>
      <c r="R40" s="277">
        <v>-12</v>
      </c>
    </row>
    <row r="41" spans="1:18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97" t="s">
        <v>176</v>
      </c>
      <c r="O41" s="97" t="s">
        <v>176</v>
      </c>
      <c r="P41" s="97" t="s">
        <v>176</v>
      </c>
      <c r="Q41" s="97" t="s">
        <v>176</v>
      </c>
      <c r="R41" s="277">
        <v>-618</v>
      </c>
    </row>
    <row r="42" spans="1:18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97" t="s">
        <v>176</v>
      </c>
      <c r="O42" s="97" t="s">
        <v>176</v>
      </c>
      <c r="P42" s="97" t="s">
        <v>176</v>
      </c>
      <c r="Q42" s="97" t="s">
        <v>176</v>
      </c>
      <c r="R42" s="277">
        <v>0</v>
      </c>
    </row>
    <row r="43" spans="1:18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3" t="s">
        <v>176</v>
      </c>
      <c r="N43" s="97" t="s">
        <v>176</v>
      </c>
      <c r="O43" s="97" t="s">
        <v>176</v>
      </c>
      <c r="P43" s="97" t="s">
        <v>176</v>
      </c>
      <c r="Q43" s="97" t="s">
        <v>176</v>
      </c>
      <c r="R43" s="252" t="s">
        <v>176</v>
      </c>
    </row>
    <row r="44" spans="1:18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97" t="s">
        <v>176</v>
      </c>
      <c r="O44" s="97" t="s">
        <v>176</v>
      </c>
      <c r="P44" s="97" t="s">
        <v>176</v>
      </c>
      <c r="Q44" s="97" t="s">
        <v>176</v>
      </c>
      <c r="R44" s="253" t="s">
        <v>176</v>
      </c>
    </row>
    <row r="45" spans="1:18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97" t="s">
        <v>176</v>
      </c>
      <c r="O45" s="97" t="s">
        <v>176</v>
      </c>
      <c r="P45" s="97" t="s">
        <v>176</v>
      </c>
      <c r="Q45" s="97" t="s">
        <v>176</v>
      </c>
      <c r="R45" s="253" t="s">
        <v>176</v>
      </c>
    </row>
    <row r="46" spans="1:18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97" t="s">
        <v>176</v>
      </c>
      <c r="O46" s="97" t="s">
        <v>176</v>
      </c>
      <c r="P46" s="97" t="s">
        <v>176</v>
      </c>
      <c r="Q46" s="174">
        <v>0</v>
      </c>
      <c r="R46" s="253" t="s">
        <v>176</v>
      </c>
    </row>
    <row r="47" spans="1:18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97" t="s">
        <v>176</v>
      </c>
      <c r="O47" s="97" t="s">
        <v>176</v>
      </c>
      <c r="P47" s="97" t="s">
        <v>176</v>
      </c>
      <c r="Q47" s="84">
        <v>0</v>
      </c>
      <c r="R47" s="253" t="s">
        <v>176</v>
      </c>
    </row>
    <row r="48" spans="1:18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309" t="s">
        <v>176</v>
      </c>
      <c r="O48" s="309" t="s">
        <v>176</v>
      </c>
      <c r="P48" s="309" t="s">
        <v>176</v>
      </c>
      <c r="Q48" s="92">
        <v>0</v>
      </c>
      <c r="R48" s="254" t="s">
        <v>176</v>
      </c>
    </row>
    <row r="49" spans="1:20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0</v>
      </c>
      <c r="O49" s="168">
        <f>SUM(O37:O48)</f>
        <v>0</v>
      </c>
      <c r="P49" s="168">
        <f>SUM(P37:P48)</f>
        <v>0</v>
      </c>
      <c r="Q49" s="168">
        <f>SUM(Q37:Q48)</f>
        <v>0</v>
      </c>
      <c r="R49" s="278">
        <f t="shared" ref="R49" si="2">SUM(R37:R48)</f>
        <v>-1248</v>
      </c>
    </row>
    <row r="50" spans="1:20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0" s="48" customFormat="1" ht="14">
      <c r="A51" s="344" t="s">
        <v>288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344"/>
    </row>
    <row r="52" spans="1:20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</row>
    <row r="53" spans="1:20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0">
      <c r="R54" s="48"/>
    </row>
  </sheetData>
  <mergeCells count="11">
    <mergeCell ref="A35:R35"/>
    <mergeCell ref="A50:R50"/>
    <mergeCell ref="A51:S51"/>
    <mergeCell ref="A52:T52"/>
    <mergeCell ref="A53:R53"/>
    <mergeCell ref="A34:R34"/>
    <mergeCell ref="A1:V1"/>
    <mergeCell ref="A2:R2"/>
    <mergeCell ref="A3:S3"/>
    <mergeCell ref="A18:R18"/>
    <mergeCell ref="A19:S19"/>
  </mergeCells>
  <pageMargins left="0" right="0" top="0.75" bottom="0.75" header="0.3" footer="0.3"/>
  <pageSetup scale="86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7A969-31EF-4589-A81E-74CD8FEB8CE7}">
  <sheetPr codeName="Sheet54">
    <pageSetUpPr fitToPage="1"/>
  </sheetPr>
  <dimension ref="A1:W54"/>
  <sheetViews>
    <sheetView showGridLines="0" zoomScaleNormal="100" workbookViewId="0">
      <pane ySplit="1" topLeftCell="A2" activePane="bottomLeft" state="frozen"/>
      <selection pane="bottomLeft" sqref="A1:W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7" width="0" style="120" hidden="1" customWidth="1"/>
    <col min="18" max="18" width="13.6640625" style="81" bestFit="1" customWidth="1"/>
    <col min="19" max="16384" width="12.5" style="120"/>
  </cols>
  <sheetData>
    <row r="1" spans="1:23" s="44" customFormat="1" ht="21">
      <c r="A1" s="338" t="s">
        <v>308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</row>
    <row r="2" spans="1:23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3" s="45" customFormat="1" ht="19">
      <c r="A3" s="339" t="s">
        <v>309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</row>
    <row r="4" spans="1:23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3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97" t="s">
        <v>176</v>
      </c>
      <c r="Q5" s="97" t="s">
        <v>176</v>
      </c>
      <c r="R5" s="255">
        <v>107</v>
      </c>
    </row>
    <row r="6" spans="1:23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35707</v>
      </c>
    </row>
    <row r="7" spans="1:23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36995</v>
      </c>
    </row>
    <row r="8" spans="1:23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83" t="s">
        <v>176</v>
      </c>
      <c r="N8" s="97" t="s">
        <v>176</v>
      </c>
      <c r="O8" s="97" t="s">
        <v>176</v>
      </c>
      <c r="P8" s="97" t="s">
        <v>176</v>
      </c>
      <c r="Q8" s="97" t="s">
        <v>176</v>
      </c>
      <c r="R8" s="257">
        <v>43980</v>
      </c>
    </row>
    <row r="9" spans="1:23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97" t="s">
        <v>176</v>
      </c>
      <c r="O9" s="97" t="s">
        <v>176</v>
      </c>
      <c r="P9" s="97" t="s">
        <v>176</v>
      </c>
      <c r="Q9" s="97" t="s">
        <v>176</v>
      </c>
      <c r="R9" s="258">
        <v>48853</v>
      </c>
    </row>
    <row r="10" spans="1:23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97" t="s">
        <v>176</v>
      </c>
      <c r="O10" s="97" t="s">
        <v>176</v>
      </c>
      <c r="P10" s="97" t="s">
        <v>176</v>
      </c>
      <c r="Q10" s="97" t="s">
        <v>176</v>
      </c>
      <c r="R10" s="259">
        <v>61702</v>
      </c>
    </row>
    <row r="11" spans="1:23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3" t="s">
        <v>176</v>
      </c>
      <c r="N11" s="97" t="s">
        <v>176</v>
      </c>
      <c r="O11" s="97" t="s">
        <v>176</v>
      </c>
      <c r="P11" s="97" t="s">
        <v>176</v>
      </c>
      <c r="Q11" s="97" t="s">
        <v>176</v>
      </c>
      <c r="R11" s="252" t="s">
        <v>176</v>
      </c>
    </row>
    <row r="12" spans="1:23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97" t="s">
        <v>176</v>
      </c>
      <c r="O12" s="97" t="s">
        <v>176</v>
      </c>
      <c r="P12" s="97" t="s">
        <v>176</v>
      </c>
      <c r="Q12" s="97" t="s">
        <v>176</v>
      </c>
      <c r="R12" s="253" t="s">
        <v>176</v>
      </c>
    </row>
    <row r="13" spans="1:23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97" t="s">
        <v>176</v>
      </c>
      <c r="O13" s="97" t="s">
        <v>176</v>
      </c>
      <c r="P13" s="97" t="s">
        <v>176</v>
      </c>
      <c r="Q13" s="97" t="s">
        <v>176</v>
      </c>
      <c r="R13" s="253" t="s">
        <v>176</v>
      </c>
    </row>
    <row r="14" spans="1:23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97" t="s">
        <v>176</v>
      </c>
      <c r="O14" s="97" t="s">
        <v>176</v>
      </c>
      <c r="P14" s="97" t="s">
        <v>176</v>
      </c>
      <c r="Q14" s="97" t="s">
        <v>176</v>
      </c>
      <c r="R14" s="253" t="s">
        <v>176</v>
      </c>
    </row>
    <row r="15" spans="1:23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97" t="s">
        <v>176</v>
      </c>
      <c r="O15" s="97" t="s">
        <v>176</v>
      </c>
      <c r="P15" s="97" t="s">
        <v>176</v>
      </c>
      <c r="Q15" s="97" t="s">
        <v>176</v>
      </c>
      <c r="R15" s="253" t="s">
        <v>176</v>
      </c>
    </row>
    <row r="16" spans="1:23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309" t="s">
        <v>176</v>
      </c>
      <c r="O16" s="309" t="s">
        <v>176</v>
      </c>
      <c r="P16" s="309" t="s">
        <v>176</v>
      </c>
      <c r="Q16" s="309" t="s">
        <v>176</v>
      </c>
      <c r="R16" s="254" t="s">
        <v>176</v>
      </c>
    </row>
    <row r="17" spans="1:20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0</v>
      </c>
      <c r="O17" s="168">
        <f>SUM(O5:O16)</f>
        <v>0</v>
      </c>
      <c r="P17" s="168">
        <f>SUM(P5:P16)</f>
        <v>0</v>
      </c>
      <c r="Q17" s="168">
        <f>SUM(Q5:Q16)</f>
        <v>0</v>
      </c>
      <c r="R17" s="172">
        <f t="shared" ref="R17" si="0">SUM(R5:R16)</f>
        <v>227344</v>
      </c>
    </row>
    <row r="18" spans="1:20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20" s="45" customFormat="1" ht="19">
      <c r="A19" s="339" t="s">
        <v>310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</row>
    <row r="20" spans="1:20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20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97" t="s">
        <v>176</v>
      </c>
      <c r="Q21" s="97" t="s">
        <v>176</v>
      </c>
      <c r="R21" s="265">
        <v>0</v>
      </c>
    </row>
    <row r="22" spans="1:20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3162</v>
      </c>
    </row>
    <row r="23" spans="1:20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3606</v>
      </c>
    </row>
    <row r="24" spans="1:20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83" t="s">
        <v>176</v>
      </c>
      <c r="N24" s="97" t="s">
        <v>176</v>
      </c>
      <c r="O24" s="97" t="s">
        <v>176</v>
      </c>
      <c r="P24" s="97" t="s">
        <v>176</v>
      </c>
      <c r="Q24" s="97" t="s">
        <v>176</v>
      </c>
      <c r="R24" s="268">
        <v>1684</v>
      </c>
    </row>
    <row r="25" spans="1:20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97" t="s">
        <v>176</v>
      </c>
      <c r="O25" s="97" t="s">
        <v>176</v>
      </c>
      <c r="P25" s="97" t="s">
        <v>176</v>
      </c>
      <c r="Q25" s="97" t="s">
        <v>176</v>
      </c>
      <c r="R25" s="267">
        <v>1535</v>
      </c>
    </row>
    <row r="26" spans="1:20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97" t="s">
        <v>176</v>
      </c>
      <c r="O26" s="97" t="s">
        <v>176</v>
      </c>
      <c r="P26" s="97" t="s">
        <v>176</v>
      </c>
      <c r="Q26" s="97" t="s">
        <v>176</v>
      </c>
      <c r="R26" s="269">
        <v>1546</v>
      </c>
    </row>
    <row r="27" spans="1:20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3" t="s">
        <v>176</v>
      </c>
      <c r="N27" s="97" t="s">
        <v>176</v>
      </c>
      <c r="O27" s="97" t="s">
        <v>176</v>
      </c>
      <c r="P27" s="97" t="s">
        <v>176</v>
      </c>
      <c r="Q27" s="97" t="s">
        <v>176</v>
      </c>
      <c r="R27" s="252" t="s">
        <v>176</v>
      </c>
    </row>
    <row r="28" spans="1:20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97" t="s">
        <v>176</v>
      </c>
      <c r="O28" s="97" t="s">
        <v>176</v>
      </c>
      <c r="P28" s="97" t="s">
        <v>176</v>
      </c>
      <c r="Q28" s="97" t="s">
        <v>176</v>
      </c>
      <c r="R28" s="253" t="s">
        <v>176</v>
      </c>
    </row>
    <row r="29" spans="1:20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97" t="s">
        <v>176</v>
      </c>
      <c r="O29" s="97" t="s">
        <v>176</v>
      </c>
      <c r="P29" s="97" t="s">
        <v>176</v>
      </c>
      <c r="Q29" s="97" t="s">
        <v>176</v>
      </c>
      <c r="R29" s="253" t="s">
        <v>176</v>
      </c>
    </row>
    <row r="30" spans="1:20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97" t="s">
        <v>176</v>
      </c>
      <c r="O30" s="97" t="s">
        <v>176</v>
      </c>
      <c r="P30" s="97" t="s">
        <v>176</v>
      </c>
      <c r="Q30" s="97" t="s">
        <v>176</v>
      </c>
      <c r="R30" s="253" t="s">
        <v>176</v>
      </c>
    </row>
    <row r="31" spans="1:20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97" t="s">
        <v>176</v>
      </c>
      <c r="O31" s="97" t="s">
        <v>176</v>
      </c>
      <c r="P31" s="97" t="s">
        <v>176</v>
      </c>
      <c r="Q31" s="97" t="s">
        <v>176</v>
      </c>
      <c r="R31" s="253" t="s">
        <v>176</v>
      </c>
    </row>
    <row r="32" spans="1:20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309" t="s">
        <v>176</v>
      </c>
      <c r="O32" s="309" t="s">
        <v>176</v>
      </c>
      <c r="P32" s="309" t="s">
        <v>176</v>
      </c>
      <c r="Q32" s="318" t="s">
        <v>176</v>
      </c>
      <c r="R32" s="254" t="s">
        <v>176</v>
      </c>
    </row>
    <row r="33" spans="1:19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0</v>
      </c>
      <c r="O33" s="168">
        <f>SUM(O21:O32)</f>
        <v>0</v>
      </c>
      <c r="P33" s="168">
        <f>SUM(P21:P32)</f>
        <v>0</v>
      </c>
      <c r="Q33" s="282">
        <f>SUM(Q21:Q32)</f>
        <v>0</v>
      </c>
      <c r="R33" s="172">
        <f t="shared" ref="R33" si="1">SUM(R21:R32)</f>
        <v>11533</v>
      </c>
    </row>
    <row r="34" spans="1:19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s="45" customFormat="1" ht="19">
      <c r="A35" s="339" t="s">
        <v>311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97" t="s">
        <v>176</v>
      </c>
      <c r="Q37" s="97" t="s">
        <v>176</v>
      </c>
      <c r="R37" s="275">
        <v>0</v>
      </c>
    </row>
    <row r="38" spans="1:19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9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7">
        <v>0</v>
      </c>
    </row>
    <row r="40" spans="1:19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83" t="s">
        <v>176</v>
      </c>
      <c r="N40" s="97" t="s">
        <v>176</v>
      </c>
      <c r="O40" s="97" t="s">
        <v>176</v>
      </c>
      <c r="P40" s="97" t="s">
        <v>176</v>
      </c>
      <c r="Q40" s="97" t="s">
        <v>176</v>
      </c>
      <c r="R40" s="277">
        <v>0</v>
      </c>
    </row>
    <row r="41" spans="1:19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97" t="s">
        <v>176</v>
      </c>
      <c r="O41" s="97" t="s">
        <v>176</v>
      </c>
      <c r="P41" s="97" t="s">
        <v>176</v>
      </c>
      <c r="Q41" s="97" t="s">
        <v>176</v>
      </c>
      <c r="R41" s="277">
        <v>0</v>
      </c>
    </row>
    <row r="42" spans="1:19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97" t="s">
        <v>176</v>
      </c>
      <c r="O42" s="97" t="s">
        <v>176</v>
      </c>
      <c r="P42" s="97" t="s">
        <v>176</v>
      </c>
      <c r="Q42" s="97" t="s">
        <v>176</v>
      </c>
      <c r="R42" s="277">
        <v>0</v>
      </c>
    </row>
    <row r="43" spans="1:19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3" t="s">
        <v>176</v>
      </c>
      <c r="N43" s="97" t="s">
        <v>176</v>
      </c>
      <c r="O43" s="97" t="s">
        <v>176</v>
      </c>
      <c r="P43" s="97" t="s">
        <v>176</v>
      </c>
      <c r="Q43" s="97" t="s">
        <v>176</v>
      </c>
      <c r="R43" s="252" t="s">
        <v>176</v>
      </c>
    </row>
    <row r="44" spans="1:19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97" t="s">
        <v>176</v>
      </c>
      <c r="O44" s="97" t="s">
        <v>176</v>
      </c>
      <c r="P44" s="97" t="s">
        <v>176</v>
      </c>
      <c r="Q44" s="97" t="s">
        <v>176</v>
      </c>
      <c r="R44" s="253" t="s">
        <v>176</v>
      </c>
    </row>
    <row r="45" spans="1:19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97" t="s">
        <v>176</v>
      </c>
      <c r="O45" s="97" t="s">
        <v>176</v>
      </c>
      <c r="P45" s="97" t="s">
        <v>176</v>
      </c>
      <c r="Q45" s="97" t="s">
        <v>176</v>
      </c>
      <c r="R45" s="253" t="s">
        <v>176</v>
      </c>
    </row>
    <row r="46" spans="1:19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97" t="s">
        <v>176</v>
      </c>
      <c r="O46" s="97" t="s">
        <v>176</v>
      </c>
      <c r="P46" s="97" t="s">
        <v>176</v>
      </c>
      <c r="Q46" s="97" t="s">
        <v>176</v>
      </c>
      <c r="R46" s="253" t="s">
        <v>176</v>
      </c>
    </row>
    <row r="47" spans="1:19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97" t="s">
        <v>176</v>
      </c>
      <c r="O47" s="97" t="s">
        <v>176</v>
      </c>
      <c r="P47" s="97" t="s">
        <v>176</v>
      </c>
      <c r="Q47" s="97" t="s">
        <v>176</v>
      </c>
      <c r="R47" s="253" t="s">
        <v>176</v>
      </c>
    </row>
    <row r="48" spans="1:19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309" t="s">
        <v>176</v>
      </c>
      <c r="O48" s="309" t="s">
        <v>176</v>
      </c>
      <c r="P48" s="309" t="s">
        <v>176</v>
      </c>
      <c r="Q48" s="309" t="s">
        <v>176</v>
      </c>
      <c r="R48" s="254" t="s">
        <v>176</v>
      </c>
    </row>
    <row r="49" spans="1:21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0</v>
      </c>
      <c r="O49" s="168">
        <f>SUM(O37:O48)</f>
        <v>0</v>
      </c>
      <c r="P49" s="168">
        <f>SUM(P37:P48)</f>
        <v>0</v>
      </c>
      <c r="Q49" s="168">
        <f>SUM(Q37:Q48)</f>
        <v>0</v>
      </c>
      <c r="R49" s="278">
        <f t="shared" ref="R49" si="2">SUM(R37:R48)</f>
        <v>0</v>
      </c>
    </row>
    <row r="50" spans="1:21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1" s="48" customFormat="1" ht="14">
      <c r="A51" s="344" t="s">
        <v>312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344"/>
      <c r="T51" s="344"/>
    </row>
    <row r="52" spans="1:21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</row>
    <row r="53" spans="1:21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1">
      <c r="R54" s="48"/>
    </row>
  </sheetData>
  <mergeCells count="11">
    <mergeCell ref="A52:U52"/>
    <mergeCell ref="A50:R50"/>
    <mergeCell ref="A53:R53"/>
    <mergeCell ref="A1:W1"/>
    <mergeCell ref="A3:T3"/>
    <mergeCell ref="A19:T19"/>
    <mergeCell ref="A35:S35"/>
    <mergeCell ref="A51:T51"/>
    <mergeCell ref="A2:R2"/>
    <mergeCell ref="A18:R18"/>
    <mergeCell ref="A34:R34"/>
  </mergeCells>
  <pageMargins left="0" right="0" top="0.75" bottom="0.75" header="0.3" footer="0.3"/>
  <pageSetup scale="86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9286-7F9F-4D0F-86D9-8375BA5808F2}">
  <sheetPr codeName="Sheet55">
    <pageSetUpPr fitToPage="1"/>
  </sheetPr>
  <dimension ref="A1:W54"/>
  <sheetViews>
    <sheetView showGridLines="0" zoomScaleNormal="100" workbookViewId="0">
      <pane ySplit="1" topLeftCell="A2" activePane="bottomLeft" state="frozen"/>
      <selection pane="bottomLeft" sqref="A1:W1"/>
    </sheetView>
  </sheetViews>
  <sheetFormatPr baseColWidth="10" defaultColWidth="12.5" defaultRowHeight="15"/>
  <cols>
    <col min="1" max="1" width="12.5" style="121"/>
    <col min="2" max="13" width="12.5" style="120" hidden="1" customWidth="1"/>
    <col min="14" max="17" width="0" style="120" hidden="1" customWidth="1"/>
    <col min="18" max="18" width="13.6640625" style="81" bestFit="1" customWidth="1"/>
    <col min="19" max="16384" width="12.5" style="120"/>
  </cols>
  <sheetData>
    <row r="1" spans="1:23" s="44" customFormat="1" ht="21">
      <c r="A1" s="338" t="s">
        <v>313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</row>
    <row r="2" spans="1:23" s="45" customFormat="1" ht="19">
      <c r="A2" s="340" t="str">
        <f>'Local SUT'!A2</f>
        <v>CY 2004-2020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23" s="45" customFormat="1" ht="19">
      <c r="A3" s="339" t="s">
        <v>314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</row>
    <row r="4" spans="1:23" s="46" customFormat="1" ht="16">
      <c r="A4" s="98" t="s">
        <v>0</v>
      </c>
      <c r="B4" s="99">
        <v>2004</v>
      </c>
      <c r="C4" s="100">
        <v>2005</v>
      </c>
      <c r="D4" s="100">
        <v>2006</v>
      </c>
      <c r="E4" s="100">
        <v>2007</v>
      </c>
      <c r="F4" s="100">
        <v>2008</v>
      </c>
      <c r="G4" s="100">
        <v>2009</v>
      </c>
      <c r="H4" s="100">
        <v>2010</v>
      </c>
      <c r="I4" s="100">
        <v>2011</v>
      </c>
      <c r="J4" s="101">
        <v>2012</v>
      </c>
      <c r="K4" s="101">
        <v>2013</v>
      </c>
      <c r="L4" s="101">
        <v>2014</v>
      </c>
      <c r="M4" s="101">
        <v>2015</v>
      </c>
      <c r="N4" s="101">
        <v>2016</v>
      </c>
      <c r="O4" s="101">
        <v>2017</v>
      </c>
      <c r="P4" s="101">
        <v>2018</v>
      </c>
      <c r="Q4" s="101">
        <v>2019</v>
      </c>
      <c r="R4" s="119">
        <v>2020</v>
      </c>
    </row>
    <row r="5" spans="1:23" s="46" customFormat="1" ht="16">
      <c r="A5" s="105" t="s">
        <v>1</v>
      </c>
      <c r="B5" s="123" t="s">
        <v>176</v>
      </c>
      <c r="C5" s="122" t="s">
        <v>176</v>
      </c>
      <c r="D5" s="122" t="s">
        <v>176</v>
      </c>
      <c r="E5" s="122" t="s">
        <v>176</v>
      </c>
      <c r="F5" s="122" t="s">
        <v>176</v>
      </c>
      <c r="G5" s="122" t="s">
        <v>176</v>
      </c>
      <c r="H5" s="122" t="s">
        <v>176</v>
      </c>
      <c r="I5" s="122" t="s">
        <v>176</v>
      </c>
      <c r="J5" s="97" t="s">
        <v>176</v>
      </c>
      <c r="K5" s="97" t="s">
        <v>176</v>
      </c>
      <c r="L5" s="97" t="s">
        <v>176</v>
      </c>
      <c r="M5" s="97" t="s">
        <v>176</v>
      </c>
      <c r="N5" s="97" t="s">
        <v>176</v>
      </c>
      <c r="O5" s="97" t="s">
        <v>176</v>
      </c>
      <c r="P5" s="97" t="s">
        <v>176</v>
      </c>
      <c r="Q5" s="97" t="s">
        <v>176</v>
      </c>
      <c r="R5" s="255">
        <v>4</v>
      </c>
    </row>
    <row r="6" spans="1:23" s="46" customFormat="1" ht="16">
      <c r="A6" s="106" t="s">
        <v>2</v>
      </c>
      <c r="B6" s="88" t="s">
        <v>176</v>
      </c>
      <c r="C6" s="85" t="s">
        <v>176</v>
      </c>
      <c r="D6" s="85" t="s">
        <v>176</v>
      </c>
      <c r="E6" s="85" t="s">
        <v>176</v>
      </c>
      <c r="F6" s="85" t="s">
        <v>176</v>
      </c>
      <c r="G6" s="85" t="s">
        <v>176</v>
      </c>
      <c r="H6" s="85" t="s">
        <v>176</v>
      </c>
      <c r="I6" s="85" t="s">
        <v>176</v>
      </c>
      <c r="J6" s="84" t="s">
        <v>176</v>
      </c>
      <c r="K6" s="84" t="s">
        <v>176</v>
      </c>
      <c r="L6" s="84" t="s">
        <v>176</v>
      </c>
      <c r="M6" s="84" t="s">
        <v>176</v>
      </c>
      <c r="N6" s="84" t="s">
        <v>176</v>
      </c>
      <c r="O6" s="84" t="s">
        <v>176</v>
      </c>
      <c r="P6" s="84" t="s">
        <v>176</v>
      </c>
      <c r="Q6" s="84" t="s">
        <v>176</v>
      </c>
      <c r="R6" s="256">
        <v>134635</v>
      </c>
    </row>
    <row r="7" spans="1:23" s="46" customFormat="1" ht="16">
      <c r="A7" s="106" t="s">
        <v>3</v>
      </c>
      <c r="B7" s="88" t="s">
        <v>176</v>
      </c>
      <c r="C7" s="85" t="s">
        <v>176</v>
      </c>
      <c r="D7" s="85" t="s">
        <v>176</v>
      </c>
      <c r="E7" s="85" t="s">
        <v>176</v>
      </c>
      <c r="F7" s="85" t="s">
        <v>176</v>
      </c>
      <c r="G7" s="85" t="s">
        <v>176</v>
      </c>
      <c r="H7" s="85" t="s">
        <v>176</v>
      </c>
      <c r="I7" s="85" t="s">
        <v>176</v>
      </c>
      <c r="J7" s="84" t="s">
        <v>176</v>
      </c>
      <c r="K7" s="84" t="s">
        <v>176</v>
      </c>
      <c r="L7" s="84" t="s">
        <v>176</v>
      </c>
      <c r="M7" s="84" t="s">
        <v>176</v>
      </c>
      <c r="N7" s="84" t="s">
        <v>176</v>
      </c>
      <c r="O7" s="84" t="s">
        <v>176</v>
      </c>
      <c r="P7" s="84" t="s">
        <v>176</v>
      </c>
      <c r="Q7" s="84" t="s">
        <v>176</v>
      </c>
      <c r="R7" s="257">
        <v>141272</v>
      </c>
    </row>
    <row r="8" spans="1:23" s="46" customFormat="1" ht="16">
      <c r="A8" s="106" t="s">
        <v>4</v>
      </c>
      <c r="B8" s="88" t="s">
        <v>176</v>
      </c>
      <c r="C8" s="85" t="s">
        <v>176</v>
      </c>
      <c r="D8" s="85" t="s">
        <v>176</v>
      </c>
      <c r="E8" s="85" t="s">
        <v>176</v>
      </c>
      <c r="F8" s="85" t="s">
        <v>176</v>
      </c>
      <c r="G8" s="85" t="s">
        <v>176</v>
      </c>
      <c r="H8" s="85" t="s">
        <v>176</v>
      </c>
      <c r="I8" s="85" t="s">
        <v>176</v>
      </c>
      <c r="J8" s="83" t="s">
        <v>176</v>
      </c>
      <c r="K8" s="83" t="s">
        <v>176</v>
      </c>
      <c r="L8" s="83" t="s">
        <v>176</v>
      </c>
      <c r="M8" s="83" t="s">
        <v>176</v>
      </c>
      <c r="N8" s="97" t="s">
        <v>176</v>
      </c>
      <c r="O8" s="97" t="s">
        <v>176</v>
      </c>
      <c r="P8" s="97" t="s">
        <v>176</v>
      </c>
      <c r="Q8" s="97" t="s">
        <v>176</v>
      </c>
      <c r="R8" s="257">
        <v>174133</v>
      </c>
    </row>
    <row r="9" spans="1:23" s="46" customFormat="1" ht="16">
      <c r="A9" s="106" t="s">
        <v>5</v>
      </c>
      <c r="B9" s="88" t="s">
        <v>176</v>
      </c>
      <c r="C9" s="85" t="s">
        <v>176</v>
      </c>
      <c r="D9" s="85" t="s">
        <v>176</v>
      </c>
      <c r="E9" s="85" t="s">
        <v>176</v>
      </c>
      <c r="F9" s="85" t="s">
        <v>176</v>
      </c>
      <c r="G9" s="85" t="s">
        <v>176</v>
      </c>
      <c r="H9" s="85" t="s">
        <v>176</v>
      </c>
      <c r="I9" s="85" t="s">
        <v>176</v>
      </c>
      <c r="J9" s="84" t="s">
        <v>176</v>
      </c>
      <c r="K9" s="84" t="s">
        <v>176</v>
      </c>
      <c r="L9" s="84" t="s">
        <v>176</v>
      </c>
      <c r="M9" s="84" t="s">
        <v>176</v>
      </c>
      <c r="N9" s="97" t="s">
        <v>176</v>
      </c>
      <c r="O9" s="97" t="s">
        <v>176</v>
      </c>
      <c r="P9" s="97" t="s">
        <v>176</v>
      </c>
      <c r="Q9" s="97" t="s">
        <v>176</v>
      </c>
      <c r="R9" s="258">
        <v>230136</v>
      </c>
    </row>
    <row r="10" spans="1:23" s="46" customFormat="1" ht="16">
      <c r="A10" s="106" t="s">
        <v>6</v>
      </c>
      <c r="B10" s="88" t="s">
        <v>176</v>
      </c>
      <c r="C10" s="85" t="s">
        <v>176</v>
      </c>
      <c r="D10" s="85" t="s">
        <v>176</v>
      </c>
      <c r="E10" s="85" t="s">
        <v>176</v>
      </c>
      <c r="F10" s="85" t="s">
        <v>176</v>
      </c>
      <c r="G10" s="85" t="s">
        <v>176</v>
      </c>
      <c r="H10" s="85" t="s">
        <v>176</v>
      </c>
      <c r="I10" s="85" t="s">
        <v>176</v>
      </c>
      <c r="J10" s="84" t="s">
        <v>176</v>
      </c>
      <c r="K10" s="84" t="s">
        <v>176</v>
      </c>
      <c r="L10" s="84" t="s">
        <v>176</v>
      </c>
      <c r="M10" s="84" t="s">
        <v>176</v>
      </c>
      <c r="N10" s="97" t="s">
        <v>176</v>
      </c>
      <c r="O10" s="97" t="s">
        <v>176</v>
      </c>
      <c r="P10" s="97" t="s">
        <v>176</v>
      </c>
      <c r="Q10" s="97" t="s">
        <v>176</v>
      </c>
      <c r="R10" s="259">
        <v>212625</v>
      </c>
    </row>
    <row r="11" spans="1:23" s="46" customFormat="1" ht="16">
      <c r="A11" s="106" t="s">
        <v>7</v>
      </c>
      <c r="B11" s="88" t="s">
        <v>176</v>
      </c>
      <c r="C11" s="85" t="s">
        <v>176</v>
      </c>
      <c r="D11" s="85" t="s">
        <v>176</v>
      </c>
      <c r="E11" s="85" t="s">
        <v>176</v>
      </c>
      <c r="F11" s="85" t="s">
        <v>176</v>
      </c>
      <c r="G11" s="85" t="s">
        <v>176</v>
      </c>
      <c r="H11" s="85" t="s">
        <v>176</v>
      </c>
      <c r="I11" s="85" t="s">
        <v>176</v>
      </c>
      <c r="J11" s="83" t="s">
        <v>176</v>
      </c>
      <c r="K11" s="83" t="s">
        <v>176</v>
      </c>
      <c r="L11" s="83" t="s">
        <v>176</v>
      </c>
      <c r="M11" s="83" t="s">
        <v>176</v>
      </c>
      <c r="N11" s="97" t="s">
        <v>176</v>
      </c>
      <c r="O11" s="97" t="s">
        <v>176</v>
      </c>
      <c r="P11" s="97" t="s">
        <v>176</v>
      </c>
      <c r="Q11" s="97" t="s">
        <v>176</v>
      </c>
      <c r="R11" s="252" t="s">
        <v>176</v>
      </c>
    </row>
    <row r="12" spans="1:23" s="46" customFormat="1" ht="16">
      <c r="A12" s="106" t="s">
        <v>8</v>
      </c>
      <c r="B12" s="88" t="s">
        <v>176</v>
      </c>
      <c r="C12" s="85" t="s">
        <v>176</v>
      </c>
      <c r="D12" s="85" t="s">
        <v>176</v>
      </c>
      <c r="E12" s="85" t="s">
        <v>176</v>
      </c>
      <c r="F12" s="85" t="s">
        <v>176</v>
      </c>
      <c r="G12" s="85" t="s">
        <v>176</v>
      </c>
      <c r="H12" s="85" t="s">
        <v>176</v>
      </c>
      <c r="I12" s="85" t="s">
        <v>176</v>
      </c>
      <c r="J12" s="84" t="s">
        <v>176</v>
      </c>
      <c r="K12" s="84" t="s">
        <v>176</v>
      </c>
      <c r="L12" s="84" t="s">
        <v>176</v>
      </c>
      <c r="M12" s="84" t="s">
        <v>176</v>
      </c>
      <c r="N12" s="97" t="s">
        <v>176</v>
      </c>
      <c r="O12" s="97" t="s">
        <v>176</v>
      </c>
      <c r="P12" s="97" t="s">
        <v>176</v>
      </c>
      <c r="Q12" s="97" t="s">
        <v>176</v>
      </c>
      <c r="R12" s="253" t="s">
        <v>176</v>
      </c>
    </row>
    <row r="13" spans="1:23" s="46" customFormat="1" ht="16">
      <c r="A13" s="106" t="s">
        <v>9</v>
      </c>
      <c r="B13" s="88" t="s">
        <v>176</v>
      </c>
      <c r="C13" s="85" t="s">
        <v>176</v>
      </c>
      <c r="D13" s="85" t="s">
        <v>176</v>
      </c>
      <c r="E13" s="85" t="s">
        <v>176</v>
      </c>
      <c r="F13" s="85" t="s">
        <v>176</v>
      </c>
      <c r="G13" s="85" t="s">
        <v>176</v>
      </c>
      <c r="H13" s="85" t="s">
        <v>176</v>
      </c>
      <c r="I13" s="85" t="s">
        <v>176</v>
      </c>
      <c r="J13" s="84" t="s">
        <v>176</v>
      </c>
      <c r="K13" s="84" t="s">
        <v>176</v>
      </c>
      <c r="L13" s="84" t="s">
        <v>176</v>
      </c>
      <c r="M13" s="84" t="s">
        <v>176</v>
      </c>
      <c r="N13" s="97" t="s">
        <v>176</v>
      </c>
      <c r="O13" s="97" t="s">
        <v>176</v>
      </c>
      <c r="P13" s="97" t="s">
        <v>176</v>
      </c>
      <c r="Q13" s="97" t="s">
        <v>176</v>
      </c>
      <c r="R13" s="253" t="s">
        <v>176</v>
      </c>
    </row>
    <row r="14" spans="1:23" s="46" customFormat="1" ht="16">
      <c r="A14" s="106" t="s">
        <v>10</v>
      </c>
      <c r="B14" s="88" t="s">
        <v>176</v>
      </c>
      <c r="C14" s="85" t="s">
        <v>176</v>
      </c>
      <c r="D14" s="85" t="s">
        <v>176</v>
      </c>
      <c r="E14" s="85" t="s">
        <v>176</v>
      </c>
      <c r="F14" s="85" t="s">
        <v>176</v>
      </c>
      <c r="G14" s="85" t="s">
        <v>176</v>
      </c>
      <c r="H14" s="85" t="s">
        <v>176</v>
      </c>
      <c r="I14" s="85" t="s">
        <v>176</v>
      </c>
      <c r="J14" s="84" t="s">
        <v>176</v>
      </c>
      <c r="K14" s="84" t="s">
        <v>176</v>
      </c>
      <c r="L14" s="84" t="s">
        <v>176</v>
      </c>
      <c r="M14" s="84" t="s">
        <v>176</v>
      </c>
      <c r="N14" s="97" t="s">
        <v>176</v>
      </c>
      <c r="O14" s="97" t="s">
        <v>176</v>
      </c>
      <c r="P14" s="97" t="s">
        <v>176</v>
      </c>
      <c r="Q14" s="97" t="s">
        <v>176</v>
      </c>
      <c r="R14" s="253" t="s">
        <v>176</v>
      </c>
    </row>
    <row r="15" spans="1:23" s="46" customFormat="1" ht="16">
      <c r="A15" s="106" t="s">
        <v>11</v>
      </c>
      <c r="B15" s="88" t="s">
        <v>176</v>
      </c>
      <c r="C15" s="85" t="s">
        <v>176</v>
      </c>
      <c r="D15" s="85" t="s">
        <v>176</v>
      </c>
      <c r="E15" s="85" t="s">
        <v>176</v>
      </c>
      <c r="F15" s="85" t="s">
        <v>176</v>
      </c>
      <c r="G15" s="85" t="s">
        <v>176</v>
      </c>
      <c r="H15" s="85" t="s">
        <v>176</v>
      </c>
      <c r="I15" s="85" t="s">
        <v>176</v>
      </c>
      <c r="J15" s="84" t="s">
        <v>176</v>
      </c>
      <c r="K15" s="84" t="s">
        <v>176</v>
      </c>
      <c r="L15" s="84" t="s">
        <v>176</v>
      </c>
      <c r="M15" s="84" t="s">
        <v>176</v>
      </c>
      <c r="N15" s="97" t="s">
        <v>176</v>
      </c>
      <c r="O15" s="97" t="s">
        <v>176</v>
      </c>
      <c r="P15" s="97" t="s">
        <v>176</v>
      </c>
      <c r="Q15" s="97" t="s">
        <v>176</v>
      </c>
      <c r="R15" s="253" t="s">
        <v>176</v>
      </c>
    </row>
    <row r="16" spans="1:23" s="46" customFormat="1" ht="17" thickBot="1">
      <c r="A16" s="107" t="s">
        <v>13</v>
      </c>
      <c r="B16" s="94" t="s">
        <v>176</v>
      </c>
      <c r="C16" s="95" t="s">
        <v>176</v>
      </c>
      <c r="D16" s="95" t="s">
        <v>176</v>
      </c>
      <c r="E16" s="95" t="s">
        <v>176</v>
      </c>
      <c r="F16" s="95" t="s">
        <v>176</v>
      </c>
      <c r="G16" s="95" t="s">
        <v>176</v>
      </c>
      <c r="H16" s="95" t="s">
        <v>176</v>
      </c>
      <c r="I16" s="95" t="s">
        <v>176</v>
      </c>
      <c r="J16" s="92" t="s">
        <v>176</v>
      </c>
      <c r="K16" s="92" t="s">
        <v>176</v>
      </c>
      <c r="L16" s="92" t="s">
        <v>176</v>
      </c>
      <c r="M16" s="92" t="s">
        <v>176</v>
      </c>
      <c r="N16" s="309" t="s">
        <v>176</v>
      </c>
      <c r="O16" s="309" t="s">
        <v>176</v>
      </c>
      <c r="P16" s="309" t="s">
        <v>176</v>
      </c>
      <c r="Q16" s="309" t="s">
        <v>176</v>
      </c>
      <c r="R16" s="254" t="s">
        <v>176</v>
      </c>
    </row>
    <row r="17" spans="1:20" s="46" customFormat="1" ht="17" thickTop="1">
      <c r="A17" s="102" t="s">
        <v>14</v>
      </c>
      <c r="B17" s="103" t="s">
        <v>176</v>
      </c>
      <c r="C17" s="104" t="s">
        <v>176</v>
      </c>
      <c r="D17" s="104" t="s">
        <v>176</v>
      </c>
      <c r="E17" s="104" t="s">
        <v>176</v>
      </c>
      <c r="F17" s="104" t="s">
        <v>176</v>
      </c>
      <c r="G17" s="104" t="s">
        <v>176</v>
      </c>
      <c r="H17" s="104" t="s">
        <v>176</v>
      </c>
      <c r="I17" s="104" t="s">
        <v>176</v>
      </c>
      <c r="J17" s="104" t="s">
        <v>176</v>
      </c>
      <c r="K17" s="104" t="s">
        <v>176</v>
      </c>
      <c r="L17" s="104" t="s">
        <v>176</v>
      </c>
      <c r="M17" s="104" t="s">
        <v>176</v>
      </c>
      <c r="N17" s="168">
        <f>SUM(N5:N16)</f>
        <v>0</v>
      </c>
      <c r="O17" s="168">
        <f>SUM(O5:O16)</f>
        <v>0</v>
      </c>
      <c r="P17" s="168">
        <f>SUM(P5:P16)</f>
        <v>0</v>
      </c>
      <c r="Q17" s="168">
        <f>SUM(Q5:Q16)</f>
        <v>0</v>
      </c>
      <c r="R17" s="172">
        <f t="shared" ref="R17" si="0">SUM(R5:R16)</f>
        <v>892805</v>
      </c>
    </row>
    <row r="18" spans="1:20" s="47" customFormat="1" ht="8">
      <c r="A18" s="336" t="s">
        <v>212</v>
      </c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</row>
    <row r="19" spans="1:20" s="45" customFormat="1" ht="19">
      <c r="A19" s="339" t="s">
        <v>315</v>
      </c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</row>
    <row r="20" spans="1:20" s="46" customFormat="1" ht="16">
      <c r="A20" s="98" t="s">
        <v>0</v>
      </c>
      <c r="B20" s="99">
        <v>2004</v>
      </c>
      <c r="C20" s="100">
        <v>2005</v>
      </c>
      <c r="D20" s="100">
        <v>2006</v>
      </c>
      <c r="E20" s="100">
        <v>2007</v>
      </c>
      <c r="F20" s="100">
        <v>2008</v>
      </c>
      <c r="G20" s="100">
        <v>2009</v>
      </c>
      <c r="H20" s="100">
        <v>2010</v>
      </c>
      <c r="I20" s="100">
        <v>2011</v>
      </c>
      <c r="J20" s="101">
        <v>2012</v>
      </c>
      <c r="K20" s="101">
        <v>2013</v>
      </c>
      <c r="L20" s="101">
        <v>2014</v>
      </c>
      <c r="M20" s="101">
        <v>2015</v>
      </c>
      <c r="N20" s="101">
        <v>2016</v>
      </c>
      <c r="O20" s="101">
        <v>2017</v>
      </c>
      <c r="P20" s="101">
        <v>2018</v>
      </c>
      <c r="Q20" s="101">
        <v>2019</v>
      </c>
      <c r="R20" s="119">
        <v>2020</v>
      </c>
    </row>
    <row r="21" spans="1:20" s="46" customFormat="1" ht="16">
      <c r="A21" s="105" t="s">
        <v>1</v>
      </c>
      <c r="B21" s="123" t="s">
        <v>176</v>
      </c>
      <c r="C21" s="122" t="s">
        <v>176</v>
      </c>
      <c r="D21" s="122" t="s">
        <v>176</v>
      </c>
      <c r="E21" s="122" t="s">
        <v>176</v>
      </c>
      <c r="F21" s="122" t="s">
        <v>176</v>
      </c>
      <c r="G21" s="122" t="s">
        <v>176</v>
      </c>
      <c r="H21" s="122" t="s">
        <v>176</v>
      </c>
      <c r="I21" s="122" t="s">
        <v>176</v>
      </c>
      <c r="J21" s="97" t="s">
        <v>176</v>
      </c>
      <c r="K21" s="97" t="s">
        <v>176</v>
      </c>
      <c r="L21" s="97" t="s">
        <v>176</v>
      </c>
      <c r="M21" s="97" t="s">
        <v>176</v>
      </c>
      <c r="N21" s="97" t="s">
        <v>176</v>
      </c>
      <c r="O21" s="97" t="s">
        <v>176</v>
      </c>
      <c r="P21" s="97" t="s">
        <v>176</v>
      </c>
      <c r="Q21" s="97" t="s">
        <v>176</v>
      </c>
      <c r="R21" s="265">
        <v>0</v>
      </c>
    </row>
    <row r="22" spans="1:20" s="46" customFormat="1" ht="16">
      <c r="A22" s="106" t="s">
        <v>2</v>
      </c>
      <c r="B22" s="88" t="s">
        <v>176</v>
      </c>
      <c r="C22" s="85" t="s">
        <v>176</v>
      </c>
      <c r="D22" s="85" t="s">
        <v>176</v>
      </c>
      <c r="E22" s="85" t="s">
        <v>176</v>
      </c>
      <c r="F22" s="85" t="s">
        <v>176</v>
      </c>
      <c r="G22" s="85" t="s">
        <v>176</v>
      </c>
      <c r="H22" s="85" t="s">
        <v>176</v>
      </c>
      <c r="I22" s="85" t="s">
        <v>176</v>
      </c>
      <c r="J22" s="84" t="s">
        <v>176</v>
      </c>
      <c r="K22" s="84" t="s">
        <v>176</v>
      </c>
      <c r="L22" s="84" t="s">
        <v>176</v>
      </c>
      <c r="M22" s="84" t="s">
        <v>176</v>
      </c>
      <c r="N22" s="84" t="s">
        <v>176</v>
      </c>
      <c r="O22" s="84" t="s">
        <v>176</v>
      </c>
      <c r="P22" s="84" t="s">
        <v>176</v>
      </c>
      <c r="Q22" s="84" t="s">
        <v>176</v>
      </c>
      <c r="R22" s="266">
        <v>10249</v>
      </c>
    </row>
    <row r="23" spans="1:20" s="46" customFormat="1" ht="16">
      <c r="A23" s="106" t="s">
        <v>3</v>
      </c>
      <c r="B23" s="88" t="s">
        <v>176</v>
      </c>
      <c r="C23" s="85" t="s">
        <v>176</v>
      </c>
      <c r="D23" s="85" t="s">
        <v>176</v>
      </c>
      <c r="E23" s="85" t="s">
        <v>176</v>
      </c>
      <c r="F23" s="85" t="s">
        <v>176</v>
      </c>
      <c r="G23" s="85" t="s">
        <v>176</v>
      </c>
      <c r="H23" s="85" t="s">
        <v>176</v>
      </c>
      <c r="I23" s="85" t="s">
        <v>176</v>
      </c>
      <c r="J23" s="84" t="s">
        <v>176</v>
      </c>
      <c r="K23" s="84" t="s">
        <v>176</v>
      </c>
      <c r="L23" s="84" t="s">
        <v>176</v>
      </c>
      <c r="M23" s="84" t="s">
        <v>176</v>
      </c>
      <c r="N23" s="84" t="s">
        <v>176</v>
      </c>
      <c r="O23" s="84" t="s">
        <v>176</v>
      </c>
      <c r="P23" s="84" t="s">
        <v>176</v>
      </c>
      <c r="Q23" s="84" t="s">
        <v>176</v>
      </c>
      <c r="R23" s="267">
        <v>8442</v>
      </c>
    </row>
    <row r="24" spans="1:20" s="46" customFormat="1" ht="16">
      <c r="A24" s="106" t="s">
        <v>4</v>
      </c>
      <c r="B24" s="88" t="s">
        <v>176</v>
      </c>
      <c r="C24" s="85" t="s">
        <v>176</v>
      </c>
      <c r="D24" s="85" t="s">
        <v>176</v>
      </c>
      <c r="E24" s="85" t="s">
        <v>176</v>
      </c>
      <c r="F24" s="85" t="s">
        <v>176</v>
      </c>
      <c r="G24" s="85" t="s">
        <v>176</v>
      </c>
      <c r="H24" s="85" t="s">
        <v>176</v>
      </c>
      <c r="I24" s="85" t="s">
        <v>176</v>
      </c>
      <c r="J24" s="83" t="s">
        <v>176</v>
      </c>
      <c r="K24" s="83" t="s">
        <v>176</v>
      </c>
      <c r="L24" s="83" t="s">
        <v>176</v>
      </c>
      <c r="M24" s="83" t="s">
        <v>176</v>
      </c>
      <c r="N24" s="97" t="s">
        <v>176</v>
      </c>
      <c r="O24" s="97" t="s">
        <v>176</v>
      </c>
      <c r="P24" s="97" t="s">
        <v>176</v>
      </c>
      <c r="Q24" s="97" t="s">
        <v>176</v>
      </c>
      <c r="R24" s="268">
        <v>10636</v>
      </c>
    </row>
    <row r="25" spans="1:20" s="46" customFormat="1" ht="16">
      <c r="A25" s="106" t="s">
        <v>5</v>
      </c>
      <c r="B25" s="88" t="s">
        <v>176</v>
      </c>
      <c r="C25" s="85" t="s">
        <v>176</v>
      </c>
      <c r="D25" s="85" t="s">
        <v>176</v>
      </c>
      <c r="E25" s="85" t="s">
        <v>176</v>
      </c>
      <c r="F25" s="85" t="s">
        <v>176</v>
      </c>
      <c r="G25" s="85" t="s">
        <v>176</v>
      </c>
      <c r="H25" s="85" t="s">
        <v>176</v>
      </c>
      <c r="I25" s="85" t="s">
        <v>176</v>
      </c>
      <c r="J25" s="84" t="s">
        <v>176</v>
      </c>
      <c r="K25" s="84" t="s">
        <v>176</v>
      </c>
      <c r="L25" s="84" t="s">
        <v>176</v>
      </c>
      <c r="M25" s="84" t="s">
        <v>176</v>
      </c>
      <c r="N25" s="97" t="s">
        <v>176</v>
      </c>
      <c r="O25" s="97" t="s">
        <v>176</v>
      </c>
      <c r="P25" s="97" t="s">
        <v>176</v>
      </c>
      <c r="Q25" s="97" t="s">
        <v>176</v>
      </c>
      <c r="R25" s="267">
        <v>16835</v>
      </c>
    </row>
    <row r="26" spans="1:20" s="46" customFormat="1" ht="16">
      <c r="A26" s="106" t="s">
        <v>6</v>
      </c>
      <c r="B26" s="88" t="s">
        <v>176</v>
      </c>
      <c r="C26" s="85" t="s">
        <v>176</v>
      </c>
      <c r="D26" s="85" t="s">
        <v>176</v>
      </c>
      <c r="E26" s="85" t="s">
        <v>176</v>
      </c>
      <c r="F26" s="85" t="s">
        <v>176</v>
      </c>
      <c r="G26" s="85" t="s">
        <v>176</v>
      </c>
      <c r="H26" s="85" t="s">
        <v>176</v>
      </c>
      <c r="I26" s="85" t="s">
        <v>176</v>
      </c>
      <c r="J26" s="84" t="s">
        <v>176</v>
      </c>
      <c r="K26" s="84" t="s">
        <v>176</v>
      </c>
      <c r="L26" s="84" t="s">
        <v>176</v>
      </c>
      <c r="M26" s="84" t="s">
        <v>176</v>
      </c>
      <c r="N26" s="97" t="s">
        <v>176</v>
      </c>
      <c r="O26" s="97" t="s">
        <v>176</v>
      </c>
      <c r="P26" s="97" t="s">
        <v>176</v>
      </c>
      <c r="Q26" s="97" t="s">
        <v>176</v>
      </c>
      <c r="R26" s="269">
        <v>14949</v>
      </c>
    </row>
    <row r="27" spans="1:20" s="46" customFormat="1" ht="16">
      <c r="A27" s="106" t="s">
        <v>7</v>
      </c>
      <c r="B27" s="88" t="s">
        <v>176</v>
      </c>
      <c r="C27" s="85" t="s">
        <v>176</v>
      </c>
      <c r="D27" s="85" t="s">
        <v>176</v>
      </c>
      <c r="E27" s="85" t="s">
        <v>176</v>
      </c>
      <c r="F27" s="85" t="s">
        <v>176</v>
      </c>
      <c r="G27" s="85" t="s">
        <v>176</v>
      </c>
      <c r="H27" s="85" t="s">
        <v>176</v>
      </c>
      <c r="I27" s="85" t="s">
        <v>176</v>
      </c>
      <c r="J27" s="83" t="s">
        <v>176</v>
      </c>
      <c r="K27" s="83" t="s">
        <v>176</v>
      </c>
      <c r="L27" s="83" t="s">
        <v>176</v>
      </c>
      <c r="M27" s="83" t="s">
        <v>176</v>
      </c>
      <c r="N27" s="97" t="s">
        <v>176</v>
      </c>
      <c r="O27" s="97" t="s">
        <v>176</v>
      </c>
      <c r="P27" s="97" t="s">
        <v>176</v>
      </c>
      <c r="Q27" s="97" t="s">
        <v>176</v>
      </c>
      <c r="R27" s="252" t="s">
        <v>176</v>
      </c>
    </row>
    <row r="28" spans="1:20" s="46" customFormat="1" ht="16">
      <c r="A28" s="106" t="s">
        <v>8</v>
      </c>
      <c r="B28" s="88" t="s">
        <v>176</v>
      </c>
      <c r="C28" s="85" t="s">
        <v>176</v>
      </c>
      <c r="D28" s="85" t="s">
        <v>176</v>
      </c>
      <c r="E28" s="85" t="s">
        <v>176</v>
      </c>
      <c r="F28" s="85" t="s">
        <v>176</v>
      </c>
      <c r="G28" s="85" t="s">
        <v>176</v>
      </c>
      <c r="H28" s="85" t="s">
        <v>176</v>
      </c>
      <c r="I28" s="85" t="s">
        <v>176</v>
      </c>
      <c r="J28" s="84" t="s">
        <v>176</v>
      </c>
      <c r="K28" s="84" t="s">
        <v>176</v>
      </c>
      <c r="L28" s="84" t="s">
        <v>176</v>
      </c>
      <c r="M28" s="84" t="s">
        <v>176</v>
      </c>
      <c r="N28" s="97" t="s">
        <v>176</v>
      </c>
      <c r="O28" s="97" t="s">
        <v>176</v>
      </c>
      <c r="P28" s="97" t="s">
        <v>176</v>
      </c>
      <c r="Q28" s="97" t="s">
        <v>176</v>
      </c>
      <c r="R28" s="253" t="s">
        <v>176</v>
      </c>
    </row>
    <row r="29" spans="1:20" s="46" customFormat="1" ht="16">
      <c r="A29" s="106" t="s">
        <v>9</v>
      </c>
      <c r="B29" s="88" t="s">
        <v>176</v>
      </c>
      <c r="C29" s="85" t="s">
        <v>176</v>
      </c>
      <c r="D29" s="85" t="s">
        <v>176</v>
      </c>
      <c r="E29" s="85" t="s">
        <v>176</v>
      </c>
      <c r="F29" s="85" t="s">
        <v>176</v>
      </c>
      <c r="G29" s="85" t="s">
        <v>176</v>
      </c>
      <c r="H29" s="85" t="s">
        <v>176</v>
      </c>
      <c r="I29" s="85" t="s">
        <v>176</v>
      </c>
      <c r="J29" s="84" t="s">
        <v>176</v>
      </c>
      <c r="K29" s="84" t="s">
        <v>176</v>
      </c>
      <c r="L29" s="84" t="s">
        <v>176</v>
      </c>
      <c r="M29" s="84" t="s">
        <v>176</v>
      </c>
      <c r="N29" s="97" t="s">
        <v>176</v>
      </c>
      <c r="O29" s="97" t="s">
        <v>176</v>
      </c>
      <c r="P29" s="97" t="s">
        <v>176</v>
      </c>
      <c r="Q29" s="97" t="s">
        <v>176</v>
      </c>
      <c r="R29" s="253" t="s">
        <v>176</v>
      </c>
    </row>
    <row r="30" spans="1:20" s="46" customFormat="1" ht="16">
      <c r="A30" s="106" t="s">
        <v>10</v>
      </c>
      <c r="B30" s="88" t="s">
        <v>176</v>
      </c>
      <c r="C30" s="85" t="s">
        <v>176</v>
      </c>
      <c r="D30" s="85" t="s">
        <v>176</v>
      </c>
      <c r="E30" s="85" t="s">
        <v>176</v>
      </c>
      <c r="F30" s="85" t="s">
        <v>176</v>
      </c>
      <c r="G30" s="85" t="s">
        <v>176</v>
      </c>
      <c r="H30" s="85" t="s">
        <v>176</v>
      </c>
      <c r="I30" s="85" t="s">
        <v>176</v>
      </c>
      <c r="J30" s="84" t="s">
        <v>176</v>
      </c>
      <c r="K30" s="84" t="s">
        <v>176</v>
      </c>
      <c r="L30" s="84" t="s">
        <v>176</v>
      </c>
      <c r="M30" s="84" t="s">
        <v>176</v>
      </c>
      <c r="N30" s="97" t="s">
        <v>176</v>
      </c>
      <c r="O30" s="97" t="s">
        <v>176</v>
      </c>
      <c r="P30" s="97" t="s">
        <v>176</v>
      </c>
      <c r="Q30" s="97" t="s">
        <v>176</v>
      </c>
      <c r="R30" s="253" t="s">
        <v>176</v>
      </c>
    </row>
    <row r="31" spans="1:20" s="46" customFormat="1" ht="16">
      <c r="A31" s="106" t="s">
        <v>11</v>
      </c>
      <c r="B31" s="88" t="s">
        <v>176</v>
      </c>
      <c r="C31" s="85" t="s">
        <v>176</v>
      </c>
      <c r="D31" s="85" t="s">
        <v>176</v>
      </c>
      <c r="E31" s="85" t="s">
        <v>176</v>
      </c>
      <c r="F31" s="85" t="s">
        <v>176</v>
      </c>
      <c r="G31" s="85" t="s">
        <v>176</v>
      </c>
      <c r="H31" s="85" t="s">
        <v>176</v>
      </c>
      <c r="I31" s="85" t="s">
        <v>176</v>
      </c>
      <c r="J31" s="84" t="s">
        <v>176</v>
      </c>
      <c r="K31" s="84" t="s">
        <v>176</v>
      </c>
      <c r="L31" s="84" t="s">
        <v>176</v>
      </c>
      <c r="M31" s="84" t="s">
        <v>176</v>
      </c>
      <c r="N31" s="97" t="s">
        <v>176</v>
      </c>
      <c r="O31" s="97" t="s">
        <v>176</v>
      </c>
      <c r="P31" s="97" t="s">
        <v>176</v>
      </c>
      <c r="Q31" s="97" t="s">
        <v>176</v>
      </c>
      <c r="R31" s="253" t="s">
        <v>176</v>
      </c>
    </row>
    <row r="32" spans="1:20" s="46" customFormat="1" ht="17" thickBot="1">
      <c r="A32" s="107" t="s">
        <v>13</v>
      </c>
      <c r="B32" s="94" t="s">
        <v>176</v>
      </c>
      <c r="C32" s="95" t="s">
        <v>176</v>
      </c>
      <c r="D32" s="95" t="s">
        <v>176</v>
      </c>
      <c r="E32" s="95" t="s">
        <v>176</v>
      </c>
      <c r="F32" s="95" t="s">
        <v>176</v>
      </c>
      <c r="G32" s="95" t="s">
        <v>176</v>
      </c>
      <c r="H32" s="95" t="s">
        <v>176</v>
      </c>
      <c r="I32" s="95" t="s">
        <v>176</v>
      </c>
      <c r="J32" s="92" t="s">
        <v>176</v>
      </c>
      <c r="K32" s="92" t="s">
        <v>176</v>
      </c>
      <c r="L32" s="92" t="s">
        <v>176</v>
      </c>
      <c r="M32" s="92" t="s">
        <v>176</v>
      </c>
      <c r="N32" s="309" t="s">
        <v>176</v>
      </c>
      <c r="O32" s="309" t="s">
        <v>176</v>
      </c>
      <c r="P32" s="309" t="s">
        <v>176</v>
      </c>
      <c r="Q32" s="318" t="s">
        <v>176</v>
      </c>
      <c r="R32" s="254" t="s">
        <v>176</v>
      </c>
    </row>
    <row r="33" spans="1:19" s="46" customFormat="1" ht="17" thickTop="1">
      <c r="A33" s="102" t="s">
        <v>14</v>
      </c>
      <c r="B33" s="103" t="s">
        <v>176</v>
      </c>
      <c r="C33" s="104" t="s">
        <v>176</v>
      </c>
      <c r="D33" s="104" t="s">
        <v>176</v>
      </c>
      <c r="E33" s="104" t="s">
        <v>176</v>
      </c>
      <c r="F33" s="104" t="s">
        <v>176</v>
      </c>
      <c r="G33" s="104" t="s">
        <v>176</v>
      </c>
      <c r="H33" s="104" t="s">
        <v>176</v>
      </c>
      <c r="I33" s="104" t="s">
        <v>176</v>
      </c>
      <c r="J33" s="104" t="s">
        <v>176</v>
      </c>
      <c r="K33" s="104" t="s">
        <v>176</v>
      </c>
      <c r="L33" s="104" t="s">
        <v>176</v>
      </c>
      <c r="M33" s="104" t="s">
        <v>176</v>
      </c>
      <c r="N33" s="168">
        <f>SUM(N21:N32)</f>
        <v>0</v>
      </c>
      <c r="O33" s="168">
        <f>SUM(O21:O32)</f>
        <v>0</v>
      </c>
      <c r="P33" s="168">
        <f>SUM(P21:P32)</f>
        <v>0</v>
      </c>
      <c r="Q33" s="282">
        <f>SUM(Q21:Q32)</f>
        <v>0</v>
      </c>
      <c r="R33" s="172">
        <f t="shared" ref="R33" si="1">SUM(R21:R32)</f>
        <v>61111</v>
      </c>
    </row>
    <row r="34" spans="1:19" s="47" customFormat="1" ht="8">
      <c r="A34" s="336" t="s">
        <v>212</v>
      </c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</row>
    <row r="35" spans="1:19" s="45" customFormat="1" ht="19">
      <c r="A35" s="339" t="s">
        <v>316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P35" s="339"/>
      <c r="Q35" s="339"/>
      <c r="R35" s="339"/>
      <c r="S35" s="339"/>
    </row>
    <row r="36" spans="1:19" s="46" customFormat="1" ht="16">
      <c r="A36" s="98" t="s">
        <v>0</v>
      </c>
      <c r="B36" s="99">
        <v>2004</v>
      </c>
      <c r="C36" s="100">
        <v>2005</v>
      </c>
      <c r="D36" s="100">
        <v>2006</v>
      </c>
      <c r="E36" s="100">
        <v>2007</v>
      </c>
      <c r="F36" s="100">
        <v>2008</v>
      </c>
      <c r="G36" s="100">
        <v>2009</v>
      </c>
      <c r="H36" s="100">
        <v>2010</v>
      </c>
      <c r="I36" s="100">
        <v>2011</v>
      </c>
      <c r="J36" s="101">
        <v>2012</v>
      </c>
      <c r="K36" s="101">
        <v>2013</v>
      </c>
      <c r="L36" s="101">
        <v>2014</v>
      </c>
      <c r="M36" s="101">
        <v>2015</v>
      </c>
      <c r="N36" s="101">
        <v>2016</v>
      </c>
      <c r="O36" s="101">
        <v>2017</v>
      </c>
      <c r="P36" s="101">
        <v>2018</v>
      </c>
      <c r="Q36" s="101">
        <v>2019</v>
      </c>
      <c r="R36" s="119">
        <v>2020</v>
      </c>
    </row>
    <row r="37" spans="1:19" s="46" customFormat="1" ht="16">
      <c r="A37" s="105" t="s">
        <v>1</v>
      </c>
      <c r="B37" s="123" t="s">
        <v>176</v>
      </c>
      <c r="C37" s="122" t="s">
        <v>176</v>
      </c>
      <c r="D37" s="122" t="s">
        <v>176</v>
      </c>
      <c r="E37" s="122" t="s">
        <v>176</v>
      </c>
      <c r="F37" s="122" t="s">
        <v>176</v>
      </c>
      <c r="G37" s="122" t="s">
        <v>176</v>
      </c>
      <c r="H37" s="122" t="s">
        <v>176</v>
      </c>
      <c r="I37" s="122" t="s">
        <v>176</v>
      </c>
      <c r="J37" s="97" t="s">
        <v>176</v>
      </c>
      <c r="K37" s="97" t="s">
        <v>176</v>
      </c>
      <c r="L37" s="97" t="s">
        <v>176</v>
      </c>
      <c r="M37" s="97" t="s">
        <v>176</v>
      </c>
      <c r="N37" s="97" t="s">
        <v>176</v>
      </c>
      <c r="O37" s="97" t="s">
        <v>176</v>
      </c>
      <c r="P37" s="97" t="s">
        <v>176</v>
      </c>
      <c r="Q37" s="97" t="s">
        <v>176</v>
      </c>
      <c r="R37" s="275">
        <v>0</v>
      </c>
    </row>
    <row r="38" spans="1:19" s="46" customFormat="1" ht="16">
      <c r="A38" s="106" t="s">
        <v>2</v>
      </c>
      <c r="B38" s="88" t="s">
        <v>176</v>
      </c>
      <c r="C38" s="85" t="s">
        <v>176</v>
      </c>
      <c r="D38" s="85" t="s">
        <v>176</v>
      </c>
      <c r="E38" s="85" t="s">
        <v>176</v>
      </c>
      <c r="F38" s="85" t="s">
        <v>176</v>
      </c>
      <c r="G38" s="85" t="s">
        <v>176</v>
      </c>
      <c r="H38" s="85" t="s">
        <v>176</v>
      </c>
      <c r="I38" s="85" t="s">
        <v>176</v>
      </c>
      <c r="J38" s="84" t="s">
        <v>176</v>
      </c>
      <c r="K38" s="84" t="s">
        <v>176</v>
      </c>
      <c r="L38" s="84" t="s">
        <v>176</v>
      </c>
      <c r="M38" s="84" t="s">
        <v>176</v>
      </c>
      <c r="N38" s="84" t="s">
        <v>176</v>
      </c>
      <c r="O38" s="84" t="s">
        <v>176</v>
      </c>
      <c r="P38" s="84" t="s">
        <v>176</v>
      </c>
      <c r="Q38" s="84" t="s">
        <v>176</v>
      </c>
      <c r="R38" s="277">
        <v>0</v>
      </c>
    </row>
    <row r="39" spans="1:19" s="46" customFormat="1" ht="16">
      <c r="A39" s="106" t="s">
        <v>3</v>
      </c>
      <c r="B39" s="88" t="s">
        <v>176</v>
      </c>
      <c r="C39" s="85" t="s">
        <v>176</v>
      </c>
      <c r="D39" s="85" t="s">
        <v>176</v>
      </c>
      <c r="E39" s="85" t="s">
        <v>176</v>
      </c>
      <c r="F39" s="85" t="s">
        <v>176</v>
      </c>
      <c r="G39" s="85" t="s">
        <v>176</v>
      </c>
      <c r="H39" s="85" t="s">
        <v>176</v>
      </c>
      <c r="I39" s="85" t="s">
        <v>176</v>
      </c>
      <c r="J39" s="84" t="s">
        <v>176</v>
      </c>
      <c r="K39" s="84" t="s">
        <v>176</v>
      </c>
      <c r="L39" s="84" t="s">
        <v>176</v>
      </c>
      <c r="M39" s="84" t="s">
        <v>176</v>
      </c>
      <c r="N39" s="84" t="s">
        <v>176</v>
      </c>
      <c r="O39" s="84" t="s">
        <v>176</v>
      </c>
      <c r="P39" s="84" t="s">
        <v>176</v>
      </c>
      <c r="Q39" s="84" t="s">
        <v>176</v>
      </c>
      <c r="R39" s="277">
        <v>0</v>
      </c>
    </row>
    <row r="40" spans="1:19" s="46" customFormat="1" ht="16">
      <c r="A40" s="106" t="s">
        <v>4</v>
      </c>
      <c r="B40" s="88" t="s">
        <v>176</v>
      </c>
      <c r="C40" s="85" t="s">
        <v>176</v>
      </c>
      <c r="D40" s="85" t="s">
        <v>176</v>
      </c>
      <c r="E40" s="85" t="s">
        <v>176</v>
      </c>
      <c r="F40" s="85" t="s">
        <v>176</v>
      </c>
      <c r="G40" s="85" t="s">
        <v>176</v>
      </c>
      <c r="H40" s="85" t="s">
        <v>176</v>
      </c>
      <c r="I40" s="85" t="s">
        <v>176</v>
      </c>
      <c r="J40" s="83" t="s">
        <v>176</v>
      </c>
      <c r="K40" s="83" t="s">
        <v>176</v>
      </c>
      <c r="L40" s="83" t="s">
        <v>176</v>
      </c>
      <c r="M40" s="83" t="s">
        <v>176</v>
      </c>
      <c r="N40" s="97" t="s">
        <v>176</v>
      </c>
      <c r="O40" s="97" t="s">
        <v>176</v>
      </c>
      <c r="P40" s="97" t="s">
        <v>176</v>
      </c>
      <c r="Q40" s="97" t="s">
        <v>176</v>
      </c>
      <c r="R40" s="277">
        <v>0</v>
      </c>
    </row>
    <row r="41" spans="1:19" s="46" customFormat="1" ht="16">
      <c r="A41" s="106" t="s">
        <v>5</v>
      </c>
      <c r="B41" s="88" t="s">
        <v>176</v>
      </c>
      <c r="C41" s="85" t="s">
        <v>176</v>
      </c>
      <c r="D41" s="85" t="s">
        <v>176</v>
      </c>
      <c r="E41" s="85" t="s">
        <v>176</v>
      </c>
      <c r="F41" s="85" t="s">
        <v>176</v>
      </c>
      <c r="G41" s="85" t="s">
        <v>176</v>
      </c>
      <c r="H41" s="85" t="s">
        <v>176</v>
      </c>
      <c r="I41" s="85" t="s">
        <v>176</v>
      </c>
      <c r="J41" s="84" t="s">
        <v>176</v>
      </c>
      <c r="K41" s="84" t="s">
        <v>176</v>
      </c>
      <c r="L41" s="84" t="s">
        <v>176</v>
      </c>
      <c r="M41" s="84" t="s">
        <v>176</v>
      </c>
      <c r="N41" s="97" t="s">
        <v>176</v>
      </c>
      <c r="O41" s="97" t="s">
        <v>176</v>
      </c>
      <c r="P41" s="97" t="s">
        <v>176</v>
      </c>
      <c r="Q41" s="97" t="s">
        <v>176</v>
      </c>
      <c r="R41" s="277">
        <v>0</v>
      </c>
    </row>
    <row r="42" spans="1:19" s="46" customFormat="1" ht="16">
      <c r="A42" s="106" t="s">
        <v>6</v>
      </c>
      <c r="B42" s="88" t="s">
        <v>176</v>
      </c>
      <c r="C42" s="85" t="s">
        <v>176</v>
      </c>
      <c r="D42" s="85" t="s">
        <v>176</v>
      </c>
      <c r="E42" s="85" t="s">
        <v>176</v>
      </c>
      <c r="F42" s="85" t="s">
        <v>176</v>
      </c>
      <c r="G42" s="85" t="s">
        <v>176</v>
      </c>
      <c r="H42" s="85" t="s">
        <v>176</v>
      </c>
      <c r="I42" s="85" t="s">
        <v>176</v>
      </c>
      <c r="J42" s="84" t="s">
        <v>176</v>
      </c>
      <c r="K42" s="84" t="s">
        <v>176</v>
      </c>
      <c r="L42" s="84" t="s">
        <v>176</v>
      </c>
      <c r="M42" s="84" t="s">
        <v>176</v>
      </c>
      <c r="N42" s="97" t="s">
        <v>176</v>
      </c>
      <c r="O42" s="97" t="s">
        <v>176</v>
      </c>
      <c r="P42" s="97" t="s">
        <v>176</v>
      </c>
      <c r="Q42" s="97" t="s">
        <v>176</v>
      </c>
      <c r="R42" s="277">
        <v>0</v>
      </c>
    </row>
    <row r="43" spans="1:19" s="46" customFormat="1" ht="16">
      <c r="A43" s="106" t="s">
        <v>7</v>
      </c>
      <c r="B43" s="88" t="s">
        <v>176</v>
      </c>
      <c r="C43" s="85" t="s">
        <v>176</v>
      </c>
      <c r="D43" s="85" t="s">
        <v>176</v>
      </c>
      <c r="E43" s="85" t="s">
        <v>176</v>
      </c>
      <c r="F43" s="85" t="s">
        <v>176</v>
      </c>
      <c r="G43" s="85" t="s">
        <v>176</v>
      </c>
      <c r="H43" s="85" t="s">
        <v>176</v>
      </c>
      <c r="I43" s="85" t="s">
        <v>176</v>
      </c>
      <c r="J43" s="83" t="s">
        <v>176</v>
      </c>
      <c r="K43" s="83" t="s">
        <v>176</v>
      </c>
      <c r="L43" s="83" t="s">
        <v>176</v>
      </c>
      <c r="M43" s="83" t="s">
        <v>176</v>
      </c>
      <c r="N43" s="97" t="s">
        <v>176</v>
      </c>
      <c r="O43" s="97" t="s">
        <v>176</v>
      </c>
      <c r="P43" s="97" t="s">
        <v>176</v>
      </c>
      <c r="Q43" s="97" t="s">
        <v>176</v>
      </c>
      <c r="R43" s="252" t="s">
        <v>176</v>
      </c>
    </row>
    <row r="44" spans="1:19" s="46" customFormat="1" ht="16">
      <c r="A44" s="106" t="s">
        <v>8</v>
      </c>
      <c r="B44" s="88" t="s">
        <v>176</v>
      </c>
      <c r="C44" s="85" t="s">
        <v>176</v>
      </c>
      <c r="D44" s="85" t="s">
        <v>176</v>
      </c>
      <c r="E44" s="85" t="s">
        <v>176</v>
      </c>
      <c r="F44" s="85" t="s">
        <v>176</v>
      </c>
      <c r="G44" s="85" t="s">
        <v>176</v>
      </c>
      <c r="H44" s="85" t="s">
        <v>176</v>
      </c>
      <c r="I44" s="85" t="s">
        <v>176</v>
      </c>
      <c r="J44" s="84" t="s">
        <v>176</v>
      </c>
      <c r="K44" s="84" t="s">
        <v>176</v>
      </c>
      <c r="L44" s="84" t="s">
        <v>176</v>
      </c>
      <c r="M44" s="84" t="s">
        <v>176</v>
      </c>
      <c r="N44" s="97" t="s">
        <v>176</v>
      </c>
      <c r="O44" s="97" t="s">
        <v>176</v>
      </c>
      <c r="P44" s="97" t="s">
        <v>176</v>
      </c>
      <c r="Q44" s="97" t="s">
        <v>176</v>
      </c>
      <c r="R44" s="253" t="s">
        <v>176</v>
      </c>
    </row>
    <row r="45" spans="1:19" s="46" customFormat="1" ht="16">
      <c r="A45" s="106" t="s">
        <v>9</v>
      </c>
      <c r="B45" s="88" t="s">
        <v>176</v>
      </c>
      <c r="C45" s="85" t="s">
        <v>176</v>
      </c>
      <c r="D45" s="85" t="s">
        <v>176</v>
      </c>
      <c r="E45" s="85" t="s">
        <v>176</v>
      </c>
      <c r="F45" s="85" t="s">
        <v>176</v>
      </c>
      <c r="G45" s="85" t="s">
        <v>176</v>
      </c>
      <c r="H45" s="85" t="s">
        <v>176</v>
      </c>
      <c r="I45" s="85" t="s">
        <v>176</v>
      </c>
      <c r="J45" s="84" t="s">
        <v>176</v>
      </c>
      <c r="K45" s="84" t="s">
        <v>176</v>
      </c>
      <c r="L45" s="84" t="s">
        <v>176</v>
      </c>
      <c r="M45" s="84" t="s">
        <v>176</v>
      </c>
      <c r="N45" s="97" t="s">
        <v>176</v>
      </c>
      <c r="O45" s="97" t="s">
        <v>176</v>
      </c>
      <c r="P45" s="97" t="s">
        <v>176</v>
      </c>
      <c r="Q45" s="97" t="s">
        <v>176</v>
      </c>
      <c r="R45" s="253" t="s">
        <v>176</v>
      </c>
    </row>
    <row r="46" spans="1:19" s="46" customFormat="1" ht="16">
      <c r="A46" s="106" t="s">
        <v>10</v>
      </c>
      <c r="B46" s="88" t="s">
        <v>176</v>
      </c>
      <c r="C46" s="85" t="s">
        <v>176</v>
      </c>
      <c r="D46" s="85" t="s">
        <v>176</v>
      </c>
      <c r="E46" s="85" t="s">
        <v>176</v>
      </c>
      <c r="F46" s="85" t="s">
        <v>176</v>
      </c>
      <c r="G46" s="85" t="s">
        <v>176</v>
      </c>
      <c r="H46" s="85" t="s">
        <v>176</v>
      </c>
      <c r="I46" s="85" t="s">
        <v>176</v>
      </c>
      <c r="J46" s="84" t="s">
        <v>176</v>
      </c>
      <c r="K46" s="84" t="s">
        <v>176</v>
      </c>
      <c r="L46" s="84" t="s">
        <v>176</v>
      </c>
      <c r="M46" s="84" t="s">
        <v>176</v>
      </c>
      <c r="N46" s="97" t="s">
        <v>176</v>
      </c>
      <c r="O46" s="97" t="s">
        <v>176</v>
      </c>
      <c r="P46" s="97" t="s">
        <v>176</v>
      </c>
      <c r="Q46" s="97" t="s">
        <v>176</v>
      </c>
      <c r="R46" s="253" t="s">
        <v>176</v>
      </c>
    </row>
    <row r="47" spans="1:19" s="46" customFormat="1" ht="16">
      <c r="A47" s="106" t="s">
        <v>11</v>
      </c>
      <c r="B47" s="88" t="s">
        <v>176</v>
      </c>
      <c r="C47" s="85" t="s">
        <v>176</v>
      </c>
      <c r="D47" s="85" t="s">
        <v>176</v>
      </c>
      <c r="E47" s="85" t="s">
        <v>176</v>
      </c>
      <c r="F47" s="85" t="s">
        <v>176</v>
      </c>
      <c r="G47" s="85" t="s">
        <v>176</v>
      </c>
      <c r="H47" s="85" t="s">
        <v>176</v>
      </c>
      <c r="I47" s="85" t="s">
        <v>176</v>
      </c>
      <c r="J47" s="84" t="s">
        <v>176</v>
      </c>
      <c r="K47" s="84" t="s">
        <v>176</v>
      </c>
      <c r="L47" s="84" t="s">
        <v>176</v>
      </c>
      <c r="M47" s="84" t="s">
        <v>176</v>
      </c>
      <c r="N47" s="97" t="s">
        <v>176</v>
      </c>
      <c r="O47" s="97" t="s">
        <v>176</v>
      </c>
      <c r="P47" s="97" t="s">
        <v>176</v>
      </c>
      <c r="Q47" s="97" t="s">
        <v>176</v>
      </c>
      <c r="R47" s="253" t="s">
        <v>176</v>
      </c>
    </row>
    <row r="48" spans="1:19" s="46" customFormat="1" ht="17" thickBot="1">
      <c r="A48" s="107" t="s">
        <v>13</v>
      </c>
      <c r="B48" s="94" t="s">
        <v>176</v>
      </c>
      <c r="C48" s="95" t="s">
        <v>176</v>
      </c>
      <c r="D48" s="95" t="s">
        <v>176</v>
      </c>
      <c r="E48" s="95" t="s">
        <v>176</v>
      </c>
      <c r="F48" s="95" t="s">
        <v>176</v>
      </c>
      <c r="G48" s="95" t="s">
        <v>176</v>
      </c>
      <c r="H48" s="95" t="s">
        <v>176</v>
      </c>
      <c r="I48" s="95" t="s">
        <v>176</v>
      </c>
      <c r="J48" s="92" t="s">
        <v>176</v>
      </c>
      <c r="K48" s="92" t="s">
        <v>176</v>
      </c>
      <c r="L48" s="92" t="s">
        <v>176</v>
      </c>
      <c r="M48" s="92" t="s">
        <v>176</v>
      </c>
      <c r="N48" s="309" t="s">
        <v>176</v>
      </c>
      <c r="O48" s="309" t="s">
        <v>176</v>
      </c>
      <c r="P48" s="309" t="s">
        <v>176</v>
      </c>
      <c r="Q48" s="309" t="s">
        <v>176</v>
      </c>
      <c r="R48" s="254" t="s">
        <v>176</v>
      </c>
    </row>
    <row r="49" spans="1:21" s="46" customFormat="1" ht="17" thickTop="1">
      <c r="A49" s="102" t="s">
        <v>14</v>
      </c>
      <c r="B49" s="103" t="s">
        <v>176</v>
      </c>
      <c r="C49" s="104" t="s">
        <v>176</v>
      </c>
      <c r="D49" s="104" t="s">
        <v>176</v>
      </c>
      <c r="E49" s="104" t="s">
        <v>176</v>
      </c>
      <c r="F49" s="104" t="s">
        <v>176</v>
      </c>
      <c r="G49" s="104" t="s">
        <v>176</v>
      </c>
      <c r="H49" s="104" t="s">
        <v>176</v>
      </c>
      <c r="I49" s="104" t="s">
        <v>176</v>
      </c>
      <c r="J49" s="104" t="s">
        <v>176</v>
      </c>
      <c r="K49" s="104" t="s">
        <v>176</v>
      </c>
      <c r="L49" s="104" t="s">
        <v>176</v>
      </c>
      <c r="M49" s="104" t="s">
        <v>176</v>
      </c>
      <c r="N49" s="168">
        <f>SUM(N37:N48)</f>
        <v>0</v>
      </c>
      <c r="O49" s="168">
        <f>SUM(O37:O48)</f>
        <v>0</v>
      </c>
      <c r="P49" s="168">
        <f>SUM(P37:P48)</f>
        <v>0</v>
      </c>
      <c r="Q49" s="168">
        <f>SUM(Q37:Q48)</f>
        <v>0</v>
      </c>
      <c r="R49" s="278">
        <f t="shared" ref="R49" si="2">SUM(R37:R48)</f>
        <v>0</v>
      </c>
    </row>
    <row r="50" spans="1:21" s="47" customFormat="1" ht="8">
      <c r="A50" s="336" t="s">
        <v>212</v>
      </c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</row>
    <row r="51" spans="1:21" s="48" customFormat="1" ht="14">
      <c r="A51" s="344" t="s">
        <v>312</v>
      </c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344"/>
      <c r="T51" s="344"/>
    </row>
    <row r="52" spans="1:21" s="48" customFormat="1" ht="14">
      <c r="A52" s="322" t="str">
        <f>'Local SUT'!A67</f>
        <v>Source:  Minnesota Department of Revenue, Tax Research Division, February 2021</v>
      </c>
      <c r="B52" s="322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</row>
    <row r="53" spans="1:21" s="48" customFormat="1" ht="14">
      <c r="A53" s="323" t="s">
        <v>174</v>
      </c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</row>
    <row r="54" spans="1:21">
      <c r="R54" s="48"/>
    </row>
  </sheetData>
  <mergeCells count="11">
    <mergeCell ref="A35:S35"/>
    <mergeCell ref="A50:R50"/>
    <mergeCell ref="A51:T51"/>
    <mergeCell ref="A52:U52"/>
    <mergeCell ref="A53:R53"/>
    <mergeCell ref="A34:R34"/>
    <mergeCell ref="A1:W1"/>
    <mergeCell ref="A2:R2"/>
    <mergeCell ref="A3:T3"/>
    <mergeCell ref="A18:R18"/>
    <mergeCell ref="A19:T19"/>
  </mergeCells>
  <pageMargins left="0" right="0" top="0.75" bottom="0.75" header="0.3" footer="0.3"/>
  <pageSetup scale="86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9984EA796BA24EA9AA4FECFFC2E6E4" ma:contentTypeVersion="1" ma:contentTypeDescription="Create a new document." ma:contentTypeScope="" ma:versionID="3ae0548c45599630c3e8153d7a41aebb">
  <xsd:schema xmlns:xsd="http://www.w3.org/2001/XMLSchema" xmlns:xs="http://www.w3.org/2001/XMLSchema" xmlns:p="http://schemas.microsoft.com/office/2006/metadata/properties" xmlns:ns2="9130277e-1076-48d8-8826-9168779647ca" xmlns:ns3="211dd078-3235-44cf-a109-48483326b644" targetNamespace="http://schemas.microsoft.com/office/2006/metadata/properties" ma:root="true" ma:fieldsID="d2869cca4aef90b173db35f1901a7eb0" ns2:_="" ns3:_="">
    <xsd:import namespace="9130277e-1076-48d8-8826-9168779647ca"/>
    <xsd:import namespace="211dd078-3235-44cf-a109-48483326b64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0277e-1076-48d8-8826-9168779647ca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1dd078-3235-44cf-a109-48483326b644" elementFormDefault="qualified">
    <xsd:import namespace="http://schemas.microsoft.com/office/2006/documentManagement/types"/>
    <xsd:import namespace="http://schemas.microsoft.com/office/infopath/2007/PartnerControls"/>
    <xsd:element name="Description0" ma:index="11" nillable="true" ma:displayName="Description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LongProperties xmlns="http://schemas.microsoft.com/office/2006/metadata/longProperties"/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0 xmlns="211dd078-3235-44cf-a109-48483326b644" xsi:nil="true"/>
  </documentManagement>
</p:properties>
</file>

<file path=customXml/itemProps1.xml><?xml version="1.0" encoding="utf-8"?>
<ds:datastoreItem xmlns:ds="http://schemas.openxmlformats.org/officeDocument/2006/customXml" ds:itemID="{A2A018D6-88AD-4526-8422-6A7DDAAA74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30277e-1076-48d8-8826-9168779647ca"/>
    <ds:schemaRef ds:uri="211dd078-3235-44cf-a109-48483326b6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E0D410-2B52-4533-8A79-95FC9F21C0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975768-259E-4FCD-AAF3-D1607A0E3EEC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ED9B9F63-0F60-4D7E-B425-FF880CBD3677}">
  <ds:schemaRefs>
    <ds:schemaRef ds:uri="http://schemas.microsoft.com/office/2006/metadata/longProperties"/>
  </ds:schemaRefs>
</ds:datastoreItem>
</file>

<file path=customXml/itemProps5.xml><?xml version="1.0" encoding="utf-8"?>
<ds:datastoreItem xmlns:ds="http://schemas.openxmlformats.org/officeDocument/2006/customXml" ds:itemID="{EBACBAC3-6C18-4028-BF23-468CD932E06A}">
  <ds:schemaRefs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9130277e-1076-48d8-8826-9168779647ca"/>
    <ds:schemaRef ds:uri="211dd078-3235-44cf-a109-48483326b6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</vt:i4>
      </vt:variant>
    </vt:vector>
  </HeadingPairs>
  <TitlesOfParts>
    <vt:vector size="65" baseType="lpstr">
      <vt:lpstr>Local SUT</vt:lpstr>
      <vt:lpstr>Dodge Co</vt:lpstr>
      <vt:lpstr>Goodhue Co</vt:lpstr>
      <vt:lpstr>Sherburne Co</vt:lpstr>
      <vt:lpstr>Waseca Co</vt:lpstr>
      <vt:lpstr>Redwood Co</vt:lpstr>
      <vt:lpstr>Winona Co</vt:lpstr>
      <vt:lpstr>Pine Co</vt:lpstr>
      <vt:lpstr>Polk Co</vt:lpstr>
      <vt:lpstr>Mille Lacs Co</vt:lpstr>
      <vt:lpstr>Lake Co</vt:lpstr>
      <vt:lpstr>Anoka Co</vt:lpstr>
      <vt:lpstr>Becker Co</vt:lpstr>
      <vt:lpstr>Beltrami Co</vt:lpstr>
      <vt:lpstr>Carlton Co</vt:lpstr>
      <vt:lpstr>Carver Co</vt:lpstr>
      <vt:lpstr>Clay Cty</vt:lpstr>
      <vt:lpstr>Dakota Co</vt:lpstr>
      <vt:lpstr>Douglas Co</vt:lpstr>
      <vt:lpstr>Fillmore Co</vt:lpstr>
      <vt:lpstr>Hubbard Co</vt:lpstr>
      <vt:lpstr>Cook Cty</vt:lpstr>
      <vt:lpstr>Cook Co</vt:lpstr>
      <vt:lpstr>Kandiyohi Co</vt:lpstr>
      <vt:lpstr>Lyon Co</vt:lpstr>
      <vt:lpstr>Morrison Co</vt:lpstr>
      <vt:lpstr>Mower Co</vt:lpstr>
      <vt:lpstr>Nicollet Co</vt:lpstr>
      <vt:lpstr>Olmsted Co</vt:lpstr>
      <vt:lpstr>Ramsey Co</vt:lpstr>
      <vt:lpstr>Rice Co</vt:lpstr>
      <vt:lpstr>Hennepin Co</vt:lpstr>
      <vt:lpstr>Hennepin Cty</vt:lpstr>
      <vt:lpstr>Scott Co</vt:lpstr>
      <vt:lpstr>St. Louis Co</vt:lpstr>
      <vt:lpstr>Stearns Co</vt:lpstr>
      <vt:lpstr>Steele Co</vt:lpstr>
      <vt:lpstr>Todd Co</vt:lpstr>
      <vt:lpstr>Wadena Co</vt:lpstr>
      <vt:lpstr>Washington Co</vt:lpstr>
      <vt:lpstr>Wright Co</vt:lpstr>
      <vt:lpstr>Freeborn Co</vt:lpstr>
      <vt:lpstr>Metro Area Transit</vt:lpstr>
      <vt:lpstr>Blue Earth Co</vt:lpstr>
      <vt:lpstr>Brown Co</vt:lpstr>
      <vt:lpstr>Cass Co</vt:lpstr>
      <vt:lpstr>Chisago Co</vt:lpstr>
      <vt:lpstr>Crow Wing Co</vt:lpstr>
      <vt:lpstr>Otter Tail Co</vt:lpstr>
      <vt:lpstr>Wabasha Co</vt:lpstr>
      <vt:lpstr>Isanti Co</vt:lpstr>
      <vt:lpstr>Benton Co</vt:lpstr>
      <vt:lpstr>Kanabec Co</vt:lpstr>
      <vt:lpstr>McLeod Co</vt:lpstr>
      <vt:lpstr>Beltrami_County</vt:lpstr>
      <vt:lpstr>carlton_county</vt:lpstr>
      <vt:lpstr>Clay_Cty</vt:lpstr>
      <vt:lpstr>metro_area_transit_improvement</vt:lpstr>
      <vt:lpstr>MetroArea</vt:lpstr>
      <vt:lpstr>'Carlton Co'!Print_Area</vt:lpstr>
      <vt:lpstr>'Blue Earth Co'!Print_Titles</vt:lpstr>
      <vt:lpstr>'Freeborn Co'!Print_Titles</vt:lpstr>
      <vt:lpstr>'Otter Tail Co'!Print_Titles</vt:lpstr>
      <vt:lpstr>'Todd Co'!Print_Titles</vt:lpstr>
      <vt:lpstr>'Wadena Co'!Print_Titles</vt:lpstr>
    </vt:vector>
  </TitlesOfParts>
  <Company>Minnesota Department of Revenue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Local Sales and Use Tax Total Collections, CY 2007-2013</dc:title>
  <dc:creator>randy sanford</dc:creator>
  <cp:lastModifiedBy>MN Center for Rural Policy</cp:lastModifiedBy>
  <cp:lastPrinted>2019-03-14T17:24:40Z</cp:lastPrinted>
  <dcterms:created xsi:type="dcterms:W3CDTF">2012-11-29T17:18:26Z</dcterms:created>
  <dcterms:modified xsi:type="dcterms:W3CDTF">2021-09-22T16:09:40Z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EHMXPVJQYS55-268-34</vt:lpwstr>
  </property>
  <property fmtid="{D5CDD505-2E9C-101B-9397-08002B2CF9AE}" pid="3" name="_dlc_DocIdItemGuid">
    <vt:lpwstr>79fb230d-ba90-4904-8218-cd0a9df15549</vt:lpwstr>
  </property>
  <property fmtid="{D5CDD505-2E9C-101B-9397-08002B2CF9AE}" pid="4" name="_dlc_DocIdUrl">
    <vt:lpwstr>http://extprod/research_stats/_layouts/DocIdRedir.aspx?ID=EHMXPVJQYS55-268-34, EHMXPVJQYS55-268-34</vt:lpwstr>
  </property>
</Properties>
</file>